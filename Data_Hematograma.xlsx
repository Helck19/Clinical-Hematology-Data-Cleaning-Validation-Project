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elipe\Desktop\Educacion\Portafolio\"/>
    </mc:Choice>
  </mc:AlternateContent>
  <xr:revisionPtr revIDLastSave="0" documentId="13_ncr:1_{FDA41F9E-AB43-474D-8F1E-E3F84F018B79}" xr6:coauthVersionLast="47" xr6:coauthVersionMax="47" xr10:uidLastSave="{00000000-0000-0000-0000-000000000000}"/>
  <bookViews>
    <workbookView xWindow="-120" yWindow="-120" windowWidth="20730" windowHeight="11160" firstSheet="1" activeTab="1" xr2:uid="{15A899AF-DCDA-492E-A1EE-D4D7D982AE7B}"/>
  </bookViews>
  <sheets>
    <sheet name="Raw_Data_hematograma" sheetId="3" r:id="rId1"/>
    <sheet name="Raw Data hematograma" sheetId="2" r:id="rId2"/>
    <sheet name="Hoja1" sheetId="1" r:id="rId3"/>
  </sheets>
  <definedNames>
    <definedName name="_xlnm._FilterDatabase" localSheetId="1" hidden="1">'Raw Data hematograma'!$F$2:$F$2402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9" i="2" l="1"/>
  <c r="C35" i="2"/>
  <c r="C51" i="2"/>
  <c r="C67" i="2"/>
  <c r="C83" i="2"/>
  <c r="C99" i="2"/>
  <c r="C115" i="2"/>
  <c r="C131" i="2"/>
  <c r="C147" i="2"/>
  <c r="C163" i="2"/>
  <c r="C179" i="2"/>
  <c r="C195" i="2"/>
  <c r="C211" i="2"/>
  <c r="C227" i="2"/>
  <c r="C243" i="2"/>
  <c r="C259" i="2"/>
  <c r="C275" i="2"/>
  <c r="C291" i="2"/>
  <c r="C307" i="2"/>
  <c r="C323" i="2"/>
  <c r="C339" i="2"/>
  <c r="C355" i="2"/>
  <c r="C371" i="2"/>
  <c r="C387" i="2"/>
  <c r="C403" i="2"/>
  <c r="C419" i="2"/>
  <c r="C435" i="2"/>
  <c r="C451" i="2"/>
  <c r="C467" i="2"/>
  <c r="C483" i="2"/>
  <c r="C499" i="2"/>
  <c r="C515" i="2"/>
  <c r="C531" i="2"/>
  <c r="C547" i="2"/>
  <c r="C563" i="2"/>
  <c r="C579" i="2"/>
  <c r="C595" i="2"/>
  <c r="C611" i="2"/>
  <c r="C627" i="2"/>
  <c r="C643" i="2"/>
  <c r="C659" i="2"/>
  <c r="C675" i="2"/>
  <c r="C691" i="2"/>
  <c r="C707" i="2"/>
  <c r="C723" i="2"/>
  <c r="C739" i="2"/>
  <c r="C755" i="2"/>
  <c r="C771" i="2"/>
  <c r="C787" i="2"/>
  <c r="C803" i="2"/>
  <c r="C819" i="2"/>
  <c r="C835" i="2"/>
  <c r="C851" i="2"/>
  <c r="C867" i="2"/>
  <c r="C883" i="2"/>
  <c r="C899" i="2"/>
  <c r="C915" i="2"/>
  <c r="C931" i="2"/>
  <c r="C947" i="2"/>
  <c r="C963" i="2"/>
  <c r="C979" i="2"/>
  <c r="C995" i="2"/>
  <c r="C1011" i="2"/>
  <c r="C1027" i="2"/>
  <c r="C1043" i="2"/>
  <c r="C1059" i="2"/>
  <c r="C1075" i="2"/>
  <c r="C1091" i="2"/>
  <c r="C1107" i="2"/>
  <c r="C1123" i="2"/>
  <c r="C1139" i="2"/>
  <c r="C1155" i="2"/>
  <c r="C1171" i="2"/>
  <c r="C1187" i="2"/>
  <c r="C1203" i="2"/>
  <c r="C1219" i="2"/>
  <c r="C1235" i="2"/>
  <c r="C1251" i="2"/>
  <c r="C1267" i="2"/>
  <c r="C1283" i="2"/>
  <c r="C1299" i="2"/>
  <c r="C1315" i="2"/>
  <c r="C1331" i="2"/>
  <c r="C1347" i="2"/>
  <c r="C1363" i="2"/>
  <c r="C1379" i="2"/>
  <c r="C1395" i="2"/>
  <c r="C1411" i="2"/>
  <c r="C1427" i="2"/>
  <c r="C1443" i="2"/>
  <c r="C1459" i="2"/>
  <c r="C1475" i="2"/>
  <c r="C1491" i="2"/>
  <c r="C1507" i="2"/>
  <c r="C1523" i="2"/>
  <c r="C1539" i="2"/>
  <c r="C1555" i="2"/>
  <c r="C1571" i="2"/>
  <c r="C1587" i="2"/>
  <c r="C1603" i="2"/>
  <c r="C1619" i="2"/>
  <c r="C1635" i="2"/>
  <c r="C1651" i="2"/>
  <c r="C1667" i="2"/>
  <c r="C1683" i="2"/>
  <c r="C1699" i="2"/>
  <c r="C1715" i="2"/>
  <c r="C1731" i="2"/>
  <c r="C1747" i="2"/>
  <c r="C1763" i="2"/>
  <c r="C1779" i="2"/>
  <c r="C1795" i="2"/>
  <c r="C1811" i="2"/>
  <c r="C1827" i="2"/>
  <c r="C1843" i="2"/>
  <c r="C1859" i="2"/>
  <c r="C1875" i="2"/>
  <c r="C1891" i="2"/>
  <c r="C1907" i="2"/>
  <c r="C1923" i="2"/>
  <c r="C1939" i="2"/>
  <c r="C1955" i="2"/>
  <c r="C1971" i="2"/>
  <c r="C1987" i="2"/>
  <c r="C2003" i="2"/>
  <c r="C2019" i="2"/>
  <c r="C2035" i="2"/>
  <c r="C2051" i="2"/>
  <c r="C2067" i="2"/>
  <c r="C2083" i="2"/>
  <c r="C2099" i="2"/>
  <c r="C2115" i="2"/>
  <c r="C2131" i="2"/>
  <c r="C2147" i="2"/>
  <c r="C2163" i="2"/>
  <c r="C2179" i="2"/>
  <c r="C2195" i="2"/>
  <c r="C2211" i="2"/>
  <c r="C2227" i="2"/>
  <c r="C2243" i="2"/>
  <c r="C2259" i="2"/>
  <c r="C2275" i="2"/>
  <c r="C2291" i="2"/>
  <c r="C2307" i="2"/>
  <c r="C2323" i="2"/>
  <c r="C2339" i="2"/>
  <c r="C2355" i="2"/>
  <c r="C2371" i="2"/>
  <c r="C2387" i="2"/>
  <c r="C3" i="2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2" i="1"/>
  <c r="C3" i="1"/>
  <c r="C4" i="1"/>
  <c r="C5" i="1"/>
  <c r="C6" i="1"/>
  <c r="C7" i="1"/>
  <c r="C1" i="1"/>
  <c r="G535" i="2" l="1"/>
  <c r="H535" i="2" s="1"/>
  <c r="G536" i="2"/>
  <c r="H536" i="2" s="1"/>
  <c r="G537" i="2"/>
  <c r="H537" i="2" s="1"/>
  <c r="G538" i="2"/>
  <c r="H538" i="2" s="1"/>
  <c r="G539" i="2"/>
  <c r="H539" i="2" s="1"/>
  <c r="G540" i="2"/>
  <c r="H540" i="2" s="1"/>
  <c r="G541" i="2"/>
  <c r="H541" i="2" s="1"/>
  <c r="G542" i="2"/>
  <c r="H542" i="2" s="1"/>
  <c r="G543" i="2"/>
  <c r="H543" i="2" s="1"/>
  <c r="G544" i="2"/>
  <c r="H544" i="2" s="1"/>
  <c r="G545" i="2"/>
  <c r="H545" i="2" s="1"/>
  <c r="G546" i="2"/>
  <c r="H546" i="2" s="1"/>
  <c r="G547" i="2"/>
  <c r="H547" i="2" s="1"/>
  <c r="G548" i="2"/>
  <c r="H548" i="2" s="1"/>
  <c r="G549" i="2"/>
  <c r="H549" i="2" s="1"/>
  <c r="G550" i="2"/>
  <c r="H550" i="2" s="1"/>
  <c r="G551" i="2"/>
  <c r="H551" i="2" s="1"/>
  <c r="G552" i="2"/>
  <c r="H552" i="2" s="1"/>
  <c r="G553" i="2"/>
  <c r="H553" i="2" s="1"/>
  <c r="G554" i="2"/>
  <c r="H554" i="2" s="1"/>
  <c r="G555" i="2"/>
  <c r="H555" i="2" s="1"/>
  <c r="G556" i="2"/>
  <c r="H556" i="2" s="1"/>
  <c r="G557" i="2"/>
  <c r="H557" i="2" s="1"/>
  <c r="G558" i="2"/>
  <c r="H558" i="2" s="1"/>
  <c r="G559" i="2"/>
  <c r="H559" i="2" s="1"/>
  <c r="G560" i="2"/>
  <c r="H560" i="2" s="1"/>
  <c r="G561" i="2"/>
  <c r="H561" i="2" s="1"/>
  <c r="G562" i="2"/>
  <c r="H562" i="2" s="1"/>
  <c r="G563" i="2"/>
  <c r="H563" i="2" s="1"/>
  <c r="G564" i="2"/>
  <c r="H564" i="2" s="1"/>
  <c r="G565" i="2"/>
  <c r="H565" i="2" s="1"/>
  <c r="G566" i="2"/>
  <c r="H566" i="2" s="1"/>
  <c r="G567" i="2"/>
  <c r="H567" i="2" s="1"/>
  <c r="G568" i="2"/>
  <c r="H568" i="2" s="1"/>
  <c r="G569" i="2"/>
  <c r="H569" i="2" s="1"/>
  <c r="G570" i="2"/>
  <c r="H570" i="2" s="1"/>
  <c r="G571" i="2"/>
  <c r="H571" i="2" s="1"/>
  <c r="G572" i="2"/>
  <c r="H572" i="2" s="1"/>
  <c r="G573" i="2"/>
  <c r="H573" i="2" s="1"/>
  <c r="G574" i="2"/>
  <c r="H574" i="2" s="1"/>
  <c r="G575" i="2"/>
  <c r="H575" i="2" s="1"/>
  <c r="G576" i="2"/>
  <c r="H576" i="2" s="1"/>
  <c r="G577" i="2"/>
  <c r="H577" i="2" s="1"/>
  <c r="G578" i="2"/>
  <c r="H578" i="2" s="1"/>
  <c r="G579" i="2"/>
  <c r="H579" i="2" s="1"/>
  <c r="G580" i="2"/>
  <c r="H580" i="2" s="1"/>
  <c r="G581" i="2"/>
  <c r="H581" i="2" s="1"/>
  <c r="G582" i="2"/>
  <c r="H582" i="2" s="1"/>
  <c r="G583" i="2"/>
  <c r="H583" i="2" s="1"/>
  <c r="G584" i="2"/>
  <c r="H584" i="2" s="1"/>
  <c r="G585" i="2"/>
  <c r="H585" i="2" s="1"/>
  <c r="G586" i="2"/>
  <c r="H586" i="2" s="1"/>
  <c r="G587" i="2"/>
  <c r="H587" i="2" s="1"/>
  <c r="G588" i="2"/>
  <c r="H588" i="2" s="1"/>
  <c r="G589" i="2"/>
  <c r="H589" i="2" s="1"/>
  <c r="G590" i="2"/>
  <c r="H590" i="2" s="1"/>
  <c r="G591" i="2"/>
  <c r="H591" i="2" s="1"/>
  <c r="G592" i="2"/>
  <c r="H592" i="2" s="1"/>
  <c r="G593" i="2"/>
  <c r="H593" i="2" s="1"/>
  <c r="G594" i="2"/>
  <c r="H594" i="2" s="1"/>
  <c r="G595" i="2"/>
  <c r="H595" i="2" s="1"/>
  <c r="G596" i="2"/>
  <c r="H596" i="2" s="1"/>
  <c r="G597" i="2"/>
  <c r="H597" i="2" s="1"/>
  <c r="G598" i="2"/>
  <c r="H598" i="2" s="1"/>
  <c r="G599" i="2"/>
  <c r="H599" i="2" s="1"/>
  <c r="G600" i="2"/>
  <c r="H600" i="2" s="1"/>
  <c r="G601" i="2"/>
  <c r="H601" i="2" s="1"/>
  <c r="G602" i="2"/>
  <c r="H602" i="2" s="1"/>
  <c r="G603" i="2"/>
  <c r="H603" i="2" s="1"/>
  <c r="G604" i="2"/>
  <c r="H604" i="2" s="1"/>
  <c r="G605" i="2"/>
  <c r="H605" i="2" s="1"/>
  <c r="G606" i="2"/>
  <c r="H606" i="2" s="1"/>
  <c r="G607" i="2"/>
  <c r="H607" i="2" s="1"/>
  <c r="G608" i="2"/>
  <c r="H608" i="2" s="1"/>
  <c r="G609" i="2"/>
  <c r="H609" i="2" s="1"/>
  <c r="G610" i="2"/>
  <c r="H610" i="2" s="1"/>
  <c r="G611" i="2"/>
  <c r="H611" i="2" s="1"/>
  <c r="G612" i="2"/>
  <c r="H612" i="2" s="1"/>
  <c r="G613" i="2"/>
  <c r="H613" i="2" s="1"/>
  <c r="G614" i="2"/>
  <c r="H614" i="2" s="1"/>
  <c r="G615" i="2"/>
  <c r="H615" i="2" s="1"/>
  <c r="G616" i="2"/>
  <c r="H616" i="2" s="1"/>
  <c r="G617" i="2"/>
  <c r="H617" i="2" s="1"/>
  <c r="G618" i="2"/>
  <c r="H618" i="2" s="1"/>
  <c r="G619" i="2"/>
  <c r="H619" i="2" s="1"/>
  <c r="G620" i="2"/>
  <c r="H620" i="2" s="1"/>
  <c r="G621" i="2"/>
  <c r="H621" i="2" s="1"/>
  <c r="G622" i="2"/>
  <c r="H622" i="2" s="1"/>
  <c r="G623" i="2"/>
  <c r="H623" i="2" s="1"/>
  <c r="G624" i="2"/>
  <c r="H624" i="2" s="1"/>
  <c r="G625" i="2"/>
  <c r="H625" i="2" s="1"/>
  <c r="G626" i="2"/>
  <c r="H626" i="2" s="1"/>
  <c r="G627" i="2"/>
  <c r="H627" i="2" s="1"/>
  <c r="G628" i="2"/>
  <c r="H628" i="2" s="1"/>
  <c r="G629" i="2"/>
  <c r="H629" i="2" s="1"/>
  <c r="G630" i="2"/>
  <c r="H630" i="2" s="1"/>
  <c r="G631" i="2"/>
  <c r="H631" i="2" s="1"/>
  <c r="G632" i="2"/>
  <c r="H632" i="2" s="1"/>
  <c r="G633" i="2"/>
  <c r="H633" i="2" s="1"/>
  <c r="G634" i="2"/>
  <c r="H634" i="2" s="1"/>
  <c r="G635" i="2"/>
  <c r="H635" i="2" s="1"/>
  <c r="G636" i="2"/>
  <c r="H636" i="2" s="1"/>
  <c r="G637" i="2"/>
  <c r="H637" i="2" s="1"/>
  <c r="G638" i="2"/>
  <c r="H638" i="2" s="1"/>
  <c r="G639" i="2"/>
  <c r="H639" i="2" s="1"/>
  <c r="G640" i="2"/>
  <c r="H640" i="2" s="1"/>
  <c r="G641" i="2"/>
  <c r="H641" i="2" s="1"/>
  <c r="G642" i="2"/>
  <c r="H642" i="2" s="1"/>
  <c r="G643" i="2"/>
  <c r="H643" i="2" s="1"/>
  <c r="G644" i="2"/>
  <c r="H644" i="2" s="1"/>
  <c r="G645" i="2"/>
  <c r="H645" i="2" s="1"/>
  <c r="G646" i="2"/>
  <c r="H646" i="2" s="1"/>
  <c r="G647" i="2"/>
  <c r="H647" i="2" s="1"/>
  <c r="G648" i="2"/>
  <c r="H648" i="2" s="1"/>
  <c r="G649" i="2"/>
  <c r="H649" i="2" s="1"/>
  <c r="G650" i="2"/>
  <c r="H650" i="2" s="1"/>
  <c r="G651" i="2"/>
  <c r="H651" i="2" s="1"/>
  <c r="G652" i="2"/>
  <c r="H652" i="2" s="1"/>
  <c r="G653" i="2"/>
  <c r="H653" i="2" s="1"/>
  <c r="G654" i="2"/>
  <c r="H654" i="2" s="1"/>
  <c r="G655" i="2"/>
  <c r="H655" i="2" s="1"/>
  <c r="G656" i="2"/>
  <c r="H656" i="2" s="1"/>
  <c r="G657" i="2"/>
  <c r="H657" i="2" s="1"/>
  <c r="G658" i="2"/>
  <c r="H658" i="2" s="1"/>
  <c r="G659" i="2"/>
  <c r="H659" i="2" s="1"/>
  <c r="G660" i="2"/>
  <c r="H660" i="2" s="1"/>
  <c r="G661" i="2"/>
  <c r="H661" i="2" s="1"/>
  <c r="G662" i="2"/>
  <c r="H662" i="2" s="1"/>
  <c r="G663" i="2"/>
  <c r="H663" i="2" s="1"/>
  <c r="G664" i="2"/>
  <c r="H664" i="2" s="1"/>
  <c r="G665" i="2"/>
  <c r="H665" i="2" s="1"/>
  <c r="G666" i="2"/>
  <c r="H666" i="2" s="1"/>
  <c r="G667" i="2"/>
  <c r="H667" i="2" s="1"/>
  <c r="G668" i="2"/>
  <c r="H668" i="2" s="1"/>
  <c r="G669" i="2"/>
  <c r="H669" i="2" s="1"/>
  <c r="G670" i="2"/>
  <c r="H670" i="2" s="1"/>
  <c r="G671" i="2"/>
  <c r="H671" i="2" s="1"/>
  <c r="G672" i="2"/>
  <c r="H672" i="2" s="1"/>
  <c r="G673" i="2"/>
  <c r="H673" i="2" s="1"/>
  <c r="G674" i="2"/>
  <c r="H674" i="2" s="1"/>
  <c r="G675" i="2"/>
  <c r="H675" i="2" s="1"/>
  <c r="G676" i="2"/>
  <c r="H676" i="2" s="1"/>
  <c r="G677" i="2"/>
  <c r="H677" i="2" s="1"/>
  <c r="G678" i="2"/>
  <c r="H678" i="2" s="1"/>
  <c r="G679" i="2"/>
  <c r="H679" i="2" s="1"/>
  <c r="G680" i="2"/>
  <c r="H680" i="2" s="1"/>
  <c r="G681" i="2"/>
  <c r="H681" i="2" s="1"/>
  <c r="G682" i="2"/>
  <c r="H682" i="2" s="1"/>
  <c r="G683" i="2"/>
  <c r="H683" i="2" s="1"/>
  <c r="G684" i="2"/>
  <c r="H684" i="2" s="1"/>
  <c r="G685" i="2"/>
  <c r="H685" i="2" s="1"/>
  <c r="G686" i="2"/>
  <c r="H686" i="2" s="1"/>
  <c r="G687" i="2"/>
  <c r="H687" i="2" s="1"/>
  <c r="G688" i="2"/>
  <c r="H688" i="2" s="1"/>
  <c r="G689" i="2"/>
  <c r="H689" i="2" s="1"/>
  <c r="G690" i="2"/>
  <c r="H690" i="2" s="1"/>
  <c r="G691" i="2"/>
  <c r="H691" i="2" s="1"/>
  <c r="G692" i="2"/>
  <c r="H692" i="2" s="1"/>
  <c r="G693" i="2"/>
  <c r="H693" i="2" s="1"/>
  <c r="G694" i="2"/>
  <c r="H694" i="2" s="1"/>
  <c r="G695" i="2"/>
  <c r="H695" i="2" s="1"/>
  <c r="G696" i="2"/>
  <c r="H696" i="2" s="1"/>
  <c r="G697" i="2"/>
  <c r="H697" i="2" s="1"/>
  <c r="G698" i="2"/>
  <c r="H698" i="2" s="1"/>
  <c r="G699" i="2"/>
  <c r="H699" i="2" s="1"/>
  <c r="G700" i="2"/>
  <c r="H700" i="2" s="1"/>
  <c r="G701" i="2"/>
  <c r="H701" i="2" s="1"/>
  <c r="G702" i="2"/>
  <c r="H702" i="2" s="1"/>
  <c r="G703" i="2"/>
  <c r="H703" i="2" s="1"/>
  <c r="G704" i="2"/>
  <c r="H704" i="2" s="1"/>
  <c r="G705" i="2"/>
  <c r="H705" i="2" s="1"/>
  <c r="G706" i="2"/>
  <c r="H706" i="2" s="1"/>
  <c r="G707" i="2"/>
  <c r="H707" i="2" s="1"/>
  <c r="G708" i="2"/>
  <c r="H708" i="2" s="1"/>
  <c r="G709" i="2"/>
  <c r="H709" i="2" s="1"/>
  <c r="G710" i="2"/>
  <c r="H710" i="2" s="1"/>
  <c r="G711" i="2"/>
  <c r="H711" i="2" s="1"/>
  <c r="G712" i="2"/>
  <c r="H712" i="2" s="1"/>
  <c r="G713" i="2"/>
  <c r="H713" i="2" s="1"/>
  <c r="G714" i="2"/>
  <c r="H714" i="2" s="1"/>
  <c r="G715" i="2"/>
  <c r="H715" i="2" s="1"/>
  <c r="G716" i="2"/>
  <c r="H716" i="2" s="1"/>
  <c r="G717" i="2"/>
  <c r="H717" i="2" s="1"/>
  <c r="G718" i="2"/>
  <c r="H718" i="2" s="1"/>
  <c r="G719" i="2"/>
  <c r="H719" i="2" s="1"/>
  <c r="G720" i="2"/>
  <c r="H720" i="2" s="1"/>
  <c r="G721" i="2"/>
  <c r="H721" i="2" s="1"/>
  <c r="G722" i="2"/>
  <c r="H722" i="2" s="1"/>
  <c r="G723" i="2"/>
  <c r="H723" i="2" s="1"/>
  <c r="G724" i="2"/>
  <c r="H724" i="2" s="1"/>
  <c r="G725" i="2"/>
  <c r="H725" i="2" s="1"/>
  <c r="G726" i="2"/>
  <c r="H726" i="2" s="1"/>
  <c r="G727" i="2"/>
  <c r="H727" i="2" s="1"/>
  <c r="G728" i="2"/>
  <c r="H728" i="2" s="1"/>
  <c r="G729" i="2"/>
  <c r="H729" i="2" s="1"/>
  <c r="G730" i="2"/>
  <c r="H730" i="2" s="1"/>
  <c r="G731" i="2"/>
  <c r="H731" i="2" s="1"/>
  <c r="G732" i="2"/>
  <c r="H732" i="2" s="1"/>
  <c r="G733" i="2"/>
  <c r="H733" i="2" s="1"/>
  <c r="G734" i="2"/>
  <c r="H734" i="2" s="1"/>
  <c r="G735" i="2"/>
  <c r="H735" i="2" s="1"/>
  <c r="G736" i="2"/>
  <c r="H736" i="2" s="1"/>
  <c r="G737" i="2"/>
  <c r="H737" i="2" s="1"/>
  <c r="G738" i="2"/>
  <c r="H738" i="2" s="1"/>
  <c r="G739" i="2"/>
  <c r="H739" i="2" s="1"/>
  <c r="G740" i="2"/>
  <c r="H740" i="2" s="1"/>
  <c r="G741" i="2"/>
  <c r="H741" i="2" s="1"/>
  <c r="G742" i="2"/>
  <c r="H742" i="2" s="1"/>
  <c r="G743" i="2"/>
  <c r="H743" i="2" s="1"/>
  <c r="G744" i="2"/>
  <c r="H744" i="2" s="1"/>
  <c r="G745" i="2"/>
  <c r="H745" i="2" s="1"/>
  <c r="G746" i="2"/>
  <c r="H746" i="2" s="1"/>
  <c r="G747" i="2"/>
  <c r="H747" i="2" s="1"/>
  <c r="G748" i="2"/>
  <c r="H748" i="2" s="1"/>
  <c r="G749" i="2"/>
  <c r="H749" i="2" s="1"/>
  <c r="G750" i="2"/>
  <c r="H750" i="2" s="1"/>
  <c r="G751" i="2"/>
  <c r="H751" i="2" s="1"/>
  <c r="G752" i="2"/>
  <c r="H752" i="2" s="1"/>
  <c r="G753" i="2"/>
  <c r="H753" i="2" s="1"/>
  <c r="G754" i="2"/>
  <c r="H754" i="2" s="1"/>
  <c r="G755" i="2"/>
  <c r="H755" i="2" s="1"/>
  <c r="G756" i="2"/>
  <c r="H756" i="2" s="1"/>
  <c r="G757" i="2"/>
  <c r="H757" i="2" s="1"/>
  <c r="G758" i="2"/>
  <c r="H758" i="2" s="1"/>
  <c r="G759" i="2"/>
  <c r="H759" i="2" s="1"/>
  <c r="G760" i="2"/>
  <c r="H760" i="2" s="1"/>
  <c r="G761" i="2"/>
  <c r="H761" i="2" s="1"/>
  <c r="G762" i="2"/>
  <c r="H762" i="2" s="1"/>
  <c r="G763" i="2"/>
  <c r="H763" i="2" s="1"/>
  <c r="G764" i="2"/>
  <c r="H764" i="2" s="1"/>
  <c r="G765" i="2"/>
  <c r="H765" i="2" s="1"/>
  <c r="G766" i="2"/>
  <c r="H766" i="2" s="1"/>
  <c r="G767" i="2"/>
  <c r="H767" i="2" s="1"/>
  <c r="G768" i="2"/>
  <c r="H768" i="2" s="1"/>
  <c r="G769" i="2"/>
  <c r="H769" i="2" s="1"/>
  <c r="G770" i="2"/>
  <c r="H770" i="2" s="1"/>
  <c r="G771" i="2"/>
  <c r="H771" i="2" s="1"/>
  <c r="G772" i="2"/>
  <c r="H772" i="2" s="1"/>
  <c r="G773" i="2"/>
  <c r="H773" i="2" s="1"/>
  <c r="G774" i="2"/>
  <c r="H774" i="2" s="1"/>
  <c r="G775" i="2"/>
  <c r="H775" i="2" s="1"/>
  <c r="G776" i="2"/>
  <c r="H776" i="2" s="1"/>
  <c r="G777" i="2"/>
  <c r="H777" i="2" s="1"/>
  <c r="G778" i="2"/>
  <c r="H778" i="2" s="1"/>
  <c r="G779" i="2"/>
  <c r="H779" i="2" s="1"/>
  <c r="G780" i="2"/>
  <c r="H780" i="2" s="1"/>
  <c r="G781" i="2"/>
  <c r="H781" i="2" s="1"/>
  <c r="G782" i="2"/>
  <c r="H782" i="2" s="1"/>
  <c r="G783" i="2"/>
  <c r="H783" i="2" s="1"/>
  <c r="G784" i="2"/>
  <c r="H784" i="2" s="1"/>
  <c r="G785" i="2"/>
  <c r="H785" i="2" s="1"/>
  <c r="G786" i="2"/>
  <c r="H786" i="2" s="1"/>
  <c r="G787" i="2"/>
  <c r="H787" i="2" s="1"/>
  <c r="G788" i="2"/>
  <c r="H788" i="2" s="1"/>
  <c r="G789" i="2"/>
  <c r="H789" i="2" s="1"/>
  <c r="G790" i="2"/>
  <c r="H790" i="2" s="1"/>
  <c r="G791" i="2"/>
  <c r="H791" i="2" s="1"/>
  <c r="G792" i="2"/>
  <c r="H792" i="2" s="1"/>
  <c r="G793" i="2"/>
  <c r="H793" i="2" s="1"/>
  <c r="G794" i="2"/>
  <c r="H794" i="2" s="1"/>
  <c r="G795" i="2"/>
  <c r="H795" i="2" s="1"/>
  <c r="G796" i="2"/>
  <c r="H796" i="2" s="1"/>
  <c r="G797" i="2"/>
  <c r="H797" i="2" s="1"/>
  <c r="G798" i="2"/>
  <c r="H798" i="2" s="1"/>
  <c r="G799" i="2"/>
  <c r="H799" i="2" s="1"/>
  <c r="G800" i="2"/>
  <c r="H800" i="2" s="1"/>
  <c r="G801" i="2"/>
  <c r="H801" i="2" s="1"/>
  <c r="G802" i="2"/>
  <c r="H802" i="2" s="1"/>
  <c r="G803" i="2"/>
  <c r="H803" i="2" s="1"/>
  <c r="G804" i="2"/>
  <c r="H804" i="2" s="1"/>
  <c r="G805" i="2"/>
  <c r="H805" i="2" s="1"/>
  <c r="G806" i="2"/>
  <c r="H806" i="2" s="1"/>
  <c r="G807" i="2"/>
  <c r="H807" i="2" s="1"/>
  <c r="G808" i="2"/>
  <c r="H808" i="2" s="1"/>
  <c r="G809" i="2"/>
  <c r="H809" i="2" s="1"/>
  <c r="G810" i="2"/>
  <c r="H810" i="2" s="1"/>
  <c r="G811" i="2"/>
  <c r="H811" i="2" s="1"/>
  <c r="G812" i="2"/>
  <c r="H812" i="2" s="1"/>
  <c r="G813" i="2"/>
  <c r="H813" i="2" s="1"/>
  <c r="G814" i="2"/>
  <c r="H814" i="2" s="1"/>
  <c r="G815" i="2"/>
  <c r="H815" i="2" s="1"/>
  <c r="G816" i="2"/>
  <c r="H816" i="2" s="1"/>
  <c r="G817" i="2"/>
  <c r="H817" i="2" s="1"/>
  <c r="G818" i="2"/>
  <c r="H818" i="2" s="1"/>
  <c r="G819" i="2"/>
  <c r="H819" i="2" s="1"/>
  <c r="G820" i="2"/>
  <c r="H820" i="2" s="1"/>
  <c r="G821" i="2"/>
  <c r="H821" i="2" s="1"/>
  <c r="G822" i="2"/>
  <c r="H822" i="2" s="1"/>
  <c r="G823" i="2"/>
  <c r="H823" i="2" s="1"/>
  <c r="G824" i="2"/>
  <c r="H824" i="2" s="1"/>
  <c r="G825" i="2"/>
  <c r="H825" i="2" s="1"/>
  <c r="G826" i="2"/>
  <c r="H826" i="2" s="1"/>
  <c r="G827" i="2"/>
  <c r="H827" i="2" s="1"/>
  <c r="G828" i="2"/>
  <c r="H828" i="2" s="1"/>
  <c r="G829" i="2"/>
  <c r="H829" i="2" s="1"/>
  <c r="G830" i="2"/>
  <c r="H830" i="2" s="1"/>
  <c r="G831" i="2"/>
  <c r="H831" i="2" s="1"/>
  <c r="G832" i="2"/>
  <c r="H832" i="2" s="1"/>
  <c r="G833" i="2"/>
  <c r="H833" i="2" s="1"/>
  <c r="G834" i="2"/>
  <c r="H834" i="2" s="1"/>
  <c r="G835" i="2"/>
  <c r="H835" i="2" s="1"/>
  <c r="G836" i="2"/>
  <c r="H836" i="2" s="1"/>
  <c r="G837" i="2"/>
  <c r="H837" i="2" s="1"/>
  <c r="G838" i="2"/>
  <c r="H838" i="2" s="1"/>
  <c r="G839" i="2"/>
  <c r="H839" i="2" s="1"/>
  <c r="G840" i="2"/>
  <c r="H840" i="2" s="1"/>
  <c r="G841" i="2"/>
  <c r="H841" i="2" s="1"/>
  <c r="G842" i="2"/>
  <c r="H842" i="2" s="1"/>
  <c r="G843" i="2"/>
  <c r="H843" i="2" s="1"/>
  <c r="G844" i="2"/>
  <c r="H844" i="2" s="1"/>
  <c r="G845" i="2"/>
  <c r="H845" i="2" s="1"/>
  <c r="G846" i="2"/>
  <c r="H846" i="2" s="1"/>
  <c r="G847" i="2"/>
  <c r="H847" i="2" s="1"/>
  <c r="G848" i="2"/>
  <c r="H848" i="2" s="1"/>
  <c r="G849" i="2"/>
  <c r="H849" i="2" s="1"/>
  <c r="G850" i="2"/>
  <c r="H850" i="2" s="1"/>
  <c r="G851" i="2"/>
  <c r="H851" i="2" s="1"/>
  <c r="G852" i="2"/>
  <c r="H852" i="2" s="1"/>
  <c r="G853" i="2"/>
  <c r="H853" i="2" s="1"/>
  <c r="G854" i="2"/>
  <c r="H854" i="2" s="1"/>
  <c r="G855" i="2"/>
  <c r="H855" i="2" s="1"/>
  <c r="G856" i="2"/>
  <c r="H856" i="2" s="1"/>
  <c r="G857" i="2"/>
  <c r="H857" i="2" s="1"/>
  <c r="G858" i="2"/>
  <c r="H858" i="2" s="1"/>
  <c r="G859" i="2"/>
  <c r="H859" i="2" s="1"/>
  <c r="G860" i="2"/>
  <c r="H860" i="2" s="1"/>
  <c r="G861" i="2"/>
  <c r="H861" i="2" s="1"/>
  <c r="G862" i="2"/>
  <c r="H862" i="2" s="1"/>
  <c r="G863" i="2"/>
  <c r="H863" i="2" s="1"/>
  <c r="G864" i="2"/>
  <c r="H864" i="2" s="1"/>
  <c r="G865" i="2"/>
  <c r="H865" i="2" s="1"/>
  <c r="G866" i="2"/>
  <c r="H866" i="2" s="1"/>
  <c r="G867" i="2"/>
  <c r="H867" i="2" s="1"/>
  <c r="G868" i="2"/>
  <c r="H868" i="2" s="1"/>
  <c r="G869" i="2"/>
  <c r="H869" i="2" s="1"/>
  <c r="G870" i="2"/>
  <c r="H870" i="2" s="1"/>
  <c r="G871" i="2"/>
  <c r="H871" i="2" s="1"/>
  <c r="G872" i="2"/>
  <c r="H872" i="2" s="1"/>
  <c r="G873" i="2"/>
  <c r="H873" i="2" s="1"/>
  <c r="G874" i="2"/>
  <c r="H874" i="2" s="1"/>
  <c r="G875" i="2"/>
  <c r="H875" i="2" s="1"/>
  <c r="G876" i="2"/>
  <c r="H876" i="2" s="1"/>
  <c r="G877" i="2"/>
  <c r="H877" i="2" s="1"/>
  <c r="G878" i="2"/>
  <c r="H878" i="2" s="1"/>
  <c r="G879" i="2"/>
  <c r="H879" i="2" s="1"/>
  <c r="G880" i="2"/>
  <c r="H880" i="2" s="1"/>
  <c r="G881" i="2"/>
  <c r="H881" i="2" s="1"/>
  <c r="G882" i="2"/>
  <c r="H882" i="2" s="1"/>
  <c r="G883" i="2"/>
  <c r="H883" i="2" s="1"/>
  <c r="G884" i="2"/>
  <c r="H884" i="2" s="1"/>
  <c r="G885" i="2"/>
  <c r="H885" i="2" s="1"/>
  <c r="G886" i="2"/>
  <c r="H886" i="2" s="1"/>
  <c r="G887" i="2"/>
  <c r="H887" i="2" s="1"/>
  <c r="G888" i="2"/>
  <c r="H888" i="2" s="1"/>
  <c r="G889" i="2"/>
  <c r="H889" i="2" s="1"/>
  <c r="G890" i="2"/>
  <c r="H890" i="2" s="1"/>
  <c r="G891" i="2"/>
  <c r="H891" i="2" s="1"/>
  <c r="G892" i="2"/>
  <c r="H892" i="2" s="1"/>
  <c r="G893" i="2"/>
  <c r="H893" i="2" s="1"/>
  <c r="G894" i="2"/>
  <c r="H894" i="2" s="1"/>
  <c r="G895" i="2"/>
  <c r="H895" i="2" s="1"/>
  <c r="G896" i="2"/>
  <c r="H896" i="2" s="1"/>
  <c r="G897" i="2"/>
  <c r="H897" i="2" s="1"/>
  <c r="G898" i="2"/>
  <c r="H898" i="2" s="1"/>
  <c r="G899" i="2"/>
  <c r="H899" i="2" s="1"/>
  <c r="G900" i="2"/>
  <c r="H900" i="2" s="1"/>
  <c r="G901" i="2"/>
  <c r="H901" i="2" s="1"/>
  <c r="G902" i="2"/>
  <c r="H902" i="2" s="1"/>
  <c r="G903" i="2"/>
  <c r="H903" i="2" s="1"/>
  <c r="G904" i="2"/>
  <c r="H904" i="2" s="1"/>
  <c r="G905" i="2"/>
  <c r="H905" i="2" s="1"/>
  <c r="G906" i="2"/>
  <c r="H906" i="2" s="1"/>
  <c r="G907" i="2"/>
  <c r="H907" i="2" s="1"/>
  <c r="G908" i="2"/>
  <c r="H908" i="2" s="1"/>
  <c r="G909" i="2"/>
  <c r="H909" i="2" s="1"/>
  <c r="G910" i="2"/>
  <c r="H910" i="2" s="1"/>
  <c r="G911" i="2"/>
  <c r="H911" i="2" s="1"/>
  <c r="G912" i="2"/>
  <c r="H912" i="2" s="1"/>
  <c r="G913" i="2"/>
  <c r="H913" i="2" s="1"/>
  <c r="G914" i="2"/>
  <c r="H914" i="2" s="1"/>
  <c r="G915" i="2"/>
  <c r="H915" i="2" s="1"/>
  <c r="G916" i="2"/>
  <c r="H916" i="2" s="1"/>
  <c r="G917" i="2"/>
  <c r="H917" i="2" s="1"/>
  <c r="G918" i="2"/>
  <c r="H918" i="2" s="1"/>
  <c r="G919" i="2"/>
  <c r="H919" i="2" s="1"/>
  <c r="G920" i="2"/>
  <c r="H920" i="2" s="1"/>
  <c r="G921" i="2"/>
  <c r="H921" i="2" s="1"/>
  <c r="G922" i="2"/>
  <c r="H922" i="2" s="1"/>
  <c r="G923" i="2"/>
  <c r="H923" i="2" s="1"/>
  <c r="G924" i="2"/>
  <c r="H924" i="2" s="1"/>
  <c r="G925" i="2"/>
  <c r="H925" i="2" s="1"/>
  <c r="G926" i="2"/>
  <c r="H926" i="2" s="1"/>
  <c r="G927" i="2"/>
  <c r="H927" i="2" s="1"/>
  <c r="G928" i="2"/>
  <c r="H928" i="2" s="1"/>
  <c r="G929" i="2"/>
  <c r="H929" i="2" s="1"/>
  <c r="G930" i="2"/>
  <c r="H930" i="2" s="1"/>
  <c r="G931" i="2"/>
  <c r="H931" i="2" s="1"/>
  <c r="G932" i="2"/>
  <c r="H932" i="2" s="1"/>
  <c r="G933" i="2"/>
  <c r="H933" i="2" s="1"/>
  <c r="G934" i="2"/>
  <c r="H934" i="2" s="1"/>
  <c r="G935" i="2"/>
  <c r="H935" i="2" s="1"/>
  <c r="G936" i="2"/>
  <c r="H936" i="2" s="1"/>
  <c r="G937" i="2"/>
  <c r="H937" i="2" s="1"/>
  <c r="G938" i="2"/>
  <c r="H938" i="2" s="1"/>
  <c r="G939" i="2"/>
  <c r="H939" i="2" s="1"/>
  <c r="G940" i="2"/>
  <c r="H940" i="2" s="1"/>
  <c r="G941" i="2"/>
  <c r="H941" i="2" s="1"/>
  <c r="G942" i="2"/>
  <c r="H942" i="2" s="1"/>
  <c r="G943" i="2"/>
  <c r="H943" i="2" s="1"/>
  <c r="G944" i="2"/>
  <c r="H944" i="2" s="1"/>
  <c r="G945" i="2"/>
  <c r="H945" i="2" s="1"/>
  <c r="G946" i="2"/>
  <c r="H946" i="2" s="1"/>
  <c r="G947" i="2"/>
  <c r="H947" i="2" s="1"/>
  <c r="G948" i="2"/>
  <c r="H948" i="2" s="1"/>
  <c r="G949" i="2"/>
  <c r="H949" i="2" s="1"/>
  <c r="G950" i="2"/>
  <c r="H950" i="2" s="1"/>
  <c r="G951" i="2"/>
  <c r="H951" i="2" s="1"/>
  <c r="G952" i="2"/>
  <c r="H952" i="2" s="1"/>
  <c r="G953" i="2"/>
  <c r="H953" i="2" s="1"/>
  <c r="G954" i="2"/>
  <c r="H954" i="2" s="1"/>
  <c r="G955" i="2"/>
  <c r="H955" i="2" s="1"/>
  <c r="G956" i="2"/>
  <c r="H956" i="2" s="1"/>
  <c r="G957" i="2"/>
  <c r="H957" i="2" s="1"/>
  <c r="G958" i="2"/>
  <c r="H958" i="2" s="1"/>
  <c r="G959" i="2"/>
  <c r="H959" i="2" s="1"/>
  <c r="G960" i="2"/>
  <c r="H960" i="2" s="1"/>
  <c r="G961" i="2"/>
  <c r="H961" i="2" s="1"/>
  <c r="G962" i="2"/>
  <c r="H962" i="2" s="1"/>
  <c r="G963" i="2"/>
  <c r="H963" i="2" s="1"/>
  <c r="G964" i="2"/>
  <c r="H964" i="2" s="1"/>
  <c r="G965" i="2"/>
  <c r="H965" i="2" s="1"/>
  <c r="G966" i="2"/>
  <c r="H966" i="2" s="1"/>
  <c r="G967" i="2"/>
  <c r="H967" i="2" s="1"/>
  <c r="G968" i="2"/>
  <c r="H968" i="2" s="1"/>
  <c r="G969" i="2"/>
  <c r="H969" i="2" s="1"/>
  <c r="G970" i="2"/>
  <c r="H970" i="2" s="1"/>
  <c r="G971" i="2"/>
  <c r="H971" i="2" s="1"/>
  <c r="G972" i="2"/>
  <c r="H972" i="2" s="1"/>
  <c r="G973" i="2"/>
  <c r="H973" i="2" s="1"/>
  <c r="G974" i="2"/>
  <c r="H974" i="2" s="1"/>
  <c r="G975" i="2"/>
  <c r="H975" i="2" s="1"/>
  <c r="G976" i="2"/>
  <c r="H976" i="2" s="1"/>
  <c r="G977" i="2"/>
  <c r="H977" i="2" s="1"/>
  <c r="G978" i="2"/>
  <c r="H978" i="2" s="1"/>
  <c r="G979" i="2"/>
  <c r="H979" i="2" s="1"/>
  <c r="G980" i="2"/>
  <c r="H980" i="2" s="1"/>
  <c r="G981" i="2"/>
  <c r="H981" i="2" s="1"/>
  <c r="G982" i="2"/>
  <c r="H982" i="2" s="1"/>
  <c r="G983" i="2"/>
  <c r="H983" i="2" s="1"/>
  <c r="G984" i="2"/>
  <c r="H984" i="2" s="1"/>
  <c r="G985" i="2"/>
  <c r="H985" i="2" s="1"/>
  <c r="G986" i="2"/>
  <c r="H986" i="2" s="1"/>
  <c r="G987" i="2"/>
  <c r="H987" i="2" s="1"/>
  <c r="G988" i="2"/>
  <c r="H988" i="2" s="1"/>
  <c r="G989" i="2"/>
  <c r="H989" i="2" s="1"/>
  <c r="G990" i="2"/>
  <c r="H990" i="2" s="1"/>
  <c r="G991" i="2"/>
  <c r="H991" i="2" s="1"/>
  <c r="G992" i="2"/>
  <c r="H992" i="2" s="1"/>
  <c r="G993" i="2"/>
  <c r="H993" i="2" s="1"/>
  <c r="G994" i="2"/>
  <c r="H994" i="2" s="1"/>
  <c r="G995" i="2"/>
  <c r="H995" i="2" s="1"/>
  <c r="G996" i="2"/>
  <c r="H996" i="2" s="1"/>
  <c r="G997" i="2"/>
  <c r="H997" i="2" s="1"/>
  <c r="G998" i="2"/>
  <c r="H998" i="2" s="1"/>
  <c r="G999" i="2"/>
  <c r="H999" i="2" s="1"/>
  <c r="G1000" i="2"/>
  <c r="H1000" i="2" s="1"/>
  <c r="G1001" i="2"/>
  <c r="H1001" i="2" s="1"/>
  <c r="G1002" i="2"/>
  <c r="H1002" i="2" s="1"/>
  <c r="G1003" i="2"/>
  <c r="H1003" i="2" s="1"/>
  <c r="G1004" i="2"/>
  <c r="H1004" i="2" s="1"/>
  <c r="G1005" i="2"/>
  <c r="H1005" i="2" s="1"/>
  <c r="G1006" i="2"/>
  <c r="H1006" i="2" s="1"/>
  <c r="G1007" i="2"/>
  <c r="H1007" i="2" s="1"/>
  <c r="G1008" i="2"/>
  <c r="H1008" i="2" s="1"/>
  <c r="G1009" i="2"/>
  <c r="H1009" i="2" s="1"/>
  <c r="G1010" i="2"/>
  <c r="H1010" i="2" s="1"/>
  <c r="G1011" i="2"/>
  <c r="H1011" i="2" s="1"/>
  <c r="G1012" i="2"/>
  <c r="H1012" i="2" s="1"/>
  <c r="G1013" i="2"/>
  <c r="H1013" i="2" s="1"/>
  <c r="G1014" i="2"/>
  <c r="H1014" i="2" s="1"/>
  <c r="G1015" i="2"/>
  <c r="H1015" i="2" s="1"/>
  <c r="G1016" i="2"/>
  <c r="H1016" i="2" s="1"/>
  <c r="G1017" i="2"/>
  <c r="H1017" i="2" s="1"/>
  <c r="G1018" i="2"/>
  <c r="H1018" i="2" s="1"/>
  <c r="G1019" i="2"/>
  <c r="H1019" i="2" s="1"/>
  <c r="G1020" i="2"/>
  <c r="H1020" i="2" s="1"/>
  <c r="G1021" i="2"/>
  <c r="H1021" i="2" s="1"/>
  <c r="G1022" i="2"/>
  <c r="H1022" i="2" s="1"/>
  <c r="G1023" i="2"/>
  <c r="H1023" i="2" s="1"/>
  <c r="G1024" i="2"/>
  <c r="H1024" i="2" s="1"/>
  <c r="G1025" i="2"/>
  <c r="H1025" i="2" s="1"/>
  <c r="G1026" i="2"/>
  <c r="H1026" i="2" s="1"/>
  <c r="G1027" i="2"/>
  <c r="H1027" i="2" s="1"/>
  <c r="G1028" i="2"/>
  <c r="H1028" i="2" s="1"/>
  <c r="G1029" i="2"/>
  <c r="H1029" i="2" s="1"/>
  <c r="G1030" i="2"/>
  <c r="H1030" i="2" s="1"/>
  <c r="G1031" i="2"/>
  <c r="H1031" i="2" s="1"/>
  <c r="G1032" i="2"/>
  <c r="H1032" i="2" s="1"/>
  <c r="G1033" i="2"/>
  <c r="H1033" i="2" s="1"/>
  <c r="G1034" i="2"/>
  <c r="H1034" i="2" s="1"/>
  <c r="G1035" i="2"/>
  <c r="H1035" i="2" s="1"/>
  <c r="G1036" i="2"/>
  <c r="H1036" i="2" s="1"/>
  <c r="G1037" i="2"/>
  <c r="H1037" i="2" s="1"/>
  <c r="G1038" i="2"/>
  <c r="H1038" i="2" s="1"/>
  <c r="G1039" i="2"/>
  <c r="H1039" i="2" s="1"/>
  <c r="G1040" i="2"/>
  <c r="H1040" i="2" s="1"/>
  <c r="G1041" i="2"/>
  <c r="H1041" i="2" s="1"/>
  <c r="G1042" i="2"/>
  <c r="H1042" i="2" s="1"/>
  <c r="G1043" i="2"/>
  <c r="H1043" i="2" s="1"/>
  <c r="G1044" i="2"/>
  <c r="H1044" i="2" s="1"/>
  <c r="G1045" i="2"/>
  <c r="H1045" i="2" s="1"/>
  <c r="G1046" i="2"/>
  <c r="H1046" i="2" s="1"/>
  <c r="G1047" i="2"/>
  <c r="H1047" i="2" s="1"/>
  <c r="G1048" i="2"/>
  <c r="H1048" i="2" s="1"/>
  <c r="G1049" i="2"/>
  <c r="H1049" i="2" s="1"/>
  <c r="G1050" i="2"/>
  <c r="H1050" i="2" s="1"/>
  <c r="G1051" i="2"/>
  <c r="H1051" i="2" s="1"/>
  <c r="G1052" i="2"/>
  <c r="H1052" i="2" s="1"/>
  <c r="G1053" i="2"/>
  <c r="H1053" i="2" s="1"/>
  <c r="G1054" i="2"/>
  <c r="H1054" i="2" s="1"/>
  <c r="G1055" i="2"/>
  <c r="H1055" i="2" s="1"/>
  <c r="G1056" i="2"/>
  <c r="H1056" i="2" s="1"/>
  <c r="G1057" i="2"/>
  <c r="H1057" i="2" s="1"/>
  <c r="G1058" i="2"/>
  <c r="H1058" i="2" s="1"/>
  <c r="G1059" i="2"/>
  <c r="H1059" i="2" s="1"/>
  <c r="G1060" i="2"/>
  <c r="H1060" i="2" s="1"/>
  <c r="G1061" i="2"/>
  <c r="H1061" i="2" s="1"/>
  <c r="G1062" i="2"/>
  <c r="H1062" i="2" s="1"/>
  <c r="G1063" i="2"/>
  <c r="H1063" i="2" s="1"/>
  <c r="G1064" i="2"/>
  <c r="H1064" i="2" s="1"/>
  <c r="G1065" i="2"/>
  <c r="H1065" i="2" s="1"/>
  <c r="G1066" i="2"/>
  <c r="H1066" i="2" s="1"/>
  <c r="G1067" i="2"/>
  <c r="H1067" i="2" s="1"/>
  <c r="G1068" i="2"/>
  <c r="H1068" i="2" s="1"/>
  <c r="G1069" i="2"/>
  <c r="H1069" i="2" s="1"/>
  <c r="G1070" i="2"/>
  <c r="H1070" i="2" s="1"/>
  <c r="G1071" i="2"/>
  <c r="H1071" i="2" s="1"/>
  <c r="G1072" i="2"/>
  <c r="H1072" i="2" s="1"/>
  <c r="G1073" i="2"/>
  <c r="H1073" i="2" s="1"/>
  <c r="G1074" i="2"/>
  <c r="H1074" i="2" s="1"/>
  <c r="G1075" i="2"/>
  <c r="H1075" i="2" s="1"/>
  <c r="G1076" i="2"/>
  <c r="H1076" i="2" s="1"/>
  <c r="G1077" i="2"/>
  <c r="H1077" i="2" s="1"/>
  <c r="G1078" i="2"/>
  <c r="H1078" i="2" s="1"/>
  <c r="G1079" i="2"/>
  <c r="H1079" i="2" s="1"/>
  <c r="G1080" i="2"/>
  <c r="H1080" i="2" s="1"/>
  <c r="G1081" i="2"/>
  <c r="H1081" i="2" s="1"/>
  <c r="G1082" i="2"/>
  <c r="H1082" i="2" s="1"/>
  <c r="G1083" i="2"/>
  <c r="H1083" i="2" s="1"/>
  <c r="G1084" i="2"/>
  <c r="H1084" i="2" s="1"/>
  <c r="G1085" i="2"/>
  <c r="H1085" i="2" s="1"/>
  <c r="G1086" i="2"/>
  <c r="H1086" i="2" s="1"/>
  <c r="G1087" i="2"/>
  <c r="H1087" i="2" s="1"/>
  <c r="G1088" i="2"/>
  <c r="H1088" i="2" s="1"/>
  <c r="G1089" i="2"/>
  <c r="H1089" i="2" s="1"/>
  <c r="G1090" i="2"/>
  <c r="H1090" i="2" s="1"/>
  <c r="G1091" i="2"/>
  <c r="H1091" i="2" s="1"/>
  <c r="G1092" i="2"/>
  <c r="H1092" i="2" s="1"/>
  <c r="G1093" i="2"/>
  <c r="H1093" i="2" s="1"/>
  <c r="G1094" i="2"/>
  <c r="H1094" i="2" s="1"/>
  <c r="G1095" i="2"/>
  <c r="H1095" i="2" s="1"/>
  <c r="G1096" i="2"/>
  <c r="H1096" i="2" s="1"/>
  <c r="G1097" i="2"/>
  <c r="H1097" i="2" s="1"/>
  <c r="G1098" i="2"/>
  <c r="H1098" i="2" s="1"/>
  <c r="G1099" i="2"/>
  <c r="H1099" i="2" s="1"/>
  <c r="G1100" i="2"/>
  <c r="H1100" i="2" s="1"/>
  <c r="G1101" i="2"/>
  <c r="H1101" i="2" s="1"/>
  <c r="G1102" i="2"/>
  <c r="H1102" i="2" s="1"/>
  <c r="G1103" i="2"/>
  <c r="H1103" i="2" s="1"/>
  <c r="G1104" i="2"/>
  <c r="H1104" i="2" s="1"/>
  <c r="G1105" i="2"/>
  <c r="H1105" i="2" s="1"/>
  <c r="G1106" i="2"/>
  <c r="H1106" i="2" s="1"/>
  <c r="G1107" i="2"/>
  <c r="H1107" i="2" s="1"/>
  <c r="G1108" i="2"/>
  <c r="H1108" i="2" s="1"/>
  <c r="G1109" i="2"/>
  <c r="H1109" i="2" s="1"/>
  <c r="G1110" i="2"/>
  <c r="H1110" i="2" s="1"/>
  <c r="G1111" i="2"/>
  <c r="H1111" i="2" s="1"/>
  <c r="G1112" i="2"/>
  <c r="H1112" i="2" s="1"/>
  <c r="G1113" i="2"/>
  <c r="H1113" i="2" s="1"/>
  <c r="G1114" i="2"/>
  <c r="H1114" i="2" s="1"/>
  <c r="G1115" i="2"/>
  <c r="H1115" i="2" s="1"/>
  <c r="G1116" i="2"/>
  <c r="H1116" i="2" s="1"/>
  <c r="G1117" i="2"/>
  <c r="H1117" i="2" s="1"/>
  <c r="G1118" i="2"/>
  <c r="H1118" i="2" s="1"/>
  <c r="G1119" i="2"/>
  <c r="H1119" i="2" s="1"/>
  <c r="G1120" i="2"/>
  <c r="H1120" i="2" s="1"/>
  <c r="G1121" i="2"/>
  <c r="H1121" i="2" s="1"/>
  <c r="G1122" i="2"/>
  <c r="H1122" i="2" s="1"/>
  <c r="G1123" i="2"/>
  <c r="H1123" i="2" s="1"/>
  <c r="G1124" i="2"/>
  <c r="H1124" i="2" s="1"/>
  <c r="G1125" i="2"/>
  <c r="H1125" i="2" s="1"/>
  <c r="G1126" i="2"/>
  <c r="H1126" i="2" s="1"/>
  <c r="G1127" i="2"/>
  <c r="H1127" i="2" s="1"/>
  <c r="G1128" i="2"/>
  <c r="H1128" i="2" s="1"/>
  <c r="G1129" i="2"/>
  <c r="H1129" i="2" s="1"/>
  <c r="G1130" i="2"/>
  <c r="H1130" i="2" s="1"/>
  <c r="G1131" i="2"/>
  <c r="H1131" i="2" s="1"/>
  <c r="G1132" i="2"/>
  <c r="H1132" i="2" s="1"/>
  <c r="G1133" i="2"/>
  <c r="H1133" i="2" s="1"/>
  <c r="G1134" i="2"/>
  <c r="H1134" i="2" s="1"/>
  <c r="G1135" i="2"/>
  <c r="H1135" i="2" s="1"/>
  <c r="G1136" i="2"/>
  <c r="H1136" i="2" s="1"/>
  <c r="G1137" i="2"/>
  <c r="H1137" i="2" s="1"/>
  <c r="G1138" i="2"/>
  <c r="H1138" i="2" s="1"/>
  <c r="G1139" i="2"/>
  <c r="H1139" i="2" s="1"/>
  <c r="G1140" i="2"/>
  <c r="H1140" i="2" s="1"/>
  <c r="G1141" i="2"/>
  <c r="H1141" i="2" s="1"/>
  <c r="G1142" i="2"/>
  <c r="H1142" i="2" s="1"/>
  <c r="G1143" i="2"/>
  <c r="H1143" i="2" s="1"/>
  <c r="G1144" i="2"/>
  <c r="H1144" i="2" s="1"/>
  <c r="G1145" i="2"/>
  <c r="H1145" i="2" s="1"/>
  <c r="G1146" i="2"/>
  <c r="H1146" i="2" s="1"/>
  <c r="G1147" i="2"/>
  <c r="H1147" i="2" s="1"/>
  <c r="G1148" i="2"/>
  <c r="H1148" i="2" s="1"/>
  <c r="G1149" i="2"/>
  <c r="H1149" i="2" s="1"/>
  <c r="G1150" i="2"/>
  <c r="H1150" i="2" s="1"/>
  <c r="G1151" i="2"/>
  <c r="H1151" i="2" s="1"/>
  <c r="G1152" i="2"/>
  <c r="H1152" i="2" s="1"/>
  <c r="G1153" i="2"/>
  <c r="H1153" i="2" s="1"/>
  <c r="G1154" i="2"/>
  <c r="H1154" i="2" s="1"/>
  <c r="G1155" i="2"/>
  <c r="H1155" i="2" s="1"/>
  <c r="G1156" i="2"/>
  <c r="H1156" i="2" s="1"/>
  <c r="G1157" i="2"/>
  <c r="H1157" i="2" s="1"/>
  <c r="G1158" i="2"/>
  <c r="H1158" i="2" s="1"/>
  <c r="G1159" i="2"/>
  <c r="H1159" i="2" s="1"/>
  <c r="G1160" i="2"/>
  <c r="H1160" i="2" s="1"/>
  <c r="G1161" i="2"/>
  <c r="H1161" i="2" s="1"/>
  <c r="G1162" i="2"/>
  <c r="H1162" i="2" s="1"/>
  <c r="G1163" i="2"/>
  <c r="H1163" i="2" s="1"/>
  <c r="G1164" i="2"/>
  <c r="H1164" i="2" s="1"/>
  <c r="G1165" i="2"/>
  <c r="H1165" i="2" s="1"/>
  <c r="G1166" i="2"/>
  <c r="H1166" i="2" s="1"/>
  <c r="G1167" i="2"/>
  <c r="H1167" i="2" s="1"/>
  <c r="G1168" i="2"/>
  <c r="H1168" i="2" s="1"/>
  <c r="G1169" i="2"/>
  <c r="H1169" i="2" s="1"/>
  <c r="G1170" i="2"/>
  <c r="H1170" i="2" s="1"/>
  <c r="G1171" i="2"/>
  <c r="H1171" i="2" s="1"/>
  <c r="G1172" i="2"/>
  <c r="H1172" i="2" s="1"/>
  <c r="G1173" i="2"/>
  <c r="H1173" i="2" s="1"/>
  <c r="G1174" i="2"/>
  <c r="H1174" i="2" s="1"/>
  <c r="G1175" i="2"/>
  <c r="H1175" i="2" s="1"/>
  <c r="G1176" i="2"/>
  <c r="H1176" i="2" s="1"/>
  <c r="G1177" i="2"/>
  <c r="H1177" i="2" s="1"/>
  <c r="G1178" i="2"/>
  <c r="H1178" i="2" s="1"/>
  <c r="G1179" i="2"/>
  <c r="H1179" i="2" s="1"/>
  <c r="G1180" i="2"/>
  <c r="H1180" i="2" s="1"/>
  <c r="G1181" i="2"/>
  <c r="H1181" i="2" s="1"/>
  <c r="G1182" i="2"/>
  <c r="H1182" i="2" s="1"/>
  <c r="G1183" i="2"/>
  <c r="H1183" i="2" s="1"/>
  <c r="G1184" i="2"/>
  <c r="H1184" i="2" s="1"/>
  <c r="G1185" i="2"/>
  <c r="H1185" i="2" s="1"/>
  <c r="G1186" i="2"/>
  <c r="H1186" i="2" s="1"/>
  <c r="G1187" i="2"/>
  <c r="H1187" i="2" s="1"/>
  <c r="G1188" i="2"/>
  <c r="H1188" i="2" s="1"/>
  <c r="G1189" i="2"/>
  <c r="H1189" i="2" s="1"/>
  <c r="G1190" i="2"/>
  <c r="H1190" i="2" s="1"/>
  <c r="G1191" i="2"/>
  <c r="H1191" i="2" s="1"/>
  <c r="G1192" i="2"/>
  <c r="H1192" i="2" s="1"/>
  <c r="G1193" i="2"/>
  <c r="H1193" i="2" s="1"/>
  <c r="G1194" i="2"/>
  <c r="H1194" i="2" s="1"/>
  <c r="G1195" i="2"/>
  <c r="H1195" i="2" s="1"/>
  <c r="G1196" i="2"/>
  <c r="H1196" i="2" s="1"/>
  <c r="G1197" i="2"/>
  <c r="H1197" i="2" s="1"/>
  <c r="G1198" i="2"/>
  <c r="H1198" i="2" s="1"/>
  <c r="G1199" i="2"/>
  <c r="H1199" i="2" s="1"/>
  <c r="G1200" i="2"/>
  <c r="H1200" i="2" s="1"/>
  <c r="G1201" i="2"/>
  <c r="H1201" i="2" s="1"/>
  <c r="G1202" i="2"/>
  <c r="H1202" i="2" s="1"/>
  <c r="G1203" i="2"/>
  <c r="H1203" i="2" s="1"/>
  <c r="G1204" i="2"/>
  <c r="H1204" i="2" s="1"/>
  <c r="G1205" i="2"/>
  <c r="H1205" i="2" s="1"/>
  <c r="G1206" i="2"/>
  <c r="H1206" i="2" s="1"/>
  <c r="G1207" i="2"/>
  <c r="H1207" i="2" s="1"/>
  <c r="G1208" i="2"/>
  <c r="H1208" i="2" s="1"/>
  <c r="G1209" i="2"/>
  <c r="H1209" i="2" s="1"/>
  <c r="G1210" i="2"/>
  <c r="H1210" i="2" s="1"/>
  <c r="G1211" i="2"/>
  <c r="H1211" i="2" s="1"/>
  <c r="G1212" i="2"/>
  <c r="H1212" i="2" s="1"/>
  <c r="G1213" i="2"/>
  <c r="H1213" i="2" s="1"/>
  <c r="G1214" i="2"/>
  <c r="H1214" i="2" s="1"/>
  <c r="G1215" i="2"/>
  <c r="H1215" i="2" s="1"/>
  <c r="G1216" i="2"/>
  <c r="H1216" i="2" s="1"/>
  <c r="G1217" i="2"/>
  <c r="H1217" i="2" s="1"/>
  <c r="G1218" i="2"/>
  <c r="H1218" i="2" s="1"/>
  <c r="G1219" i="2"/>
  <c r="H1219" i="2" s="1"/>
  <c r="G1220" i="2"/>
  <c r="H1220" i="2" s="1"/>
  <c r="G1221" i="2"/>
  <c r="H1221" i="2" s="1"/>
  <c r="G1222" i="2"/>
  <c r="H1222" i="2" s="1"/>
  <c r="G1223" i="2"/>
  <c r="H1223" i="2" s="1"/>
  <c r="G1224" i="2"/>
  <c r="H1224" i="2" s="1"/>
  <c r="G1225" i="2"/>
  <c r="H1225" i="2" s="1"/>
  <c r="G1226" i="2"/>
  <c r="H1226" i="2" s="1"/>
  <c r="G1227" i="2"/>
  <c r="H1227" i="2" s="1"/>
  <c r="G1228" i="2"/>
  <c r="H1228" i="2" s="1"/>
  <c r="G1229" i="2"/>
  <c r="H1229" i="2" s="1"/>
  <c r="G1230" i="2"/>
  <c r="H1230" i="2" s="1"/>
  <c r="G1231" i="2"/>
  <c r="H1231" i="2" s="1"/>
  <c r="G1232" i="2"/>
  <c r="H1232" i="2" s="1"/>
  <c r="G1233" i="2"/>
  <c r="H1233" i="2" s="1"/>
  <c r="G1234" i="2"/>
  <c r="H1234" i="2" s="1"/>
  <c r="G1235" i="2"/>
  <c r="H1235" i="2" s="1"/>
  <c r="G1236" i="2"/>
  <c r="H1236" i="2" s="1"/>
  <c r="G1237" i="2"/>
  <c r="H1237" i="2" s="1"/>
  <c r="G1238" i="2"/>
  <c r="H1238" i="2" s="1"/>
  <c r="G1239" i="2"/>
  <c r="H1239" i="2" s="1"/>
  <c r="G1240" i="2"/>
  <c r="H1240" i="2" s="1"/>
  <c r="G1241" i="2"/>
  <c r="H1241" i="2" s="1"/>
  <c r="G1242" i="2"/>
  <c r="H1242" i="2" s="1"/>
  <c r="G1243" i="2"/>
  <c r="H1243" i="2" s="1"/>
  <c r="G1244" i="2"/>
  <c r="H1244" i="2" s="1"/>
  <c r="G1245" i="2"/>
  <c r="H1245" i="2" s="1"/>
  <c r="G1246" i="2"/>
  <c r="H1246" i="2" s="1"/>
  <c r="G1247" i="2"/>
  <c r="H1247" i="2" s="1"/>
  <c r="G1248" i="2"/>
  <c r="H1248" i="2" s="1"/>
  <c r="G1249" i="2"/>
  <c r="H1249" i="2" s="1"/>
  <c r="G1250" i="2"/>
  <c r="H1250" i="2" s="1"/>
  <c r="G1251" i="2"/>
  <c r="H1251" i="2" s="1"/>
  <c r="G1252" i="2"/>
  <c r="H1252" i="2" s="1"/>
  <c r="G1253" i="2"/>
  <c r="H1253" i="2" s="1"/>
  <c r="G1254" i="2"/>
  <c r="H1254" i="2" s="1"/>
  <c r="G1255" i="2"/>
  <c r="H1255" i="2" s="1"/>
  <c r="G1256" i="2"/>
  <c r="H1256" i="2" s="1"/>
  <c r="G1257" i="2"/>
  <c r="H1257" i="2" s="1"/>
  <c r="G1258" i="2"/>
  <c r="H1258" i="2" s="1"/>
  <c r="G1259" i="2"/>
  <c r="H1259" i="2" s="1"/>
  <c r="G1260" i="2"/>
  <c r="H1260" i="2" s="1"/>
  <c r="G1261" i="2"/>
  <c r="H1261" i="2" s="1"/>
  <c r="G1262" i="2"/>
  <c r="H1262" i="2" s="1"/>
  <c r="G1263" i="2"/>
  <c r="H1263" i="2" s="1"/>
  <c r="G1264" i="2"/>
  <c r="H1264" i="2" s="1"/>
  <c r="G1265" i="2"/>
  <c r="H1265" i="2" s="1"/>
  <c r="G1266" i="2"/>
  <c r="H1266" i="2" s="1"/>
  <c r="G1267" i="2"/>
  <c r="H1267" i="2" s="1"/>
  <c r="G1268" i="2"/>
  <c r="H1268" i="2" s="1"/>
  <c r="G1269" i="2"/>
  <c r="H1269" i="2" s="1"/>
  <c r="G1270" i="2"/>
  <c r="H1270" i="2" s="1"/>
  <c r="G1271" i="2"/>
  <c r="H1271" i="2" s="1"/>
  <c r="G1272" i="2"/>
  <c r="H1272" i="2" s="1"/>
  <c r="G1273" i="2"/>
  <c r="H1273" i="2" s="1"/>
  <c r="G1274" i="2"/>
  <c r="H1274" i="2" s="1"/>
  <c r="G1275" i="2"/>
  <c r="H1275" i="2" s="1"/>
  <c r="G1276" i="2"/>
  <c r="H1276" i="2" s="1"/>
  <c r="G1277" i="2"/>
  <c r="H1277" i="2" s="1"/>
  <c r="G1278" i="2"/>
  <c r="H1278" i="2" s="1"/>
  <c r="G1279" i="2"/>
  <c r="H1279" i="2" s="1"/>
  <c r="G1280" i="2"/>
  <c r="H1280" i="2" s="1"/>
  <c r="G1281" i="2"/>
  <c r="H1281" i="2" s="1"/>
  <c r="G1282" i="2"/>
  <c r="H1282" i="2" s="1"/>
  <c r="G1283" i="2"/>
  <c r="H1283" i="2" s="1"/>
  <c r="G1284" i="2"/>
  <c r="H1284" i="2" s="1"/>
  <c r="G1285" i="2"/>
  <c r="H1285" i="2" s="1"/>
  <c r="G1286" i="2"/>
  <c r="H1286" i="2" s="1"/>
  <c r="G1287" i="2"/>
  <c r="H1287" i="2" s="1"/>
  <c r="G1288" i="2"/>
  <c r="H1288" i="2" s="1"/>
  <c r="G1289" i="2"/>
  <c r="H1289" i="2" s="1"/>
  <c r="G1290" i="2"/>
  <c r="H1290" i="2" s="1"/>
  <c r="G1291" i="2"/>
  <c r="H1291" i="2" s="1"/>
  <c r="G1292" i="2"/>
  <c r="H1292" i="2" s="1"/>
  <c r="G1293" i="2"/>
  <c r="H1293" i="2" s="1"/>
  <c r="G1294" i="2"/>
  <c r="H1294" i="2" s="1"/>
  <c r="G1295" i="2"/>
  <c r="H1295" i="2" s="1"/>
  <c r="G1296" i="2"/>
  <c r="H1296" i="2" s="1"/>
  <c r="G1297" i="2"/>
  <c r="H1297" i="2" s="1"/>
  <c r="G1298" i="2"/>
  <c r="H1298" i="2" s="1"/>
  <c r="G1299" i="2"/>
  <c r="H1299" i="2" s="1"/>
  <c r="G1300" i="2"/>
  <c r="H1300" i="2" s="1"/>
  <c r="G1301" i="2"/>
  <c r="H1301" i="2" s="1"/>
  <c r="G1302" i="2"/>
  <c r="H1302" i="2" s="1"/>
  <c r="G1303" i="2"/>
  <c r="H1303" i="2" s="1"/>
  <c r="G1304" i="2"/>
  <c r="H1304" i="2" s="1"/>
  <c r="G1305" i="2"/>
  <c r="H1305" i="2" s="1"/>
  <c r="G1306" i="2"/>
  <c r="H1306" i="2" s="1"/>
  <c r="G1307" i="2"/>
  <c r="H1307" i="2" s="1"/>
  <c r="G1308" i="2"/>
  <c r="H1308" i="2" s="1"/>
  <c r="G1309" i="2"/>
  <c r="H1309" i="2" s="1"/>
  <c r="G1310" i="2"/>
  <c r="H1310" i="2" s="1"/>
  <c r="G1311" i="2"/>
  <c r="H1311" i="2" s="1"/>
  <c r="G1312" i="2"/>
  <c r="H1312" i="2" s="1"/>
  <c r="G1313" i="2"/>
  <c r="H1313" i="2" s="1"/>
  <c r="G1314" i="2"/>
  <c r="H1314" i="2" s="1"/>
  <c r="G1315" i="2"/>
  <c r="H1315" i="2" s="1"/>
  <c r="G1316" i="2"/>
  <c r="H1316" i="2" s="1"/>
  <c r="G1317" i="2"/>
  <c r="H1317" i="2" s="1"/>
  <c r="G1318" i="2"/>
  <c r="H1318" i="2" s="1"/>
  <c r="G1319" i="2"/>
  <c r="H1319" i="2" s="1"/>
  <c r="G1320" i="2"/>
  <c r="H1320" i="2" s="1"/>
  <c r="G1321" i="2"/>
  <c r="H1321" i="2" s="1"/>
  <c r="G1322" i="2"/>
  <c r="H1322" i="2" s="1"/>
  <c r="G1323" i="2"/>
  <c r="H1323" i="2" s="1"/>
  <c r="G1324" i="2"/>
  <c r="H1324" i="2" s="1"/>
  <c r="G1325" i="2"/>
  <c r="H1325" i="2" s="1"/>
  <c r="G1326" i="2"/>
  <c r="H1326" i="2" s="1"/>
  <c r="G1327" i="2"/>
  <c r="H1327" i="2" s="1"/>
  <c r="G1328" i="2"/>
  <c r="H1328" i="2" s="1"/>
  <c r="G1329" i="2"/>
  <c r="H1329" i="2" s="1"/>
  <c r="G1330" i="2"/>
  <c r="H1330" i="2" s="1"/>
  <c r="G1331" i="2"/>
  <c r="H1331" i="2" s="1"/>
  <c r="G1332" i="2"/>
  <c r="H1332" i="2" s="1"/>
  <c r="G1333" i="2"/>
  <c r="H1333" i="2" s="1"/>
  <c r="G1334" i="2"/>
  <c r="H1334" i="2" s="1"/>
  <c r="G1335" i="2"/>
  <c r="H1335" i="2" s="1"/>
  <c r="G1336" i="2"/>
  <c r="H1336" i="2" s="1"/>
  <c r="G1337" i="2"/>
  <c r="H1337" i="2" s="1"/>
  <c r="G1338" i="2"/>
  <c r="H1338" i="2" s="1"/>
  <c r="G1339" i="2"/>
  <c r="H1339" i="2" s="1"/>
  <c r="G1340" i="2"/>
  <c r="H1340" i="2" s="1"/>
  <c r="G1341" i="2"/>
  <c r="H1341" i="2" s="1"/>
  <c r="G1342" i="2"/>
  <c r="H1342" i="2" s="1"/>
  <c r="G1343" i="2"/>
  <c r="H1343" i="2" s="1"/>
  <c r="G1344" i="2"/>
  <c r="H1344" i="2" s="1"/>
  <c r="G1345" i="2"/>
  <c r="H1345" i="2" s="1"/>
  <c r="G1346" i="2"/>
  <c r="H1346" i="2" s="1"/>
  <c r="G1347" i="2"/>
  <c r="H1347" i="2" s="1"/>
  <c r="G1348" i="2"/>
  <c r="H1348" i="2" s="1"/>
  <c r="G1349" i="2"/>
  <c r="H1349" i="2" s="1"/>
  <c r="G1350" i="2"/>
  <c r="H1350" i="2" s="1"/>
  <c r="G1351" i="2"/>
  <c r="H1351" i="2" s="1"/>
  <c r="G1352" i="2"/>
  <c r="H1352" i="2" s="1"/>
  <c r="G1353" i="2"/>
  <c r="H1353" i="2" s="1"/>
  <c r="G1354" i="2"/>
  <c r="H1354" i="2" s="1"/>
  <c r="G1355" i="2"/>
  <c r="H1355" i="2" s="1"/>
  <c r="G1356" i="2"/>
  <c r="H1356" i="2" s="1"/>
  <c r="G1357" i="2"/>
  <c r="H1357" i="2" s="1"/>
  <c r="G1358" i="2"/>
  <c r="H1358" i="2" s="1"/>
  <c r="G1359" i="2"/>
  <c r="H1359" i="2" s="1"/>
  <c r="G1360" i="2"/>
  <c r="H1360" i="2" s="1"/>
  <c r="G1361" i="2"/>
  <c r="H1361" i="2" s="1"/>
  <c r="G1362" i="2"/>
  <c r="H1362" i="2" s="1"/>
  <c r="G1363" i="2"/>
  <c r="H1363" i="2" s="1"/>
  <c r="G1364" i="2"/>
  <c r="H1364" i="2" s="1"/>
  <c r="G1365" i="2"/>
  <c r="H1365" i="2" s="1"/>
  <c r="G1366" i="2"/>
  <c r="H1366" i="2" s="1"/>
  <c r="G1367" i="2"/>
  <c r="H1367" i="2" s="1"/>
  <c r="G1368" i="2"/>
  <c r="H1368" i="2" s="1"/>
  <c r="G1369" i="2"/>
  <c r="H1369" i="2" s="1"/>
  <c r="G1370" i="2"/>
  <c r="H1370" i="2" s="1"/>
  <c r="G1371" i="2"/>
  <c r="H1371" i="2" s="1"/>
  <c r="G1372" i="2"/>
  <c r="H1372" i="2" s="1"/>
  <c r="G1373" i="2"/>
  <c r="H1373" i="2" s="1"/>
  <c r="G1374" i="2"/>
  <c r="H1374" i="2" s="1"/>
  <c r="G1375" i="2"/>
  <c r="H1375" i="2" s="1"/>
  <c r="G1376" i="2"/>
  <c r="H1376" i="2" s="1"/>
  <c r="G1377" i="2"/>
  <c r="H1377" i="2" s="1"/>
  <c r="G1378" i="2"/>
  <c r="H1378" i="2" s="1"/>
  <c r="G1379" i="2"/>
  <c r="H1379" i="2" s="1"/>
  <c r="G1380" i="2"/>
  <c r="H1380" i="2" s="1"/>
  <c r="G1381" i="2"/>
  <c r="H1381" i="2" s="1"/>
  <c r="G1382" i="2"/>
  <c r="H1382" i="2" s="1"/>
  <c r="G1383" i="2"/>
  <c r="H1383" i="2" s="1"/>
  <c r="G1384" i="2"/>
  <c r="H1384" i="2" s="1"/>
  <c r="G1385" i="2"/>
  <c r="H1385" i="2" s="1"/>
  <c r="G1386" i="2"/>
  <c r="H1386" i="2" s="1"/>
  <c r="G1387" i="2"/>
  <c r="H1387" i="2" s="1"/>
  <c r="G1388" i="2"/>
  <c r="H1388" i="2" s="1"/>
  <c r="G1389" i="2"/>
  <c r="H1389" i="2" s="1"/>
  <c r="G1390" i="2"/>
  <c r="H1390" i="2" s="1"/>
  <c r="G1391" i="2"/>
  <c r="H1391" i="2" s="1"/>
  <c r="G1392" i="2"/>
  <c r="H1392" i="2" s="1"/>
  <c r="G1393" i="2"/>
  <c r="H1393" i="2" s="1"/>
  <c r="G1394" i="2"/>
  <c r="H1394" i="2" s="1"/>
  <c r="G1395" i="2"/>
  <c r="H1395" i="2" s="1"/>
  <c r="G1396" i="2"/>
  <c r="H1396" i="2" s="1"/>
  <c r="G1397" i="2"/>
  <c r="H1397" i="2" s="1"/>
  <c r="G1398" i="2"/>
  <c r="H1398" i="2" s="1"/>
  <c r="G1399" i="2"/>
  <c r="H1399" i="2" s="1"/>
  <c r="G1400" i="2"/>
  <c r="H1400" i="2" s="1"/>
  <c r="G1401" i="2"/>
  <c r="H1401" i="2" s="1"/>
  <c r="G1402" i="2"/>
  <c r="H1402" i="2" s="1"/>
  <c r="G1403" i="2"/>
  <c r="H1403" i="2" s="1"/>
  <c r="G1404" i="2"/>
  <c r="H1404" i="2" s="1"/>
  <c r="G1405" i="2"/>
  <c r="H1405" i="2" s="1"/>
  <c r="G1406" i="2"/>
  <c r="H1406" i="2" s="1"/>
  <c r="G1407" i="2"/>
  <c r="H1407" i="2" s="1"/>
  <c r="G1408" i="2"/>
  <c r="H1408" i="2" s="1"/>
  <c r="G1409" i="2"/>
  <c r="H1409" i="2" s="1"/>
  <c r="G1410" i="2"/>
  <c r="H1410" i="2" s="1"/>
  <c r="G1411" i="2"/>
  <c r="H1411" i="2" s="1"/>
  <c r="G1412" i="2"/>
  <c r="H1412" i="2" s="1"/>
  <c r="G1413" i="2"/>
  <c r="H1413" i="2" s="1"/>
  <c r="G1414" i="2"/>
  <c r="H1414" i="2" s="1"/>
  <c r="G1415" i="2"/>
  <c r="H1415" i="2" s="1"/>
  <c r="G1416" i="2"/>
  <c r="H1416" i="2" s="1"/>
  <c r="G1417" i="2"/>
  <c r="H1417" i="2" s="1"/>
  <c r="G1418" i="2"/>
  <c r="H1418" i="2" s="1"/>
  <c r="G1419" i="2"/>
  <c r="H1419" i="2" s="1"/>
  <c r="G1420" i="2"/>
  <c r="H1420" i="2" s="1"/>
  <c r="G1421" i="2"/>
  <c r="H1421" i="2" s="1"/>
  <c r="G1422" i="2"/>
  <c r="H1422" i="2" s="1"/>
  <c r="G1423" i="2"/>
  <c r="H1423" i="2" s="1"/>
  <c r="G1424" i="2"/>
  <c r="H1424" i="2" s="1"/>
  <c r="G1425" i="2"/>
  <c r="H1425" i="2" s="1"/>
  <c r="G1426" i="2"/>
  <c r="H1426" i="2" s="1"/>
  <c r="G1427" i="2"/>
  <c r="H1427" i="2" s="1"/>
  <c r="G1428" i="2"/>
  <c r="H1428" i="2" s="1"/>
  <c r="G1429" i="2"/>
  <c r="H1429" i="2" s="1"/>
  <c r="G1430" i="2"/>
  <c r="H1430" i="2" s="1"/>
  <c r="G1431" i="2"/>
  <c r="H1431" i="2" s="1"/>
  <c r="G1432" i="2"/>
  <c r="H1432" i="2" s="1"/>
  <c r="G1433" i="2"/>
  <c r="H1433" i="2" s="1"/>
  <c r="G1434" i="2"/>
  <c r="H1434" i="2" s="1"/>
  <c r="G1435" i="2"/>
  <c r="H1435" i="2" s="1"/>
  <c r="G1436" i="2"/>
  <c r="H1436" i="2" s="1"/>
  <c r="G1437" i="2"/>
  <c r="H1437" i="2" s="1"/>
  <c r="G1438" i="2"/>
  <c r="H1438" i="2" s="1"/>
  <c r="G1439" i="2"/>
  <c r="H1439" i="2" s="1"/>
  <c r="G1440" i="2"/>
  <c r="H1440" i="2" s="1"/>
  <c r="G1441" i="2"/>
  <c r="H1441" i="2" s="1"/>
  <c r="G1442" i="2"/>
  <c r="H1442" i="2" s="1"/>
  <c r="G1443" i="2"/>
  <c r="H1443" i="2" s="1"/>
  <c r="G1444" i="2"/>
  <c r="H1444" i="2" s="1"/>
  <c r="G1445" i="2"/>
  <c r="H1445" i="2" s="1"/>
  <c r="G1446" i="2"/>
  <c r="H1446" i="2" s="1"/>
  <c r="G1447" i="2"/>
  <c r="H1447" i="2" s="1"/>
  <c r="G1448" i="2"/>
  <c r="H1448" i="2" s="1"/>
  <c r="G1449" i="2"/>
  <c r="H1449" i="2" s="1"/>
  <c r="G1450" i="2"/>
  <c r="H1450" i="2" s="1"/>
  <c r="G1451" i="2"/>
  <c r="H1451" i="2" s="1"/>
  <c r="G1452" i="2"/>
  <c r="H1452" i="2" s="1"/>
  <c r="G1453" i="2"/>
  <c r="H1453" i="2" s="1"/>
  <c r="G1454" i="2"/>
  <c r="H1454" i="2" s="1"/>
  <c r="G1455" i="2"/>
  <c r="H1455" i="2" s="1"/>
  <c r="G1456" i="2"/>
  <c r="H1456" i="2" s="1"/>
  <c r="G1457" i="2"/>
  <c r="H1457" i="2" s="1"/>
  <c r="G1458" i="2"/>
  <c r="H1458" i="2" s="1"/>
  <c r="G1459" i="2"/>
  <c r="H1459" i="2" s="1"/>
  <c r="G1460" i="2"/>
  <c r="H1460" i="2" s="1"/>
  <c r="G1461" i="2"/>
  <c r="H1461" i="2" s="1"/>
  <c r="G1462" i="2"/>
  <c r="H1462" i="2" s="1"/>
  <c r="G1463" i="2"/>
  <c r="H1463" i="2" s="1"/>
  <c r="G1464" i="2"/>
  <c r="H1464" i="2" s="1"/>
  <c r="G1465" i="2"/>
  <c r="H1465" i="2" s="1"/>
  <c r="G1466" i="2"/>
  <c r="H1466" i="2" s="1"/>
  <c r="G1467" i="2"/>
  <c r="H1467" i="2" s="1"/>
  <c r="G1468" i="2"/>
  <c r="H1468" i="2" s="1"/>
  <c r="G1469" i="2"/>
  <c r="H1469" i="2" s="1"/>
  <c r="G1470" i="2"/>
  <c r="H1470" i="2" s="1"/>
  <c r="G1471" i="2"/>
  <c r="H1471" i="2" s="1"/>
  <c r="G1472" i="2"/>
  <c r="H1472" i="2" s="1"/>
  <c r="G1473" i="2"/>
  <c r="H1473" i="2" s="1"/>
  <c r="G1474" i="2"/>
  <c r="H1474" i="2" s="1"/>
  <c r="G1475" i="2"/>
  <c r="H1475" i="2" s="1"/>
  <c r="G1476" i="2"/>
  <c r="H1476" i="2" s="1"/>
  <c r="G1477" i="2"/>
  <c r="H1477" i="2" s="1"/>
  <c r="G1478" i="2"/>
  <c r="H1478" i="2" s="1"/>
  <c r="G1479" i="2"/>
  <c r="H1479" i="2" s="1"/>
  <c r="G1480" i="2"/>
  <c r="H1480" i="2" s="1"/>
  <c r="G1481" i="2"/>
  <c r="H1481" i="2" s="1"/>
  <c r="G1482" i="2"/>
  <c r="H1482" i="2" s="1"/>
  <c r="G1483" i="2"/>
  <c r="H1483" i="2" s="1"/>
  <c r="G1484" i="2"/>
  <c r="H1484" i="2" s="1"/>
  <c r="G1485" i="2"/>
  <c r="H1485" i="2" s="1"/>
  <c r="G1486" i="2"/>
  <c r="H1486" i="2" s="1"/>
  <c r="G1487" i="2"/>
  <c r="H1487" i="2" s="1"/>
  <c r="G1488" i="2"/>
  <c r="H1488" i="2" s="1"/>
  <c r="G1489" i="2"/>
  <c r="H1489" i="2" s="1"/>
  <c r="G1490" i="2"/>
  <c r="H1490" i="2" s="1"/>
  <c r="G1491" i="2"/>
  <c r="H1491" i="2" s="1"/>
  <c r="G1492" i="2"/>
  <c r="H1492" i="2" s="1"/>
  <c r="G1493" i="2"/>
  <c r="H1493" i="2" s="1"/>
  <c r="G1494" i="2"/>
  <c r="H1494" i="2" s="1"/>
  <c r="G1495" i="2"/>
  <c r="H1495" i="2" s="1"/>
  <c r="G1496" i="2"/>
  <c r="H1496" i="2" s="1"/>
  <c r="G1497" i="2"/>
  <c r="H1497" i="2" s="1"/>
  <c r="G1498" i="2"/>
  <c r="H1498" i="2" s="1"/>
  <c r="G1499" i="2"/>
  <c r="H1499" i="2" s="1"/>
  <c r="G1500" i="2"/>
  <c r="H1500" i="2" s="1"/>
  <c r="G1501" i="2"/>
  <c r="H1501" i="2" s="1"/>
  <c r="G1502" i="2"/>
  <c r="H1502" i="2" s="1"/>
  <c r="G1503" i="2"/>
  <c r="H1503" i="2" s="1"/>
  <c r="G1504" i="2"/>
  <c r="H1504" i="2" s="1"/>
  <c r="G1505" i="2"/>
  <c r="H1505" i="2" s="1"/>
  <c r="G1506" i="2"/>
  <c r="H1506" i="2" s="1"/>
  <c r="G1507" i="2"/>
  <c r="H1507" i="2" s="1"/>
  <c r="G1508" i="2"/>
  <c r="H1508" i="2" s="1"/>
  <c r="G1509" i="2"/>
  <c r="H1509" i="2" s="1"/>
  <c r="G1510" i="2"/>
  <c r="H1510" i="2" s="1"/>
  <c r="G1511" i="2"/>
  <c r="H1511" i="2" s="1"/>
  <c r="G1512" i="2"/>
  <c r="H1512" i="2" s="1"/>
  <c r="G1513" i="2"/>
  <c r="H1513" i="2" s="1"/>
  <c r="G1514" i="2"/>
  <c r="H1514" i="2" s="1"/>
  <c r="G1515" i="2"/>
  <c r="H1515" i="2" s="1"/>
  <c r="G1516" i="2"/>
  <c r="H1516" i="2" s="1"/>
  <c r="G1517" i="2"/>
  <c r="H1517" i="2" s="1"/>
  <c r="G1518" i="2"/>
  <c r="H1518" i="2" s="1"/>
  <c r="G1519" i="2"/>
  <c r="H1519" i="2" s="1"/>
  <c r="G1520" i="2"/>
  <c r="H1520" i="2" s="1"/>
  <c r="G1521" i="2"/>
  <c r="H1521" i="2" s="1"/>
  <c r="G1522" i="2"/>
  <c r="H1522" i="2" s="1"/>
  <c r="G1523" i="2"/>
  <c r="H1523" i="2" s="1"/>
  <c r="G1524" i="2"/>
  <c r="H1524" i="2" s="1"/>
  <c r="G1525" i="2"/>
  <c r="H1525" i="2" s="1"/>
  <c r="G1526" i="2"/>
  <c r="H1526" i="2" s="1"/>
  <c r="G1527" i="2"/>
  <c r="H1527" i="2" s="1"/>
  <c r="G1528" i="2"/>
  <c r="H1528" i="2" s="1"/>
  <c r="G1529" i="2"/>
  <c r="H1529" i="2" s="1"/>
  <c r="G1530" i="2"/>
  <c r="H1530" i="2" s="1"/>
  <c r="G1531" i="2"/>
  <c r="H1531" i="2" s="1"/>
  <c r="G1532" i="2"/>
  <c r="H1532" i="2" s="1"/>
  <c r="G1533" i="2"/>
  <c r="H1533" i="2" s="1"/>
  <c r="G1534" i="2"/>
  <c r="H1534" i="2" s="1"/>
  <c r="G1535" i="2"/>
  <c r="H1535" i="2" s="1"/>
  <c r="G1536" i="2"/>
  <c r="H1536" i="2" s="1"/>
  <c r="G1537" i="2"/>
  <c r="H1537" i="2" s="1"/>
  <c r="G1538" i="2"/>
  <c r="H1538" i="2" s="1"/>
  <c r="G1539" i="2"/>
  <c r="H1539" i="2" s="1"/>
  <c r="G1540" i="2"/>
  <c r="H1540" i="2" s="1"/>
  <c r="G1541" i="2"/>
  <c r="H1541" i="2" s="1"/>
  <c r="G1542" i="2"/>
  <c r="H1542" i="2" s="1"/>
  <c r="G1543" i="2"/>
  <c r="H1543" i="2" s="1"/>
  <c r="G1544" i="2"/>
  <c r="H1544" i="2" s="1"/>
  <c r="G1545" i="2"/>
  <c r="H1545" i="2" s="1"/>
  <c r="G1546" i="2"/>
  <c r="H1546" i="2" s="1"/>
  <c r="G1547" i="2"/>
  <c r="H1547" i="2" s="1"/>
  <c r="G1548" i="2"/>
  <c r="H1548" i="2" s="1"/>
  <c r="G1549" i="2"/>
  <c r="H1549" i="2" s="1"/>
  <c r="G1550" i="2"/>
  <c r="H1550" i="2" s="1"/>
  <c r="G1551" i="2"/>
  <c r="H1551" i="2" s="1"/>
  <c r="G1552" i="2"/>
  <c r="H1552" i="2" s="1"/>
  <c r="G1553" i="2"/>
  <c r="H1553" i="2" s="1"/>
  <c r="G1554" i="2"/>
  <c r="H1554" i="2" s="1"/>
  <c r="G1555" i="2"/>
  <c r="H1555" i="2" s="1"/>
  <c r="G1556" i="2"/>
  <c r="H1556" i="2" s="1"/>
  <c r="G1557" i="2"/>
  <c r="H1557" i="2" s="1"/>
  <c r="G1558" i="2"/>
  <c r="H1558" i="2" s="1"/>
  <c r="G1559" i="2"/>
  <c r="H1559" i="2" s="1"/>
  <c r="G1560" i="2"/>
  <c r="H1560" i="2" s="1"/>
  <c r="G1561" i="2"/>
  <c r="H1561" i="2" s="1"/>
  <c r="G1562" i="2"/>
  <c r="H1562" i="2" s="1"/>
  <c r="G1563" i="2"/>
  <c r="H1563" i="2" s="1"/>
  <c r="G1564" i="2"/>
  <c r="H1564" i="2" s="1"/>
  <c r="G1565" i="2"/>
  <c r="H1565" i="2" s="1"/>
  <c r="G1566" i="2"/>
  <c r="H1566" i="2" s="1"/>
  <c r="G1567" i="2"/>
  <c r="H1567" i="2" s="1"/>
  <c r="G1568" i="2"/>
  <c r="H1568" i="2" s="1"/>
  <c r="G1569" i="2"/>
  <c r="H1569" i="2" s="1"/>
  <c r="G1570" i="2"/>
  <c r="H1570" i="2" s="1"/>
  <c r="G1571" i="2"/>
  <c r="H1571" i="2" s="1"/>
  <c r="G1572" i="2"/>
  <c r="H1572" i="2" s="1"/>
  <c r="G1573" i="2"/>
  <c r="H1573" i="2" s="1"/>
  <c r="G1574" i="2"/>
  <c r="H1574" i="2" s="1"/>
  <c r="G1575" i="2"/>
  <c r="H1575" i="2" s="1"/>
  <c r="G1576" i="2"/>
  <c r="H1576" i="2" s="1"/>
  <c r="G1577" i="2"/>
  <c r="H1577" i="2" s="1"/>
  <c r="G1578" i="2"/>
  <c r="H1578" i="2" s="1"/>
  <c r="G1579" i="2"/>
  <c r="H1579" i="2" s="1"/>
  <c r="G1580" i="2"/>
  <c r="H1580" i="2" s="1"/>
  <c r="G1581" i="2"/>
  <c r="H1581" i="2" s="1"/>
  <c r="G1582" i="2"/>
  <c r="H1582" i="2" s="1"/>
  <c r="G1583" i="2"/>
  <c r="H1583" i="2" s="1"/>
  <c r="G1584" i="2"/>
  <c r="H1584" i="2" s="1"/>
  <c r="G1585" i="2"/>
  <c r="H1585" i="2" s="1"/>
  <c r="G1586" i="2"/>
  <c r="H1586" i="2" s="1"/>
  <c r="G1587" i="2"/>
  <c r="H1587" i="2" s="1"/>
  <c r="G1588" i="2"/>
  <c r="H1588" i="2" s="1"/>
  <c r="G1589" i="2"/>
  <c r="H1589" i="2" s="1"/>
  <c r="G1590" i="2"/>
  <c r="H1590" i="2" s="1"/>
  <c r="G1591" i="2"/>
  <c r="H1591" i="2" s="1"/>
  <c r="G1592" i="2"/>
  <c r="H1592" i="2" s="1"/>
  <c r="G1593" i="2"/>
  <c r="H1593" i="2" s="1"/>
  <c r="G1594" i="2"/>
  <c r="H1594" i="2" s="1"/>
  <c r="G1595" i="2"/>
  <c r="H1595" i="2" s="1"/>
  <c r="G1596" i="2"/>
  <c r="H1596" i="2" s="1"/>
  <c r="G1597" i="2"/>
  <c r="H1597" i="2" s="1"/>
  <c r="G1598" i="2"/>
  <c r="H1598" i="2" s="1"/>
  <c r="G1599" i="2"/>
  <c r="H1599" i="2" s="1"/>
  <c r="G1600" i="2"/>
  <c r="H1600" i="2" s="1"/>
  <c r="G1601" i="2"/>
  <c r="H1601" i="2" s="1"/>
  <c r="G1602" i="2"/>
  <c r="H1602" i="2" s="1"/>
  <c r="G1603" i="2"/>
  <c r="H1603" i="2" s="1"/>
  <c r="G1604" i="2"/>
  <c r="H1604" i="2" s="1"/>
  <c r="G1605" i="2"/>
  <c r="H1605" i="2" s="1"/>
  <c r="G1606" i="2"/>
  <c r="H1606" i="2" s="1"/>
  <c r="G1607" i="2"/>
  <c r="H1607" i="2" s="1"/>
  <c r="G1608" i="2"/>
  <c r="H1608" i="2" s="1"/>
  <c r="G1609" i="2"/>
  <c r="H1609" i="2" s="1"/>
  <c r="G1610" i="2"/>
  <c r="H1610" i="2" s="1"/>
  <c r="G1611" i="2"/>
  <c r="H1611" i="2" s="1"/>
  <c r="G1612" i="2"/>
  <c r="H1612" i="2" s="1"/>
  <c r="G1613" i="2"/>
  <c r="H1613" i="2" s="1"/>
  <c r="G1614" i="2"/>
  <c r="H1614" i="2" s="1"/>
  <c r="G1615" i="2"/>
  <c r="H1615" i="2" s="1"/>
  <c r="G1616" i="2"/>
  <c r="H1616" i="2" s="1"/>
  <c r="G1617" i="2"/>
  <c r="H1617" i="2" s="1"/>
  <c r="G1618" i="2"/>
  <c r="H1618" i="2" s="1"/>
  <c r="G1619" i="2"/>
  <c r="H1619" i="2" s="1"/>
  <c r="G1620" i="2"/>
  <c r="H1620" i="2" s="1"/>
  <c r="G1621" i="2"/>
  <c r="H1621" i="2" s="1"/>
  <c r="G1622" i="2"/>
  <c r="H1622" i="2" s="1"/>
  <c r="G1623" i="2"/>
  <c r="H1623" i="2" s="1"/>
  <c r="G1624" i="2"/>
  <c r="H1624" i="2" s="1"/>
  <c r="G1625" i="2"/>
  <c r="H1625" i="2" s="1"/>
  <c r="G1626" i="2"/>
  <c r="H1626" i="2" s="1"/>
  <c r="G1627" i="2"/>
  <c r="H1627" i="2" s="1"/>
  <c r="G1628" i="2"/>
  <c r="H1628" i="2" s="1"/>
  <c r="G1629" i="2"/>
  <c r="H1629" i="2" s="1"/>
  <c r="G1630" i="2"/>
  <c r="H1630" i="2" s="1"/>
  <c r="G1631" i="2"/>
  <c r="H1631" i="2" s="1"/>
  <c r="G1632" i="2"/>
  <c r="H1632" i="2" s="1"/>
  <c r="G1633" i="2"/>
  <c r="H1633" i="2" s="1"/>
  <c r="G1634" i="2"/>
  <c r="H1634" i="2" s="1"/>
  <c r="G1635" i="2"/>
  <c r="H1635" i="2" s="1"/>
  <c r="G1636" i="2"/>
  <c r="H1636" i="2" s="1"/>
  <c r="G1637" i="2"/>
  <c r="H1637" i="2" s="1"/>
  <c r="G1638" i="2"/>
  <c r="H1638" i="2" s="1"/>
  <c r="G1639" i="2"/>
  <c r="H1639" i="2" s="1"/>
  <c r="G1640" i="2"/>
  <c r="H1640" i="2" s="1"/>
  <c r="G1641" i="2"/>
  <c r="H1641" i="2" s="1"/>
  <c r="G1642" i="2"/>
  <c r="H1642" i="2" s="1"/>
  <c r="G1643" i="2"/>
  <c r="H1643" i="2" s="1"/>
  <c r="G1644" i="2"/>
  <c r="H1644" i="2" s="1"/>
  <c r="G1645" i="2"/>
  <c r="H1645" i="2" s="1"/>
  <c r="G1646" i="2"/>
  <c r="H1646" i="2" s="1"/>
  <c r="G1647" i="2"/>
  <c r="H1647" i="2" s="1"/>
  <c r="G1648" i="2"/>
  <c r="H1648" i="2" s="1"/>
  <c r="G1649" i="2"/>
  <c r="H1649" i="2" s="1"/>
  <c r="G1650" i="2"/>
  <c r="H1650" i="2" s="1"/>
  <c r="G1651" i="2"/>
  <c r="H1651" i="2" s="1"/>
  <c r="G1652" i="2"/>
  <c r="H1652" i="2" s="1"/>
  <c r="G1653" i="2"/>
  <c r="H1653" i="2" s="1"/>
  <c r="G1654" i="2"/>
  <c r="H1654" i="2" s="1"/>
  <c r="G1655" i="2"/>
  <c r="H1655" i="2" s="1"/>
  <c r="G1656" i="2"/>
  <c r="H1656" i="2" s="1"/>
  <c r="G1657" i="2"/>
  <c r="H1657" i="2" s="1"/>
  <c r="G1658" i="2"/>
  <c r="H1658" i="2" s="1"/>
  <c r="G1659" i="2"/>
  <c r="H1659" i="2" s="1"/>
  <c r="G1660" i="2"/>
  <c r="H1660" i="2" s="1"/>
  <c r="G1661" i="2"/>
  <c r="H1661" i="2" s="1"/>
  <c r="G1662" i="2"/>
  <c r="H1662" i="2" s="1"/>
  <c r="G1663" i="2"/>
  <c r="H1663" i="2" s="1"/>
  <c r="G1664" i="2"/>
  <c r="H1664" i="2" s="1"/>
  <c r="G1665" i="2"/>
  <c r="H1665" i="2" s="1"/>
  <c r="G1666" i="2"/>
  <c r="H1666" i="2" s="1"/>
  <c r="G1667" i="2"/>
  <c r="H1667" i="2" s="1"/>
  <c r="G1668" i="2"/>
  <c r="H1668" i="2" s="1"/>
  <c r="G1669" i="2"/>
  <c r="H1669" i="2" s="1"/>
  <c r="G1670" i="2"/>
  <c r="H1670" i="2" s="1"/>
  <c r="G1671" i="2"/>
  <c r="H1671" i="2" s="1"/>
  <c r="G1672" i="2"/>
  <c r="H1672" i="2" s="1"/>
  <c r="G1673" i="2"/>
  <c r="H1673" i="2" s="1"/>
  <c r="G1674" i="2"/>
  <c r="H1674" i="2" s="1"/>
  <c r="G1675" i="2"/>
  <c r="H1675" i="2" s="1"/>
  <c r="G1676" i="2"/>
  <c r="H1676" i="2" s="1"/>
  <c r="G1677" i="2"/>
  <c r="H1677" i="2" s="1"/>
  <c r="G1678" i="2"/>
  <c r="H1678" i="2" s="1"/>
  <c r="G1679" i="2"/>
  <c r="H1679" i="2" s="1"/>
  <c r="G1680" i="2"/>
  <c r="H1680" i="2" s="1"/>
  <c r="G1681" i="2"/>
  <c r="H1681" i="2" s="1"/>
  <c r="G1682" i="2"/>
  <c r="H1682" i="2" s="1"/>
  <c r="G1683" i="2"/>
  <c r="H1683" i="2" s="1"/>
  <c r="G1684" i="2"/>
  <c r="H1684" i="2" s="1"/>
  <c r="G1685" i="2"/>
  <c r="H1685" i="2" s="1"/>
  <c r="G1686" i="2"/>
  <c r="H1686" i="2" s="1"/>
  <c r="G1687" i="2"/>
  <c r="H1687" i="2" s="1"/>
  <c r="G1688" i="2"/>
  <c r="H1688" i="2" s="1"/>
  <c r="G1689" i="2"/>
  <c r="H1689" i="2" s="1"/>
  <c r="G1690" i="2"/>
  <c r="H1690" i="2" s="1"/>
  <c r="G1691" i="2"/>
  <c r="H1691" i="2" s="1"/>
  <c r="G1692" i="2"/>
  <c r="H1692" i="2" s="1"/>
  <c r="G1693" i="2"/>
  <c r="H1693" i="2" s="1"/>
  <c r="G1694" i="2"/>
  <c r="H1694" i="2" s="1"/>
  <c r="G1695" i="2"/>
  <c r="H1695" i="2" s="1"/>
  <c r="G1696" i="2"/>
  <c r="H1696" i="2" s="1"/>
  <c r="G1697" i="2"/>
  <c r="H1697" i="2" s="1"/>
  <c r="G1698" i="2"/>
  <c r="H1698" i="2" s="1"/>
  <c r="G1699" i="2"/>
  <c r="H1699" i="2" s="1"/>
  <c r="G1700" i="2"/>
  <c r="H1700" i="2" s="1"/>
  <c r="G1701" i="2"/>
  <c r="H1701" i="2" s="1"/>
  <c r="G1702" i="2"/>
  <c r="H1702" i="2" s="1"/>
  <c r="G1703" i="2"/>
  <c r="H1703" i="2" s="1"/>
  <c r="G1704" i="2"/>
  <c r="H1704" i="2" s="1"/>
  <c r="G1705" i="2"/>
  <c r="H1705" i="2" s="1"/>
  <c r="G1706" i="2"/>
  <c r="H1706" i="2" s="1"/>
  <c r="G1707" i="2"/>
  <c r="H1707" i="2" s="1"/>
  <c r="G1708" i="2"/>
  <c r="H1708" i="2" s="1"/>
  <c r="G1709" i="2"/>
  <c r="H1709" i="2" s="1"/>
  <c r="G1710" i="2"/>
  <c r="H1710" i="2" s="1"/>
  <c r="G1711" i="2"/>
  <c r="H1711" i="2" s="1"/>
  <c r="G1712" i="2"/>
  <c r="H1712" i="2" s="1"/>
  <c r="G1713" i="2"/>
  <c r="H1713" i="2" s="1"/>
  <c r="G1714" i="2"/>
  <c r="H1714" i="2" s="1"/>
  <c r="G1715" i="2"/>
  <c r="H1715" i="2" s="1"/>
  <c r="G1716" i="2"/>
  <c r="H1716" i="2" s="1"/>
  <c r="G1717" i="2"/>
  <c r="H1717" i="2" s="1"/>
  <c r="G1718" i="2"/>
  <c r="H1718" i="2" s="1"/>
  <c r="G1719" i="2"/>
  <c r="H1719" i="2" s="1"/>
  <c r="G1720" i="2"/>
  <c r="H1720" i="2" s="1"/>
  <c r="G1721" i="2"/>
  <c r="H1721" i="2" s="1"/>
  <c r="G1722" i="2"/>
  <c r="H1722" i="2" s="1"/>
  <c r="G1723" i="2"/>
  <c r="H1723" i="2" s="1"/>
  <c r="G1724" i="2"/>
  <c r="H1724" i="2" s="1"/>
  <c r="G1725" i="2"/>
  <c r="H1725" i="2" s="1"/>
  <c r="G1726" i="2"/>
  <c r="H1726" i="2" s="1"/>
  <c r="G1727" i="2"/>
  <c r="H1727" i="2" s="1"/>
  <c r="G1728" i="2"/>
  <c r="H1728" i="2" s="1"/>
  <c r="G1729" i="2"/>
  <c r="H1729" i="2" s="1"/>
  <c r="G1730" i="2"/>
  <c r="H1730" i="2" s="1"/>
  <c r="G1731" i="2"/>
  <c r="H1731" i="2" s="1"/>
  <c r="G1732" i="2"/>
  <c r="H1732" i="2" s="1"/>
  <c r="G1733" i="2"/>
  <c r="H1733" i="2" s="1"/>
  <c r="G1734" i="2"/>
  <c r="H1734" i="2" s="1"/>
  <c r="G1735" i="2"/>
  <c r="H1735" i="2" s="1"/>
  <c r="G1736" i="2"/>
  <c r="H1736" i="2" s="1"/>
  <c r="G1737" i="2"/>
  <c r="H1737" i="2" s="1"/>
  <c r="G1738" i="2"/>
  <c r="H1738" i="2" s="1"/>
  <c r="G1739" i="2"/>
  <c r="H1739" i="2" s="1"/>
  <c r="G1740" i="2"/>
  <c r="H1740" i="2" s="1"/>
  <c r="G1741" i="2"/>
  <c r="H1741" i="2" s="1"/>
  <c r="G1742" i="2"/>
  <c r="H1742" i="2" s="1"/>
  <c r="G1743" i="2"/>
  <c r="H1743" i="2" s="1"/>
  <c r="G1744" i="2"/>
  <c r="H1744" i="2" s="1"/>
  <c r="G1745" i="2"/>
  <c r="H1745" i="2" s="1"/>
  <c r="G1746" i="2"/>
  <c r="H1746" i="2" s="1"/>
  <c r="G1747" i="2"/>
  <c r="H1747" i="2" s="1"/>
  <c r="G1748" i="2"/>
  <c r="H1748" i="2" s="1"/>
  <c r="G1749" i="2"/>
  <c r="H1749" i="2" s="1"/>
  <c r="G1750" i="2"/>
  <c r="H1750" i="2" s="1"/>
  <c r="G1751" i="2"/>
  <c r="H1751" i="2" s="1"/>
  <c r="G1752" i="2"/>
  <c r="H1752" i="2" s="1"/>
  <c r="G1753" i="2"/>
  <c r="H1753" i="2" s="1"/>
  <c r="G1754" i="2"/>
  <c r="H1754" i="2" s="1"/>
  <c r="G1755" i="2"/>
  <c r="H1755" i="2" s="1"/>
  <c r="G1756" i="2"/>
  <c r="H1756" i="2" s="1"/>
  <c r="G1757" i="2"/>
  <c r="H1757" i="2" s="1"/>
  <c r="G1758" i="2"/>
  <c r="H1758" i="2" s="1"/>
  <c r="G1759" i="2"/>
  <c r="H1759" i="2" s="1"/>
  <c r="G1760" i="2"/>
  <c r="H1760" i="2" s="1"/>
  <c r="G1761" i="2"/>
  <c r="H1761" i="2" s="1"/>
  <c r="G1762" i="2"/>
  <c r="H1762" i="2" s="1"/>
  <c r="G1763" i="2"/>
  <c r="H1763" i="2" s="1"/>
  <c r="G1764" i="2"/>
  <c r="H1764" i="2" s="1"/>
  <c r="G1765" i="2"/>
  <c r="H1765" i="2" s="1"/>
  <c r="G1766" i="2"/>
  <c r="H1766" i="2" s="1"/>
  <c r="G1767" i="2"/>
  <c r="H1767" i="2" s="1"/>
  <c r="G1768" i="2"/>
  <c r="H1768" i="2" s="1"/>
  <c r="G1769" i="2"/>
  <c r="H1769" i="2" s="1"/>
  <c r="G1770" i="2"/>
  <c r="H1770" i="2" s="1"/>
  <c r="G1771" i="2"/>
  <c r="H1771" i="2" s="1"/>
  <c r="G1772" i="2"/>
  <c r="H1772" i="2" s="1"/>
  <c r="G1773" i="2"/>
  <c r="H1773" i="2" s="1"/>
  <c r="G1774" i="2"/>
  <c r="H1774" i="2" s="1"/>
  <c r="G1775" i="2"/>
  <c r="H1775" i="2" s="1"/>
  <c r="G1776" i="2"/>
  <c r="H1776" i="2" s="1"/>
  <c r="G1777" i="2"/>
  <c r="H1777" i="2" s="1"/>
  <c r="G1778" i="2"/>
  <c r="H1778" i="2" s="1"/>
  <c r="G1779" i="2"/>
  <c r="H1779" i="2" s="1"/>
  <c r="G1780" i="2"/>
  <c r="H1780" i="2" s="1"/>
  <c r="G1781" i="2"/>
  <c r="H1781" i="2" s="1"/>
  <c r="G1782" i="2"/>
  <c r="H1782" i="2" s="1"/>
  <c r="G1783" i="2"/>
  <c r="H1783" i="2" s="1"/>
  <c r="G1784" i="2"/>
  <c r="H1784" i="2" s="1"/>
  <c r="G1785" i="2"/>
  <c r="H1785" i="2" s="1"/>
  <c r="G1786" i="2"/>
  <c r="H1786" i="2" s="1"/>
  <c r="G1787" i="2"/>
  <c r="H1787" i="2" s="1"/>
  <c r="G1788" i="2"/>
  <c r="H1788" i="2" s="1"/>
  <c r="G1789" i="2"/>
  <c r="H1789" i="2" s="1"/>
  <c r="G1790" i="2"/>
  <c r="H1790" i="2" s="1"/>
  <c r="G1791" i="2"/>
  <c r="H1791" i="2" s="1"/>
  <c r="G1792" i="2"/>
  <c r="H1792" i="2" s="1"/>
  <c r="G1793" i="2"/>
  <c r="H1793" i="2" s="1"/>
  <c r="G1794" i="2"/>
  <c r="H1794" i="2" s="1"/>
  <c r="G1795" i="2"/>
  <c r="H1795" i="2" s="1"/>
  <c r="G1796" i="2"/>
  <c r="H1796" i="2" s="1"/>
  <c r="G1797" i="2"/>
  <c r="H1797" i="2" s="1"/>
  <c r="G1798" i="2"/>
  <c r="H1798" i="2" s="1"/>
  <c r="G1799" i="2"/>
  <c r="H1799" i="2" s="1"/>
  <c r="G1800" i="2"/>
  <c r="H1800" i="2" s="1"/>
  <c r="G1801" i="2"/>
  <c r="H1801" i="2" s="1"/>
  <c r="G1802" i="2"/>
  <c r="H1802" i="2" s="1"/>
  <c r="G1803" i="2"/>
  <c r="H1803" i="2" s="1"/>
  <c r="G1804" i="2"/>
  <c r="H1804" i="2" s="1"/>
  <c r="G1805" i="2"/>
  <c r="H1805" i="2" s="1"/>
  <c r="G1806" i="2"/>
  <c r="H1806" i="2" s="1"/>
  <c r="G1807" i="2"/>
  <c r="H1807" i="2" s="1"/>
  <c r="G1808" i="2"/>
  <c r="H1808" i="2" s="1"/>
  <c r="G1809" i="2"/>
  <c r="H1809" i="2" s="1"/>
  <c r="G1810" i="2"/>
  <c r="H1810" i="2" s="1"/>
  <c r="G1811" i="2"/>
  <c r="H1811" i="2" s="1"/>
  <c r="G1812" i="2"/>
  <c r="H1812" i="2" s="1"/>
  <c r="G1813" i="2"/>
  <c r="H1813" i="2" s="1"/>
  <c r="G1814" i="2"/>
  <c r="H1814" i="2" s="1"/>
  <c r="G1815" i="2"/>
  <c r="H1815" i="2" s="1"/>
  <c r="G1816" i="2"/>
  <c r="H1816" i="2" s="1"/>
  <c r="G1817" i="2"/>
  <c r="H1817" i="2" s="1"/>
  <c r="G1818" i="2"/>
  <c r="H1818" i="2" s="1"/>
  <c r="G1819" i="2"/>
  <c r="H1819" i="2" s="1"/>
  <c r="G1820" i="2"/>
  <c r="H1820" i="2" s="1"/>
  <c r="G1821" i="2"/>
  <c r="H1821" i="2" s="1"/>
  <c r="G1822" i="2"/>
  <c r="H1822" i="2" s="1"/>
  <c r="G1823" i="2"/>
  <c r="H1823" i="2" s="1"/>
  <c r="G1824" i="2"/>
  <c r="H1824" i="2" s="1"/>
  <c r="G1825" i="2"/>
  <c r="H1825" i="2" s="1"/>
  <c r="G1826" i="2"/>
  <c r="H1826" i="2" s="1"/>
  <c r="G1827" i="2"/>
  <c r="H1827" i="2" s="1"/>
  <c r="G1828" i="2"/>
  <c r="H1828" i="2" s="1"/>
  <c r="G1829" i="2"/>
  <c r="H1829" i="2" s="1"/>
  <c r="G1830" i="2"/>
  <c r="H1830" i="2" s="1"/>
  <c r="G1831" i="2"/>
  <c r="H1831" i="2" s="1"/>
  <c r="G1832" i="2"/>
  <c r="H1832" i="2" s="1"/>
  <c r="G1833" i="2"/>
  <c r="H1833" i="2" s="1"/>
  <c r="G1834" i="2"/>
  <c r="H1834" i="2" s="1"/>
  <c r="G1835" i="2"/>
  <c r="H1835" i="2" s="1"/>
  <c r="G1836" i="2"/>
  <c r="H1836" i="2" s="1"/>
  <c r="G1837" i="2"/>
  <c r="H1837" i="2" s="1"/>
  <c r="G1838" i="2"/>
  <c r="H1838" i="2" s="1"/>
  <c r="G1839" i="2"/>
  <c r="H1839" i="2" s="1"/>
  <c r="G1840" i="2"/>
  <c r="H1840" i="2" s="1"/>
  <c r="G1841" i="2"/>
  <c r="H1841" i="2" s="1"/>
  <c r="G1842" i="2"/>
  <c r="H1842" i="2" s="1"/>
  <c r="G1843" i="2"/>
  <c r="H1843" i="2" s="1"/>
  <c r="G1844" i="2"/>
  <c r="H1844" i="2" s="1"/>
  <c r="G1845" i="2"/>
  <c r="H1845" i="2" s="1"/>
  <c r="G1846" i="2"/>
  <c r="H1846" i="2" s="1"/>
  <c r="G1847" i="2"/>
  <c r="H1847" i="2" s="1"/>
  <c r="G1848" i="2"/>
  <c r="H1848" i="2" s="1"/>
  <c r="G1849" i="2"/>
  <c r="H1849" i="2" s="1"/>
  <c r="G1850" i="2"/>
  <c r="H1850" i="2" s="1"/>
  <c r="G1851" i="2"/>
  <c r="H1851" i="2" s="1"/>
  <c r="G1852" i="2"/>
  <c r="H1852" i="2" s="1"/>
  <c r="G1853" i="2"/>
  <c r="H1853" i="2" s="1"/>
  <c r="G1854" i="2"/>
  <c r="H1854" i="2" s="1"/>
  <c r="G1855" i="2"/>
  <c r="H1855" i="2" s="1"/>
  <c r="G1856" i="2"/>
  <c r="H1856" i="2" s="1"/>
  <c r="G1857" i="2"/>
  <c r="H1857" i="2" s="1"/>
  <c r="G1858" i="2"/>
  <c r="H1858" i="2" s="1"/>
  <c r="G1859" i="2"/>
  <c r="H1859" i="2" s="1"/>
  <c r="G1860" i="2"/>
  <c r="H1860" i="2" s="1"/>
  <c r="G1861" i="2"/>
  <c r="H1861" i="2" s="1"/>
  <c r="G1862" i="2"/>
  <c r="H1862" i="2" s="1"/>
  <c r="G1863" i="2"/>
  <c r="H1863" i="2" s="1"/>
  <c r="G1864" i="2"/>
  <c r="H1864" i="2" s="1"/>
  <c r="G1865" i="2"/>
  <c r="H1865" i="2" s="1"/>
  <c r="G1866" i="2"/>
  <c r="H1866" i="2" s="1"/>
  <c r="G1867" i="2"/>
  <c r="H1867" i="2" s="1"/>
  <c r="G1868" i="2"/>
  <c r="H1868" i="2" s="1"/>
  <c r="G1869" i="2"/>
  <c r="H1869" i="2" s="1"/>
  <c r="G1870" i="2"/>
  <c r="H1870" i="2" s="1"/>
  <c r="G1871" i="2"/>
  <c r="H1871" i="2" s="1"/>
  <c r="G1872" i="2"/>
  <c r="H1872" i="2" s="1"/>
  <c r="G1873" i="2"/>
  <c r="H1873" i="2" s="1"/>
  <c r="G1874" i="2"/>
  <c r="H1874" i="2" s="1"/>
  <c r="G1875" i="2"/>
  <c r="H1875" i="2" s="1"/>
  <c r="G1876" i="2"/>
  <c r="H1876" i="2" s="1"/>
  <c r="G1877" i="2"/>
  <c r="H1877" i="2" s="1"/>
  <c r="G1878" i="2"/>
  <c r="H1878" i="2" s="1"/>
  <c r="G1879" i="2"/>
  <c r="H1879" i="2" s="1"/>
  <c r="G1880" i="2"/>
  <c r="H1880" i="2" s="1"/>
  <c r="G1881" i="2"/>
  <c r="H1881" i="2" s="1"/>
  <c r="G1882" i="2"/>
  <c r="H1882" i="2" s="1"/>
  <c r="G1883" i="2"/>
  <c r="H1883" i="2" s="1"/>
  <c r="G1884" i="2"/>
  <c r="H1884" i="2" s="1"/>
  <c r="G1885" i="2"/>
  <c r="H1885" i="2" s="1"/>
  <c r="G1886" i="2"/>
  <c r="H1886" i="2" s="1"/>
  <c r="G1887" i="2"/>
  <c r="H1887" i="2" s="1"/>
  <c r="G1888" i="2"/>
  <c r="H1888" i="2" s="1"/>
  <c r="G1889" i="2"/>
  <c r="H1889" i="2" s="1"/>
  <c r="G1890" i="2"/>
  <c r="H1890" i="2" s="1"/>
  <c r="G1891" i="2"/>
  <c r="H1891" i="2" s="1"/>
  <c r="G1892" i="2"/>
  <c r="H1892" i="2" s="1"/>
  <c r="G1893" i="2"/>
  <c r="H1893" i="2" s="1"/>
  <c r="G1894" i="2"/>
  <c r="H1894" i="2" s="1"/>
  <c r="G1895" i="2"/>
  <c r="H1895" i="2" s="1"/>
  <c r="G1896" i="2"/>
  <c r="H1896" i="2" s="1"/>
  <c r="G1897" i="2"/>
  <c r="H1897" i="2" s="1"/>
  <c r="G1898" i="2"/>
  <c r="H1898" i="2" s="1"/>
  <c r="G1899" i="2"/>
  <c r="H1899" i="2" s="1"/>
  <c r="G1900" i="2"/>
  <c r="H1900" i="2" s="1"/>
  <c r="G1901" i="2"/>
  <c r="H1901" i="2" s="1"/>
  <c r="G1902" i="2"/>
  <c r="H1902" i="2" s="1"/>
  <c r="G1903" i="2"/>
  <c r="H1903" i="2" s="1"/>
  <c r="G1904" i="2"/>
  <c r="H1904" i="2" s="1"/>
  <c r="G1905" i="2"/>
  <c r="H1905" i="2" s="1"/>
  <c r="G1906" i="2"/>
  <c r="H1906" i="2" s="1"/>
  <c r="G1907" i="2"/>
  <c r="H1907" i="2" s="1"/>
  <c r="G1908" i="2"/>
  <c r="H1908" i="2" s="1"/>
  <c r="G1909" i="2"/>
  <c r="H1909" i="2" s="1"/>
  <c r="G1910" i="2"/>
  <c r="H1910" i="2" s="1"/>
  <c r="G1911" i="2"/>
  <c r="H1911" i="2" s="1"/>
  <c r="G1912" i="2"/>
  <c r="H1912" i="2" s="1"/>
  <c r="G1913" i="2"/>
  <c r="H1913" i="2" s="1"/>
  <c r="G1914" i="2"/>
  <c r="H1914" i="2" s="1"/>
  <c r="G1915" i="2"/>
  <c r="H1915" i="2" s="1"/>
  <c r="G1916" i="2"/>
  <c r="H1916" i="2" s="1"/>
  <c r="G1917" i="2"/>
  <c r="H1917" i="2" s="1"/>
  <c r="G1918" i="2"/>
  <c r="H1918" i="2" s="1"/>
  <c r="G1919" i="2"/>
  <c r="H1919" i="2" s="1"/>
  <c r="G1920" i="2"/>
  <c r="H1920" i="2" s="1"/>
  <c r="G1921" i="2"/>
  <c r="H1921" i="2" s="1"/>
  <c r="G1922" i="2"/>
  <c r="H1922" i="2" s="1"/>
  <c r="G1923" i="2"/>
  <c r="H1923" i="2" s="1"/>
  <c r="G1924" i="2"/>
  <c r="H1924" i="2" s="1"/>
  <c r="G1925" i="2"/>
  <c r="H1925" i="2" s="1"/>
  <c r="G1926" i="2"/>
  <c r="H1926" i="2" s="1"/>
  <c r="G1927" i="2"/>
  <c r="H1927" i="2" s="1"/>
  <c r="G1928" i="2"/>
  <c r="H1928" i="2" s="1"/>
  <c r="G1929" i="2"/>
  <c r="H1929" i="2" s="1"/>
  <c r="G1930" i="2"/>
  <c r="H1930" i="2" s="1"/>
  <c r="G1931" i="2"/>
  <c r="H1931" i="2" s="1"/>
  <c r="G1932" i="2"/>
  <c r="H1932" i="2" s="1"/>
  <c r="G1933" i="2"/>
  <c r="H1933" i="2" s="1"/>
  <c r="G1934" i="2"/>
  <c r="H1934" i="2" s="1"/>
  <c r="G1935" i="2"/>
  <c r="H1935" i="2" s="1"/>
  <c r="G1936" i="2"/>
  <c r="H1936" i="2" s="1"/>
  <c r="G1937" i="2"/>
  <c r="H1937" i="2" s="1"/>
  <c r="G1938" i="2"/>
  <c r="H1938" i="2" s="1"/>
  <c r="G1939" i="2"/>
  <c r="H1939" i="2" s="1"/>
  <c r="G1940" i="2"/>
  <c r="H1940" i="2" s="1"/>
  <c r="G1941" i="2"/>
  <c r="H1941" i="2" s="1"/>
  <c r="G1942" i="2"/>
  <c r="H1942" i="2" s="1"/>
  <c r="G1943" i="2"/>
  <c r="H1943" i="2" s="1"/>
  <c r="G1944" i="2"/>
  <c r="H1944" i="2" s="1"/>
  <c r="G1945" i="2"/>
  <c r="H1945" i="2" s="1"/>
  <c r="G1946" i="2"/>
  <c r="H1946" i="2" s="1"/>
  <c r="G1947" i="2"/>
  <c r="H1947" i="2" s="1"/>
  <c r="G1948" i="2"/>
  <c r="H1948" i="2" s="1"/>
  <c r="G1949" i="2"/>
  <c r="H1949" i="2" s="1"/>
  <c r="G1950" i="2"/>
  <c r="H1950" i="2" s="1"/>
  <c r="G1951" i="2"/>
  <c r="H1951" i="2" s="1"/>
  <c r="G1952" i="2"/>
  <c r="H1952" i="2" s="1"/>
  <c r="G1953" i="2"/>
  <c r="H1953" i="2" s="1"/>
  <c r="G1954" i="2"/>
  <c r="H1954" i="2" s="1"/>
  <c r="G1955" i="2"/>
  <c r="H1955" i="2" s="1"/>
  <c r="G1956" i="2"/>
  <c r="H1956" i="2" s="1"/>
  <c r="G1957" i="2"/>
  <c r="H1957" i="2" s="1"/>
  <c r="G1958" i="2"/>
  <c r="H1958" i="2" s="1"/>
  <c r="G1959" i="2"/>
  <c r="H1959" i="2" s="1"/>
  <c r="G1960" i="2"/>
  <c r="H1960" i="2" s="1"/>
  <c r="G1961" i="2"/>
  <c r="H1961" i="2" s="1"/>
  <c r="G1962" i="2"/>
  <c r="H1962" i="2" s="1"/>
  <c r="G1963" i="2"/>
  <c r="H1963" i="2" s="1"/>
  <c r="G1964" i="2"/>
  <c r="H1964" i="2" s="1"/>
  <c r="G1965" i="2"/>
  <c r="H1965" i="2" s="1"/>
  <c r="G1966" i="2"/>
  <c r="H1966" i="2" s="1"/>
  <c r="G1967" i="2"/>
  <c r="H1967" i="2" s="1"/>
  <c r="G1968" i="2"/>
  <c r="H1968" i="2" s="1"/>
  <c r="G1969" i="2"/>
  <c r="H1969" i="2" s="1"/>
  <c r="G1970" i="2"/>
  <c r="H1970" i="2" s="1"/>
  <c r="G1971" i="2"/>
  <c r="H1971" i="2" s="1"/>
  <c r="G1972" i="2"/>
  <c r="H1972" i="2" s="1"/>
  <c r="G1973" i="2"/>
  <c r="H1973" i="2" s="1"/>
  <c r="G1974" i="2"/>
  <c r="H1974" i="2" s="1"/>
  <c r="G1975" i="2"/>
  <c r="H1975" i="2" s="1"/>
  <c r="G1976" i="2"/>
  <c r="H1976" i="2" s="1"/>
  <c r="G1977" i="2"/>
  <c r="H1977" i="2" s="1"/>
  <c r="G1978" i="2"/>
  <c r="H1978" i="2" s="1"/>
  <c r="G1979" i="2"/>
  <c r="H1979" i="2" s="1"/>
  <c r="G1980" i="2"/>
  <c r="H1980" i="2" s="1"/>
  <c r="G1981" i="2"/>
  <c r="H1981" i="2" s="1"/>
  <c r="G1982" i="2"/>
  <c r="H1982" i="2" s="1"/>
  <c r="G1983" i="2"/>
  <c r="H1983" i="2" s="1"/>
  <c r="G1984" i="2"/>
  <c r="H1984" i="2" s="1"/>
  <c r="G1985" i="2"/>
  <c r="H1985" i="2" s="1"/>
  <c r="G1986" i="2"/>
  <c r="H1986" i="2" s="1"/>
  <c r="G1987" i="2"/>
  <c r="H1987" i="2" s="1"/>
  <c r="G1988" i="2"/>
  <c r="H1988" i="2" s="1"/>
  <c r="G1989" i="2"/>
  <c r="H1989" i="2" s="1"/>
  <c r="G1990" i="2"/>
  <c r="H1990" i="2" s="1"/>
  <c r="G1991" i="2"/>
  <c r="H1991" i="2" s="1"/>
  <c r="G1992" i="2"/>
  <c r="H1992" i="2" s="1"/>
  <c r="G1993" i="2"/>
  <c r="H1993" i="2" s="1"/>
  <c r="G1994" i="2"/>
  <c r="H1994" i="2" s="1"/>
  <c r="G1995" i="2"/>
  <c r="H1995" i="2" s="1"/>
  <c r="G1996" i="2"/>
  <c r="H1996" i="2" s="1"/>
  <c r="G1997" i="2"/>
  <c r="H1997" i="2" s="1"/>
  <c r="G1998" i="2"/>
  <c r="H1998" i="2" s="1"/>
  <c r="G1999" i="2"/>
  <c r="H1999" i="2" s="1"/>
  <c r="G2000" i="2"/>
  <c r="H2000" i="2" s="1"/>
  <c r="G2001" i="2"/>
  <c r="H2001" i="2" s="1"/>
  <c r="G2002" i="2"/>
  <c r="H2002" i="2" s="1"/>
  <c r="G2003" i="2"/>
  <c r="H2003" i="2" s="1"/>
  <c r="G2004" i="2"/>
  <c r="H2004" i="2" s="1"/>
  <c r="G2005" i="2"/>
  <c r="H2005" i="2" s="1"/>
  <c r="G2006" i="2"/>
  <c r="H2006" i="2" s="1"/>
  <c r="G2007" i="2"/>
  <c r="H2007" i="2" s="1"/>
  <c r="G2008" i="2"/>
  <c r="H2008" i="2" s="1"/>
  <c r="G2009" i="2"/>
  <c r="H2009" i="2" s="1"/>
  <c r="G2010" i="2"/>
  <c r="H2010" i="2" s="1"/>
  <c r="G2011" i="2"/>
  <c r="H2011" i="2" s="1"/>
  <c r="G2012" i="2"/>
  <c r="H2012" i="2" s="1"/>
  <c r="G2013" i="2"/>
  <c r="H2013" i="2" s="1"/>
  <c r="G2014" i="2"/>
  <c r="H2014" i="2" s="1"/>
  <c r="G2015" i="2"/>
  <c r="H2015" i="2" s="1"/>
  <c r="G2016" i="2"/>
  <c r="H2016" i="2" s="1"/>
  <c r="G2017" i="2"/>
  <c r="H2017" i="2" s="1"/>
  <c r="G2018" i="2"/>
  <c r="H2018" i="2" s="1"/>
  <c r="G2019" i="2"/>
  <c r="H2019" i="2" s="1"/>
  <c r="G2020" i="2"/>
  <c r="H2020" i="2" s="1"/>
  <c r="G2021" i="2"/>
  <c r="H2021" i="2" s="1"/>
  <c r="G2022" i="2"/>
  <c r="H2022" i="2" s="1"/>
  <c r="G2023" i="2"/>
  <c r="H2023" i="2" s="1"/>
  <c r="G2024" i="2"/>
  <c r="H2024" i="2" s="1"/>
  <c r="G2025" i="2"/>
  <c r="H2025" i="2" s="1"/>
  <c r="G2026" i="2"/>
  <c r="H2026" i="2" s="1"/>
  <c r="G2027" i="2"/>
  <c r="H2027" i="2" s="1"/>
  <c r="G2028" i="2"/>
  <c r="H2028" i="2" s="1"/>
  <c r="G2029" i="2"/>
  <c r="H2029" i="2" s="1"/>
  <c r="G2030" i="2"/>
  <c r="H2030" i="2" s="1"/>
  <c r="G2031" i="2"/>
  <c r="H2031" i="2" s="1"/>
  <c r="G2032" i="2"/>
  <c r="H2032" i="2" s="1"/>
  <c r="G2033" i="2"/>
  <c r="H2033" i="2" s="1"/>
  <c r="G2034" i="2"/>
  <c r="H2034" i="2" s="1"/>
  <c r="G2035" i="2"/>
  <c r="H2035" i="2" s="1"/>
  <c r="G2036" i="2"/>
  <c r="H2036" i="2" s="1"/>
  <c r="G2037" i="2"/>
  <c r="H2037" i="2" s="1"/>
  <c r="G2038" i="2"/>
  <c r="H2038" i="2" s="1"/>
  <c r="G2039" i="2"/>
  <c r="H2039" i="2" s="1"/>
  <c r="G2040" i="2"/>
  <c r="H2040" i="2" s="1"/>
  <c r="G2041" i="2"/>
  <c r="H2041" i="2" s="1"/>
  <c r="G2042" i="2"/>
  <c r="H2042" i="2" s="1"/>
  <c r="G2043" i="2"/>
  <c r="H2043" i="2" s="1"/>
  <c r="G2044" i="2"/>
  <c r="H2044" i="2" s="1"/>
  <c r="G2045" i="2"/>
  <c r="H2045" i="2" s="1"/>
  <c r="G2046" i="2"/>
  <c r="H2046" i="2" s="1"/>
  <c r="G2047" i="2"/>
  <c r="H2047" i="2" s="1"/>
  <c r="G2048" i="2"/>
  <c r="H2048" i="2" s="1"/>
  <c r="G2049" i="2"/>
  <c r="H2049" i="2" s="1"/>
  <c r="G2050" i="2"/>
  <c r="H2050" i="2" s="1"/>
  <c r="G2051" i="2"/>
  <c r="H2051" i="2" s="1"/>
  <c r="G2052" i="2"/>
  <c r="H2052" i="2" s="1"/>
  <c r="G2053" i="2"/>
  <c r="H2053" i="2" s="1"/>
  <c r="G2054" i="2"/>
  <c r="H2054" i="2" s="1"/>
  <c r="G2055" i="2"/>
  <c r="H2055" i="2" s="1"/>
  <c r="G2056" i="2"/>
  <c r="H2056" i="2" s="1"/>
  <c r="G2057" i="2"/>
  <c r="H2057" i="2" s="1"/>
  <c r="G2058" i="2"/>
  <c r="H2058" i="2" s="1"/>
  <c r="G2059" i="2"/>
  <c r="H2059" i="2" s="1"/>
  <c r="G2060" i="2"/>
  <c r="H2060" i="2" s="1"/>
  <c r="G2061" i="2"/>
  <c r="H2061" i="2" s="1"/>
  <c r="G2062" i="2"/>
  <c r="H2062" i="2" s="1"/>
  <c r="G2063" i="2"/>
  <c r="H2063" i="2" s="1"/>
  <c r="G2064" i="2"/>
  <c r="H2064" i="2" s="1"/>
  <c r="G2065" i="2"/>
  <c r="H2065" i="2" s="1"/>
  <c r="G2066" i="2"/>
  <c r="H2066" i="2" s="1"/>
  <c r="G2067" i="2"/>
  <c r="H2067" i="2" s="1"/>
  <c r="G2068" i="2"/>
  <c r="H2068" i="2" s="1"/>
  <c r="G2069" i="2"/>
  <c r="H2069" i="2" s="1"/>
  <c r="G2070" i="2"/>
  <c r="H2070" i="2" s="1"/>
  <c r="G2071" i="2"/>
  <c r="H2071" i="2" s="1"/>
  <c r="G2072" i="2"/>
  <c r="H2072" i="2" s="1"/>
  <c r="G2073" i="2"/>
  <c r="H2073" i="2" s="1"/>
  <c r="G2074" i="2"/>
  <c r="H2074" i="2" s="1"/>
  <c r="G2075" i="2"/>
  <c r="H2075" i="2" s="1"/>
  <c r="G2076" i="2"/>
  <c r="H2076" i="2" s="1"/>
  <c r="G2077" i="2"/>
  <c r="H2077" i="2" s="1"/>
  <c r="G2078" i="2"/>
  <c r="H2078" i="2" s="1"/>
  <c r="G2079" i="2"/>
  <c r="H2079" i="2" s="1"/>
  <c r="G2080" i="2"/>
  <c r="H2080" i="2" s="1"/>
  <c r="G2081" i="2"/>
  <c r="H2081" i="2" s="1"/>
  <c r="G2082" i="2"/>
  <c r="H2082" i="2" s="1"/>
  <c r="G2083" i="2"/>
  <c r="H2083" i="2" s="1"/>
  <c r="G2084" i="2"/>
  <c r="H2084" i="2" s="1"/>
  <c r="G2085" i="2"/>
  <c r="H2085" i="2" s="1"/>
  <c r="G2086" i="2"/>
  <c r="H2086" i="2" s="1"/>
  <c r="G2087" i="2"/>
  <c r="H2087" i="2" s="1"/>
  <c r="G2088" i="2"/>
  <c r="H2088" i="2" s="1"/>
  <c r="G2089" i="2"/>
  <c r="H2089" i="2" s="1"/>
  <c r="G2090" i="2"/>
  <c r="H2090" i="2" s="1"/>
  <c r="G2091" i="2"/>
  <c r="H2091" i="2" s="1"/>
  <c r="G2092" i="2"/>
  <c r="H2092" i="2" s="1"/>
  <c r="G2093" i="2"/>
  <c r="H2093" i="2" s="1"/>
  <c r="G2094" i="2"/>
  <c r="H2094" i="2" s="1"/>
  <c r="G2095" i="2"/>
  <c r="H2095" i="2" s="1"/>
  <c r="G2096" i="2"/>
  <c r="H2096" i="2" s="1"/>
  <c r="G2097" i="2"/>
  <c r="H2097" i="2" s="1"/>
  <c r="G2098" i="2"/>
  <c r="H2098" i="2" s="1"/>
  <c r="G2099" i="2"/>
  <c r="H2099" i="2" s="1"/>
  <c r="G2100" i="2"/>
  <c r="H2100" i="2" s="1"/>
  <c r="G2101" i="2"/>
  <c r="H2101" i="2" s="1"/>
  <c r="G2102" i="2"/>
  <c r="H2102" i="2" s="1"/>
  <c r="G2103" i="2"/>
  <c r="H2103" i="2" s="1"/>
  <c r="G2104" i="2"/>
  <c r="H2104" i="2" s="1"/>
  <c r="G2105" i="2"/>
  <c r="H2105" i="2" s="1"/>
  <c r="G2106" i="2"/>
  <c r="H2106" i="2" s="1"/>
  <c r="G2107" i="2"/>
  <c r="H2107" i="2" s="1"/>
  <c r="G2108" i="2"/>
  <c r="H2108" i="2" s="1"/>
  <c r="G2109" i="2"/>
  <c r="H2109" i="2" s="1"/>
  <c r="G2110" i="2"/>
  <c r="H2110" i="2" s="1"/>
  <c r="G2111" i="2"/>
  <c r="H2111" i="2" s="1"/>
  <c r="G2112" i="2"/>
  <c r="H2112" i="2" s="1"/>
  <c r="G2113" i="2"/>
  <c r="H2113" i="2" s="1"/>
  <c r="G2114" i="2"/>
  <c r="H2114" i="2" s="1"/>
  <c r="G2115" i="2"/>
  <c r="H2115" i="2" s="1"/>
  <c r="G2116" i="2"/>
  <c r="H2116" i="2" s="1"/>
  <c r="G2117" i="2"/>
  <c r="H2117" i="2" s="1"/>
  <c r="G2118" i="2"/>
  <c r="H2118" i="2" s="1"/>
  <c r="G2119" i="2"/>
  <c r="H2119" i="2" s="1"/>
  <c r="G2120" i="2"/>
  <c r="H2120" i="2" s="1"/>
  <c r="G2121" i="2"/>
  <c r="H2121" i="2" s="1"/>
  <c r="G2122" i="2"/>
  <c r="H2122" i="2" s="1"/>
  <c r="G2123" i="2"/>
  <c r="H2123" i="2" s="1"/>
  <c r="G2124" i="2"/>
  <c r="H2124" i="2" s="1"/>
  <c r="G2125" i="2"/>
  <c r="H2125" i="2" s="1"/>
  <c r="G2126" i="2"/>
  <c r="H2126" i="2" s="1"/>
  <c r="G2127" i="2"/>
  <c r="H2127" i="2" s="1"/>
  <c r="G2128" i="2"/>
  <c r="H2128" i="2" s="1"/>
  <c r="G2129" i="2"/>
  <c r="H2129" i="2" s="1"/>
  <c r="G2130" i="2"/>
  <c r="H2130" i="2" s="1"/>
  <c r="G2131" i="2"/>
  <c r="H2131" i="2" s="1"/>
  <c r="G2132" i="2"/>
  <c r="H2132" i="2" s="1"/>
  <c r="G2133" i="2"/>
  <c r="H2133" i="2" s="1"/>
  <c r="G2134" i="2"/>
  <c r="H2134" i="2" s="1"/>
  <c r="G2135" i="2"/>
  <c r="H2135" i="2" s="1"/>
  <c r="G2136" i="2"/>
  <c r="H2136" i="2" s="1"/>
  <c r="G2137" i="2"/>
  <c r="H2137" i="2" s="1"/>
  <c r="G2138" i="2"/>
  <c r="H2138" i="2" s="1"/>
  <c r="G2139" i="2"/>
  <c r="H2139" i="2" s="1"/>
  <c r="G2140" i="2"/>
  <c r="H2140" i="2" s="1"/>
  <c r="G2141" i="2"/>
  <c r="H2141" i="2" s="1"/>
  <c r="G2142" i="2"/>
  <c r="H2142" i="2" s="1"/>
  <c r="G2143" i="2"/>
  <c r="H2143" i="2" s="1"/>
  <c r="G2144" i="2"/>
  <c r="H2144" i="2" s="1"/>
  <c r="G2145" i="2"/>
  <c r="H2145" i="2" s="1"/>
  <c r="G2146" i="2"/>
  <c r="H2146" i="2" s="1"/>
  <c r="G2147" i="2"/>
  <c r="H2147" i="2" s="1"/>
  <c r="G2148" i="2"/>
  <c r="H2148" i="2" s="1"/>
  <c r="G2149" i="2"/>
  <c r="H2149" i="2" s="1"/>
  <c r="G2150" i="2"/>
  <c r="H2150" i="2" s="1"/>
  <c r="G2151" i="2"/>
  <c r="H2151" i="2" s="1"/>
  <c r="G2152" i="2"/>
  <c r="H2152" i="2" s="1"/>
  <c r="G2153" i="2"/>
  <c r="H2153" i="2" s="1"/>
  <c r="G2154" i="2"/>
  <c r="H2154" i="2" s="1"/>
  <c r="G2155" i="2"/>
  <c r="H2155" i="2" s="1"/>
  <c r="G2156" i="2"/>
  <c r="H2156" i="2" s="1"/>
  <c r="G2157" i="2"/>
  <c r="H2157" i="2" s="1"/>
  <c r="G2158" i="2"/>
  <c r="H2158" i="2" s="1"/>
  <c r="G2159" i="2"/>
  <c r="H2159" i="2" s="1"/>
  <c r="G2160" i="2"/>
  <c r="H2160" i="2" s="1"/>
  <c r="G2161" i="2"/>
  <c r="H2161" i="2" s="1"/>
  <c r="G2162" i="2"/>
  <c r="H2162" i="2" s="1"/>
  <c r="G2163" i="2"/>
  <c r="H2163" i="2" s="1"/>
  <c r="G2164" i="2"/>
  <c r="H2164" i="2" s="1"/>
  <c r="G2165" i="2"/>
  <c r="H2165" i="2" s="1"/>
  <c r="G2166" i="2"/>
  <c r="H2166" i="2" s="1"/>
  <c r="G2167" i="2"/>
  <c r="H2167" i="2" s="1"/>
  <c r="G2168" i="2"/>
  <c r="H2168" i="2" s="1"/>
  <c r="G2169" i="2"/>
  <c r="H2169" i="2" s="1"/>
  <c r="G2170" i="2"/>
  <c r="H2170" i="2" s="1"/>
  <c r="G2171" i="2"/>
  <c r="H2171" i="2" s="1"/>
  <c r="G2172" i="2"/>
  <c r="H2172" i="2" s="1"/>
  <c r="G2173" i="2"/>
  <c r="H2173" i="2" s="1"/>
  <c r="G2174" i="2"/>
  <c r="H2174" i="2" s="1"/>
  <c r="G2175" i="2"/>
  <c r="H2175" i="2" s="1"/>
  <c r="G2176" i="2"/>
  <c r="H2176" i="2" s="1"/>
  <c r="G2177" i="2"/>
  <c r="H2177" i="2" s="1"/>
  <c r="G2178" i="2"/>
  <c r="H2178" i="2" s="1"/>
  <c r="G2179" i="2"/>
  <c r="H2179" i="2" s="1"/>
  <c r="G2180" i="2"/>
  <c r="H2180" i="2" s="1"/>
  <c r="G2181" i="2"/>
  <c r="H2181" i="2" s="1"/>
  <c r="G2182" i="2"/>
  <c r="H2182" i="2" s="1"/>
  <c r="G2183" i="2"/>
  <c r="H2183" i="2" s="1"/>
  <c r="G2184" i="2"/>
  <c r="H2184" i="2" s="1"/>
  <c r="G2185" i="2"/>
  <c r="H2185" i="2" s="1"/>
  <c r="G2186" i="2"/>
  <c r="H2186" i="2" s="1"/>
  <c r="G2187" i="2"/>
  <c r="H2187" i="2" s="1"/>
  <c r="G2188" i="2"/>
  <c r="H2188" i="2" s="1"/>
  <c r="G2189" i="2"/>
  <c r="H2189" i="2" s="1"/>
  <c r="G2190" i="2"/>
  <c r="H2190" i="2" s="1"/>
  <c r="G2191" i="2"/>
  <c r="H2191" i="2" s="1"/>
  <c r="G2192" i="2"/>
  <c r="H2192" i="2" s="1"/>
  <c r="G2193" i="2"/>
  <c r="H2193" i="2" s="1"/>
  <c r="G2194" i="2"/>
  <c r="H2194" i="2" s="1"/>
  <c r="G2195" i="2"/>
  <c r="H2195" i="2" s="1"/>
  <c r="G2196" i="2"/>
  <c r="H2196" i="2" s="1"/>
  <c r="G2197" i="2"/>
  <c r="H2197" i="2" s="1"/>
  <c r="G2198" i="2"/>
  <c r="H2198" i="2" s="1"/>
  <c r="G2199" i="2"/>
  <c r="H2199" i="2" s="1"/>
  <c r="G2200" i="2"/>
  <c r="H2200" i="2" s="1"/>
  <c r="G2201" i="2"/>
  <c r="H2201" i="2" s="1"/>
  <c r="G2202" i="2"/>
  <c r="H2202" i="2" s="1"/>
  <c r="G2203" i="2"/>
  <c r="H2203" i="2" s="1"/>
  <c r="G2204" i="2"/>
  <c r="H2204" i="2" s="1"/>
  <c r="G2205" i="2"/>
  <c r="H2205" i="2" s="1"/>
  <c r="G2206" i="2"/>
  <c r="H2206" i="2" s="1"/>
  <c r="G2207" i="2"/>
  <c r="H2207" i="2" s="1"/>
  <c r="G2208" i="2"/>
  <c r="H2208" i="2" s="1"/>
  <c r="G2209" i="2"/>
  <c r="H2209" i="2" s="1"/>
  <c r="G2210" i="2"/>
  <c r="H2210" i="2" s="1"/>
  <c r="G2211" i="2"/>
  <c r="H2211" i="2" s="1"/>
  <c r="G2212" i="2"/>
  <c r="H2212" i="2" s="1"/>
  <c r="G2213" i="2"/>
  <c r="H2213" i="2" s="1"/>
  <c r="G2214" i="2"/>
  <c r="H2214" i="2" s="1"/>
  <c r="G2215" i="2"/>
  <c r="H2215" i="2" s="1"/>
  <c r="G2216" i="2"/>
  <c r="H2216" i="2" s="1"/>
  <c r="G2217" i="2"/>
  <c r="H2217" i="2" s="1"/>
  <c r="G2218" i="2"/>
  <c r="H2218" i="2" s="1"/>
  <c r="G2219" i="2"/>
  <c r="H2219" i="2" s="1"/>
  <c r="G2220" i="2"/>
  <c r="H2220" i="2" s="1"/>
  <c r="G2221" i="2"/>
  <c r="H2221" i="2" s="1"/>
  <c r="G2222" i="2"/>
  <c r="H2222" i="2" s="1"/>
  <c r="G2223" i="2"/>
  <c r="H2223" i="2" s="1"/>
  <c r="G2224" i="2"/>
  <c r="H2224" i="2" s="1"/>
  <c r="G2225" i="2"/>
  <c r="H2225" i="2" s="1"/>
  <c r="G2226" i="2"/>
  <c r="H2226" i="2" s="1"/>
  <c r="G2227" i="2"/>
  <c r="H2227" i="2" s="1"/>
  <c r="G2228" i="2"/>
  <c r="H2228" i="2" s="1"/>
  <c r="G2229" i="2"/>
  <c r="H2229" i="2" s="1"/>
  <c r="G2230" i="2"/>
  <c r="H2230" i="2" s="1"/>
  <c r="G2231" i="2"/>
  <c r="H2231" i="2" s="1"/>
  <c r="G2232" i="2"/>
  <c r="H2232" i="2" s="1"/>
  <c r="G2233" i="2"/>
  <c r="H2233" i="2" s="1"/>
  <c r="G2234" i="2"/>
  <c r="H2234" i="2" s="1"/>
  <c r="G2235" i="2"/>
  <c r="H2235" i="2" s="1"/>
  <c r="G2236" i="2"/>
  <c r="H2236" i="2" s="1"/>
  <c r="G2237" i="2"/>
  <c r="H2237" i="2" s="1"/>
  <c r="G2238" i="2"/>
  <c r="H2238" i="2" s="1"/>
  <c r="G2239" i="2"/>
  <c r="H2239" i="2" s="1"/>
  <c r="G2240" i="2"/>
  <c r="H2240" i="2" s="1"/>
  <c r="G2241" i="2"/>
  <c r="H2241" i="2" s="1"/>
  <c r="G2242" i="2"/>
  <c r="H2242" i="2" s="1"/>
  <c r="G2243" i="2"/>
  <c r="H2243" i="2" s="1"/>
  <c r="G2244" i="2"/>
  <c r="H2244" i="2" s="1"/>
  <c r="G2245" i="2"/>
  <c r="H2245" i="2" s="1"/>
  <c r="G2246" i="2"/>
  <c r="H2246" i="2" s="1"/>
  <c r="G2247" i="2"/>
  <c r="H2247" i="2" s="1"/>
  <c r="G2248" i="2"/>
  <c r="H2248" i="2" s="1"/>
  <c r="G2249" i="2"/>
  <c r="H2249" i="2" s="1"/>
  <c r="G2250" i="2"/>
  <c r="H2250" i="2" s="1"/>
  <c r="G2251" i="2"/>
  <c r="H2251" i="2" s="1"/>
  <c r="G2252" i="2"/>
  <c r="H2252" i="2" s="1"/>
  <c r="G2253" i="2"/>
  <c r="H2253" i="2" s="1"/>
  <c r="G2254" i="2"/>
  <c r="H2254" i="2" s="1"/>
  <c r="G2255" i="2"/>
  <c r="H2255" i="2" s="1"/>
  <c r="G2256" i="2"/>
  <c r="H2256" i="2" s="1"/>
  <c r="G2257" i="2"/>
  <c r="H2257" i="2" s="1"/>
  <c r="G2258" i="2"/>
  <c r="H2258" i="2" s="1"/>
  <c r="G2259" i="2"/>
  <c r="H2259" i="2" s="1"/>
  <c r="G2260" i="2"/>
  <c r="H2260" i="2" s="1"/>
  <c r="G2261" i="2"/>
  <c r="H2261" i="2" s="1"/>
  <c r="G2262" i="2"/>
  <c r="H2262" i="2" s="1"/>
  <c r="G2263" i="2"/>
  <c r="H2263" i="2" s="1"/>
  <c r="G2264" i="2"/>
  <c r="H2264" i="2" s="1"/>
  <c r="G2265" i="2"/>
  <c r="H2265" i="2" s="1"/>
  <c r="G2266" i="2"/>
  <c r="H2266" i="2" s="1"/>
  <c r="G2267" i="2"/>
  <c r="H2267" i="2" s="1"/>
  <c r="G2268" i="2"/>
  <c r="H2268" i="2" s="1"/>
  <c r="G2269" i="2"/>
  <c r="H2269" i="2" s="1"/>
  <c r="G2270" i="2"/>
  <c r="H2270" i="2" s="1"/>
  <c r="G2271" i="2"/>
  <c r="H2271" i="2" s="1"/>
  <c r="G2272" i="2"/>
  <c r="H2272" i="2" s="1"/>
  <c r="G2273" i="2"/>
  <c r="H2273" i="2" s="1"/>
  <c r="G2274" i="2"/>
  <c r="H2274" i="2" s="1"/>
  <c r="G2275" i="2"/>
  <c r="H2275" i="2" s="1"/>
  <c r="G2276" i="2"/>
  <c r="H2276" i="2" s="1"/>
  <c r="G2277" i="2"/>
  <c r="H2277" i="2" s="1"/>
  <c r="G2278" i="2"/>
  <c r="H2278" i="2" s="1"/>
  <c r="G2279" i="2"/>
  <c r="H2279" i="2" s="1"/>
  <c r="G2280" i="2"/>
  <c r="H2280" i="2" s="1"/>
  <c r="G2281" i="2"/>
  <c r="H2281" i="2" s="1"/>
  <c r="G2282" i="2"/>
  <c r="H2282" i="2" s="1"/>
  <c r="G2283" i="2"/>
  <c r="H2283" i="2" s="1"/>
  <c r="G2284" i="2"/>
  <c r="H2284" i="2" s="1"/>
  <c r="G2285" i="2"/>
  <c r="H2285" i="2" s="1"/>
  <c r="G2286" i="2"/>
  <c r="H2286" i="2" s="1"/>
  <c r="G2287" i="2"/>
  <c r="H2287" i="2" s="1"/>
  <c r="G2288" i="2"/>
  <c r="H2288" i="2" s="1"/>
  <c r="G2289" i="2"/>
  <c r="H2289" i="2" s="1"/>
  <c r="G2290" i="2"/>
  <c r="H2290" i="2" s="1"/>
  <c r="G2291" i="2"/>
  <c r="H2291" i="2" s="1"/>
  <c r="G2292" i="2"/>
  <c r="H2292" i="2" s="1"/>
  <c r="G2293" i="2"/>
  <c r="H2293" i="2" s="1"/>
  <c r="G2294" i="2"/>
  <c r="H2294" i="2" s="1"/>
  <c r="G2295" i="2"/>
  <c r="H2295" i="2" s="1"/>
  <c r="G2296" i="2"/>
  <c r="H2296" i="2" s="1"/>
  <c r="G2297" i="2"/>
  <c r="H2297" i="2" s="1"/>
  <c r="G2298" i="2"/>
  <c r="H2298" i="2" s="1"/>
  <c r="G2299" i="2"/>
  <c r="H2299" i="2" s="1"/>
  <c r="G2300" i="2"/>
  <c r="H2300" i="2" s="1"/>
  <c r="G2301" i="2"/>
  <c r="H2301" i="2" s="1"/>
  <c r="G2302" i="2"/>
  <c r="H2302" i="2" s="1"/>
  <c r="G2303" i="2"/>
  <c r="H2303" i="2" s="1"/>
  <c r="G2304" i="2"/>
  <c r="H2304" i="2" s="1"/>
  <c r="G2305" i="2"/>
  <c r="H2305" i="2" s="1"/>
  <c r="G2306" i="2"/>
  <c r="H2306" i="2" s="1"/>
  <c r="G2307" i="2"/>
  <c r="H2307" i="2" s="1"/>
  <c r="G2308" i="2"/>
  <c r="H2308" i="2" s="1"/>
  <c r="G2309" i="2"/>
  <c r="H2309" i="2" s="1"/>
  <c r="G2310" i="2"/>
  <c r="H2310" i="2" s="1"/>
  <c r="G2311" i="2"/>
  <c r="H2311" i="2" s="1"/>
  <c r="G2312" i="2"/>
  <c r="H2312" i="2" s="1"/>
  <c r="G2313" i="2"/>
  <c r="H2313" i="2" s="1"/>
  <c r="G2314" i="2"/>
  <c r="H2314" i="2" s="1"/>
  <c r="G2315" i="2"/>
  <c r="H2315" i="2" s="1"/>
  <c r="G2316" i="2"/>
  <c r="H2316" i="2" s="1"/>
  <c r="G2317" i="2"/>
  <c r="H2317" i="2" s="1"/>
  <c r="G2318" i="2"/>
  <c r="H2318" i="2" s="1"/>
  <c r="G2319" i="2"/>
  <c r="H2319" i="2" s="1"/>
  <c r="G2320" i="2"/>
  <c r="H2320" i="2" s="1"/>
  <c r="G2321" i="2"/>
  <c r="H2321" i="2" s="1"/>
  <c r="G2322" i="2"/>
  <c r="H2322" i="2" s="1"/>
  <c r="G2323" i="2"/>
  <c r="H2323" i="2" s="1"/>
  <c r="G2324" i="2"/>
  <c r="H2324" i="2" s="1"/>
  <c r="G2325" i="2"/>
  <c r="H2325" i="2" s="1"/>
  <c r="G2326" i="2"/>
  <c r="H2326" i="2" s="1"/>
  <c r="G2327" i="2"/>
  <c r="H2327" i="2" s="1"/>
  <c r="G2328" i="2"/>
  <c r="H2328" i="2" s="1"/>
  <c r="G2329" i="2"/>
  <c r="H2329" i="2" s="1"/>
  <c r="G2330" i="2"/>
  <c r="H2330" i="2" s="1"/>
  <c r="G2331" i="2"/>
  <c r="H2331" i="2" s="1"/>
  <c r="G2332" i="2"/>
  <c r="H2332" i="2" s="1"/>
  <c r="G2333" i="2"/>
  <c r="H2333" i="2" s="1"/>
  <c r="G2334" i="2"/>
  <c r="H2334" i="2" s="1"/>
  <c r="G2335" i="2"/>
  <c r="H2335" i="2" s="1"/>
  <c r="G2336" i="2"/>
  <c r="H2336" i="2" s="1"/>
  <c r="G2337" i="2"/>
  <c r="H2337" i="2" s="1"/>
  <c r="G2338" i="2"/>
  <c r="H2338" i="2" s="1"/>
  <c r="G2339" i="2"/>
  <c r="H2339" i="2" s="1"/>
  <c r="G2340" i="2"/>
  <c r="H2340" i="2" s="1"/>
  <c r="G2341" i="2"/>
  <c r="H2341" i="2" s="1"/>
  <c r="G2342" i="2"/>
  <c r="H2342" i="2" s="1"/>
  <c r="G2343" i="2"/>
  <c r="H2343" i="2" s="1"/>
  <c r="G2344" i="2"/>
  <c r="H2344" i="2" s="1"/>
  <c r="G2345" i="2"/>
  <c r="H2345" i="2" s="1"/>
  <c r="G2346" i="2"/>
  <c r="H2346" i="2" s="1"/>
  <c r="G2347" i="2"/>
  <c r="H2347" i="2" s="1"/>
  <c r="G2348" i="2"/>
  <c r="H2348" i="2" s="1"/>
  <c r="G2349" i="2"/>
  <c r="H2349" i="2" s="1"/>
  <c r="G2350" i="2"/>
  <c r="H2350" i="2" s="1"/>
  <c r="G2351" i="2"/>
  <c r="H2351" i="2" s="1"/>
  <c r="G2352" i="2"/>
  <c r="H2352" i="2" s="1"/>
  <c r="G2353" i="2"/>
  <c r="H2353" i="2" s="1"/>
  <c r="G2354" i="2"/>
  <c r="H2354" i="2" s="1"/>
  <c r="G2355" i="2"/>
  <c r="H2355" i="2" s="1"/>
  <c r="G2356" i="2"/>
  <c r="H2356" i="2" s="1"/>
  <c r="G2357" i="2"/>
  <c r="H2357" i="2" s="1"/>
  <c r="G2358" i="2"/>
  <c r="H2358" i="2" s="1"/>
  <c r="G2359" i="2"/>
  <c r="H2359" i="2" s="1"/>
  <c r="G2360" i="2"/>
  <c r="H2360" i="2" s="1"/>
  <c r="G2361" i="2"/>
  <c r="H2361" i="2" s="1"/>
  <c r="G2362" i="2"/>
  <c r="H2362" i="2" s="1"/>
  <c r="G2363" i="2"/>
  <c r="H2363" i="2" s="1"/>
  <c r="G2364" i="2"/>
  <c r="H2364" i="2" s="1"/>
  <c r="G2365" i="2"/>
  <c r="H2365" i="2" s="1"/>
  <c r="G2366" i="2"/>
  <c r="H2366" i="2" s="1"/>
  <c r="G2367" i="2"/>
  <c r="H2367" i="2" s="1"/>
  <c r="G2368" i="2"/>
  <c r="H2368" i="2" s="1"/>
  <c r="G2369" i="2"/>
  <c r="H2369" i="2" s="1"/>
  <c r="G2370" i="2"/>
  <c r="H2370" i="2" s="1"/>
  <c r="G2371" i="2"/>
  <c r="H2371" i="2" s="1"/>
  <c r="G2372" i="2"/>
  <c r="H2372" i="2" s="1"/>
  <c r="G2373" i="2"/>
  <c r="H2373" i="2" s="1"/>
  <c r="G2374" i="2"/>
  <c r="H2374" i="2" s="1"/>
  <c r="G2375" i="2"/>
  <c r="H2375" i="2" s="1"/>
  <c r="G2376" i="2"/>
  <c r="H2376" i="2" s="1"/>
  <c r="G2377" i="2"/>
  <c r="H2377" i="2" s="1"/>
  <c r="G2378" i="2"/>
  <c r="H2378" i="2" s="1"/>
  <c r="G2379" i="2"/>
  <c r="H2379" i="2" s="1"/>
  <c r="G2380" i="2"/>
  <c r="H2380" i="2" s="1"/>
  <c r="G2381" i="2"/>
  <c r="H2381" i="2" s="1"/>
  <c r="G2382" i="2"/>
  <c r="H2382" i="2" s="1"/>
  <c r="G2383" i="2"/>
  <c r="H2383" i="2" s="1"/>
  <c r="G2384" i="2"/>
  <c r="H2384" i="2" s="1"/>
  <c r="G2385" i="2"/>
  <c r="H2385" i="2" s="1"/>
  <c r="G2386" i="2"/>
  <c r="H2386" i="2" s="1"/>
  <c r="G2387" i="2"/>
  <c r="H2387" i="2" s="1"/>
  <c r="G2388" i="2"/>
  <c r="H2388" i="2" s="1"/>
  <c r="G2389" i="2"/>
  <c r="H2389" i="2" s="1"/>
  <c r="G2390" i="2"/>
  <c r="H2390" i="2" s="1"/>
  <c r="G2391" i="2"/>
  <c r="H2391" i="2" s="1"/>
  <c r="G2392" i="2"/>
  <c r="H2392" i="2" s="1"/>
  <c r="G2393" i="2"/>
  <c r="H2393" i="2" s="1"/>
  <c r="G2394" i="2"/>
  <c r="H2394" i="2" s="1"/>
  <c r="G2395" i="2"/>
  <c r="H2395" i="2" s="1"/>
  <c r="G2396" i="2"/>
  <c r="H2396" i="2" s="1"/>
  <c r="G2397" i="2"/>
  <c r="H2397" i="2" s="1"/>
  <c r="G2398" i="2"/>
  <c r="H2398" i="2" s="1"/>
  <c r="G2399" i="2"/>
  <c r="H2399" i="2" s="1"/>
  <c r="G2400" i="2"/>
  <c r="H2400" i="2" s="1"/>
  <c r="G2401" i="2"/>
  <c r="H2401" i="2" s="1"/>
  <c r="G2402" i="2"/>
  <c r="H2402" i="2" s="1"/>
  <c r="G34" i="2"/>
  <c r="H34" i="2" s="1"/>
  <c r="G35" i="2"/>
  <c r="H35" i="2" s="1"/>
  <c r="G36" i="2"/>
  <c r="H36" i="2" s="1"/>
  <c r="G37" i="2"/>
  <c r="H37" i="2" s="1"/>
  <c r="G38" i="2"/>
  <c r="H38" i="2" s="1"/>
  <c r="G39" i="2"/>
  <c r="H39" i="2" s="1"/>
  <c r="G40" i="2"/>
  <c r="H40" i="2" s="1"/>
  <c r="G41" i="2"/>
  <c r="H41" i="2" s="1"/>
  <c r="G42" i="2"/>
  <c r="H42" i="2" s="1"/>
  <c r="G43" i="2"/>
  <c r="H43" i="2" s="1"/>
  <c r="G44" i="2"/>
  <c r="H44" i="2" s="1"/>
  <c r="G45" i="2"/>
  <c r="H45" i="2" s="1"/>
  <c r="G46" i="2"/>
  <c r="H46" i="2" s="1"/>
  <c r="G47" i="2"/>
  <c r="H47" i="2" s="1"/>
  <c r="G48" i="2"/>
  <c r="H48" i="2" s="1"/>
  <c r="G49" i="2"/>
  <c r="H49" i="2" s="1"/>
  <c r="G50" i="2"/>
  <c r="H50" i="2" s="1"/>
  <c r="G51" i="2"/>
  <c r="H51" i="2" s="1"/>
  <c r="G52" i="2"/>
  <c r="H52" i="2" s="1"/>
  <c r="G53" i="2"/>
  <c r="H53" i="2" s="1"/>
  <c r="G54" i="2"/>
  <c r="H54" i="2" s="1"/>
  <c r="G55" i="2"/>
  <c r="H55" i="2" s="1"/>
  <c r="G56" i="2"/>
  <c r="H56" i="2" s="1"/>
  <c r="G57" i="2"/>
  <c r="H57" i="2" s="1"/>
  <c r="G58" i="2"/>
  <c r="H58" i="2" s="1"/>
  <c r="G59" i="2"/>
  <c r="H59" i="2" s="1"/>
  <c r="G60" i="2"/>
  <c r="H60" i="2" s="1"/>
  <c r="G61" i="2"/>
  <c r="H61" i="2" s="1"/>
  <c r="G62" i="2"/>
  <c r="H62" i="2" s="1"/>
  <c r="G63" i="2"/>
  <c r="H63" i="2" s="1"/>
  <c r="G64" i="2"/>
  <c r="H64" i="2" s="1"/>
  <c r="G65" i="2"/>
  <c r="H65" i="2" s="1"/>
  <c r="G66" i="2"/>
  <c r="H66" i="2" s="1"/>
  <c r="G67" i="2"/>
  <c r="H67" i="2" s="1"/>
  <c r="G68" i="2"/>
  <c r="H68" i="2" s="1"/>
  <c r="G69" i="2"/>
  <c r="H69" i="2" s="1"/>
  <c r="G70" i="2"/>
  <c r="H70" i="2" s="1"/>
  <c r="G71" i="2"/>
  <c r="H71" i="2" s="1"/>
  <c r="G72" i="2"/>
  <c r="H72" i="2" s="1"/>
  <c r="G73" i="2"/>
  <c r="H73" i="2" s="1"/>
  <c r="G74" i="2"/>
  <c r="H74" i="2" s="1"/>
  <c r="G75" i="2"/>
  <c r="H75" i="2" s="1"/>
  <c r="G76" i="2"/>
  <c r="H76" i="2" s="1"/>
  <c r="G77" i="2"/>
  <c r="H77" i="2" s="1"/>
  <c r="G78" i="2"/>
  <c r="H78" i="2" s="1"/>
  <c r="G79" i="2"/>
  <c r="H79" i="2" s="1"/>
  <c r="G80" i="2"/>
  <c r="H80" i="2" s="1"/>
  <c r="G81" i="2"/>
  <c r="H81" i="2" s="1"/>
  <c r="G82" i="2"/>
  <c r="H82" i="2" s="1"/>
  <c r="G83" i="2"/>
  <c r="H83" i="2" s="1"/>
  <c r="G84" i="2"/>
  <c r="H84" i="2" s="1"/>
  <c r="G85" i="2"/>
  <c r="H85" i="2" s="1"/>
  <c r="G86" i="2"/>
  <c r="H86" i="2" s="1"/>
  <c r="G87" i="2"/>
  <c r="H87" i="2" s="1"/>
  <c r="G88" i="2"/>
  <c r="H88" i="2" s="1"/>
  <c r="G89" i="2"/>
  <c r="H89" i="2" s="1"/>
  <c r="G90" i="2"/>
  <c r="H90" i="2" s="1"/>
  <c r="G91" i="2"/>
  <c r="H91" i="2" s="1"/>
  <c r="G92" i="2"/>
  <c r="H92" i="2" s="1"/>
  <c r="G93" i="2"/>
  <c r="H93" i="2" s="1"/>
  <c r="G94" i="2"/>
  <c r="H94" i="2" s="1"/>
  <c r="G95" i="2"/>
  <c r="H95" i="2" s="1"/>
  <c r="G96" i="2"/>
  <c r="H96" i="2" s="1"/>
  <c r="G97" i="2"/>
  <c r="H97" i="2" s="1"/>
  <c r="G98" i="2"/>
  <c r="H98" i="2" s="1"/>
  <c r="G99" i="2"/>
  <c r="H99" i="2" s="1"/>
  <c r="G100" i="2"/>
  <c r="H100" i="2" s="1"/>
  <c r="G101" i="2"/>
  <c r="H101" i="2" s="1"/>
  <c r="G102" i="2"/>
  <c r="H102" i="2" s="1"/>
  <c r="G103" i="2"/>
  <c r="H103" i="2" s="1"/>
  <c r="G104" i="2"/>
  <c r="H104" i="2" s="1"/>
  <c r="G105" i="2"/>
  <c r="H105" i="2" s="1"/>
  <c r="G106" i="2"/>
  <c r="H106" i="2" s="1"/>
  <c r="G107" i="2"/>
  <c r="H107" i="2" s="1"/>
  <c r="G108" i="2"/>
  <c r="H108" i="2" s="1"/>
  <c r="G109" i="2"/>
  <c r="H109" i="2" s="1"/>
  <c r="G110" i="2"/>
  <c r="H110" i="2" s="1"/>
  <c r="G111" i="2"/>
  <c r="H111" i="2" s="1"/>
  <c r="G112" i="2"/>
  <c r="H112" i="2" s="1"/>
  <c r="G113" i="2"/>
  <c r="H113" i="2" s="1"/>
  <c r="G114" i="2"/>
  <c r="H114" i="2" s="1"/>
  <c r="G115" i="2"/>
  <c r="H115" i="2" s="1"/>
  <c r="G116" i="2"/>
  <c r="H116" i="2" s="1"/>
  <c r="G117" i="2"/>
  <c r="H117" i="2" s="1"/>
  <c r="G118" i="2"/>
  <c r="H118" i="2" s="1"/>
  <c r="G119" i="2"/>
  <c r="H119" i="2" s="1"/>
  <c r="G120" i="2"/>
  <c r="H120" i="2" s="1"/>
  <c r="G121" i="2"/>
  <c r="H121" i="2" s="1"/>
  <c r="G122" i="2"/>
  <c r="H122" i="2" s="1"/>
  <c r="G123" i="2"/>
  <c r="H123" i="2" s="1"/>
  <c r="G124" i="2"/>
  <c r="H124" i="2" s="1"/>
  <c r="G125" i="2"/>
  <c r="H125" i="2" s="1"/>
  <c r="G126" i="2"/>
  <c r="H126" i="2" s="1"/>
  <c r="G127" i="2"/>
  <c r="H127" i="2" s="1"/>
  <c r="G128" i="2"/>
  <c r="H128" i="2" s="1"/>
  <c r="G129" i="2"/>
  <c r="H129" i="2" s="1"/>
  <c r="G130" i="2"/>
  <c r="H130" i="2" s="1"/>
  <c r="G131" i="2"/>
  <c r="H131" i="2" s="1"/>
  <c r="G132" i="2"/>
  <c r="H132" i="2" s="1"/>
  <c r="G133" i="2"/>
  <c r="H133" i="2" s="1"/>
  <c r="G134" i="2"/>
  <c r="H134" i="2" s="1"/>
  <c r="G135" i="2"/>
  <c r="H135" i="2" s="1"/>
  <c r="G136" i="2"/>
  <c r="H136" i="2" s="1"/>
  <c r="G137" i="2"/>
  <c r="H137" i="2" s="1"/>
  <c r="G138" i="2"/>
  <c r="H138" i="2" s="1"/>
  <c r="G139" i="2"/>
  <c r="H139" i="2" s="1"/>
  <c r="G140" i="2"/>
  <c r="H140" i="2" s="1"/>
  <c r="G141" i="2"/>
  <c r="H141" i="2" s="1"/>
  <c r="G142" i="2"/>
  <c r="H142" i="2" s="1"/>
  <c r="G143" i="2"/>
  <c r="H143" i="2" s="1"/>
  <c r="G144" i="2"/>
  <c r="H144" i="2" s="1"/>
  <c r="G145" i="2"/>
  <c r="H145" i="2" s="1"/>
  <c r="G146" i="2"/>
  <c r="H146" i="2" s="1"/>
  <c r="G147" i="2"/>
  <c r="H147" i="2" s="1"/>
  <c r="G148" i="2"/>
  <c r="H148" i="2" s="1"/>
  <c r="G149" i="2"/>
  <c r="H149" i="2" s="1"/>
  <c r="G150" i="2"/>
  <c r="H150" i="2" s="1"/>
  <c r="G151" i="2"/>
  <c r="H151" i="2" s="1"/>
  <c r="G152" i="2"/>
  <c r="H152" i="2" s="1"/>
  <c r="G153" i="2"/>
  <c r="H153" i="2" s="1"/>
  <c r="G154" i="2"/>
  <c r="H154" i="2" s="1"/>
  <c r="G155" i="2"/>
  <c r="H155" i="2" s="1"/>
  <c r="G156" i="2"/>
  <c r="H156" i="2" s="1"/>
  <c r="G157" i="2"/>
  <c r="H157" i="2" s="1"/>
  <c r="G158" i="2"/>
  <c r="H158" i="2" s="1"/>
  <c r="G159" i="2"/>
  <c r="H159" i="2" s="1"/>
  <c r="G160" i="2"/>
  <c r="H160" i="2" s="1"/>
  <c r="G161" i="2"/>
  <c r="H161" i="2" s="1"/>
  <c r="G162" i="2"/>
  <c r="H162" i="2" s="1"/>
  <c r="G163" i="2"/>
  <c r="H163" i="2" s="1"/>
  <c r="G164" i="2"/>
  <c r="H164" i="2" s="1"/>
  <c r="G165" i="2"/>
  <c r="H165" i="2" s="1"/>
  <c r="G166" i="2"/>
  <c r="H166" i="2" s="1"/>
  <c r="G167" i="2"/>
  <c r="H167" i="2" s="1"/>
  <c r="G168" i="2"/>
  <c r="H168" i="2" s="1"/>
  <c r="G169" i="2"/>
  <c r="H169" i="2" s="1"/>
  <c r="G170" i="2"/>
  <c r="H170" i="2" s="1"/>
  <c r="G171" i="2"/>
  <c r="H171" i="2" s="1"/>
  <c r="G172" i="2"/>
  <c r="H172" i="2" s="1"/>
  <c r="G173" i="2"/>
  <c r="H173" i="2" s="1"/>
  <c r="G174" i="2"/>
  <c r="H174" i="2" s="1"/>
  <c r="G175" i="2"/>
  <c r="H175" i="2" s="1"/>
  <c r="G176" i="2"/>
  <c r="H176" i="2" s="1"/>
  <c r="G177" i="2"/>
  <c r="H177" i="2" s="1"/>
  <c r="G178" i="2"/>
  <c r="H178" i="2" s="1"/>
  <c r="G179" i="2"/>
  <c r="H179" i="2" s="1"/>
  <c r="G180" i="2"/>
  <c r="H180" i="2" s="1"/>
  <c r="G181" i="2"/>
  <c r="H181" i="2" s="1"/>
  <c r="G182" i="2"/>
  <c r="H182" i="2" s="1"/>
  <c r="G183" i="2"/>
  <c r="H183" i="2" s="1"/>
  <c r="G184" i="2"/>
  <c r="H184" i="2" s="1"/>
  <c r="G185" i="2"/>
  <c r="H185" i="2" s="1"/>
  <c r="G186" i="2"/>
  <c r="H186" i="2" s="1"/>
  <c r="G187" i="2"/>
  <c r="H187" i="2" s="1"/>
  <c r="G188" i="2"/>
  <c r="H188" i="2" s="1"/>
  <c r="G189" i="2"/>
  <c r="H189" i="2" s="1"/>
  <c r="G190" i="2"/>
  <c r="H190" i="2" s="1"/>
  <c r="G191" i="2"/>
  <c r="H191" i="2" s="1"/>
  <c r="G192" i="2"/>
  <c r="H192" i="2" s="1"/>
  <c r="G193" i="2"/>
  <c r="H193" i="2" s="1"/>
  <c r="G194" i="2"/>
  <c r="H194" i="2" s="1"/>
  <c r="G195" i="2"/>
  <c r="H195" i="2" s="1"/>
  <c r="G196" i="2"/>
  <c r="H196" i="2" s="1"/>
  <c r="G197" i="2"/>
  <c r="H197" i="2" s="1"/>
  <c r="G198" i="2"/>
  <c r="H198" i="2" s="1"/>
  <c r="G199" i="2"/>
  <c r="H199" i="2" s="1"/>
  <c r="G200" i="2"/>
  <c r="H200" i="2" s="1"/>
  <c r="G201" i="2"/>
  <c r="H201" i="2" s="1"/>
  <c r="G202" i="2"/>
  <c r="H202" i="2" s="1"/>
  <c r="G203" i="2"/>
  <c r="H203" i="2" s="1"/>
  <c r="G204" i="2"/>
  <c r="H204" i="2" s="1"/>
  <c r="G205" i="2"/>
  <c r="H205" i="2" s="1"/>
  <c r="G206" i="2"/>
  <c r="H206" i="2" s="1"/>
  <c r="G207" i="2"/>
  <c r="H207" i="2" s="1"/>
  <c r="G208" i="2"/>
  <c r="H208" i="2" s="1"/>
  <c r="G209" i="2"/>
  <c r="H209" i="2" s="1"/>
  <c r="G210" i="2"/>
  <c r="H210" i="2" s="1"/>
  <c r="G211" i="2"/>
  <c r="H211" i="2" s="1"/>
  <c r="G212" i="2"/>
  <c r="H212" i="2" s="1"/>
  <c r="G213" i="2"/>
  <c r="H213" i="2" s="1"/>
  <c r="G214" i="2"/>
  <c r="H214" i="2" s="1"/>
  <c r="G215" i="2"/>
  <c r="H215" i="2" s="1"/>
  <c r="G216" i="2"/>
  <c r="H216" i="2" s="1"/>
  <c r="G217" i="2"/>
  <c r="H217" i="2" s="1"/>
  <c r="G218" i="2"/>
  <c r="H218" i="2" s="1"/>
  <c r="G219" i="2"/>
  <c r="H219" i="2" s="1"/>
  <c r="G220" i="2"/>
  <c r="H220" i="2" s="1"/>
  <c r="G221" i="2"/>
  <c r="H221" i="2" s="1"/>
  <c r="G222" i="2"/>
  <c r="H222" i="2" s="1"/>
  <c r="G223" i="2"/>
  <c r="H223" i="2" s="1"/>
  <c r="G224" i="2"/>
  <c r="H224" i="2" s="1"/>
  <c r="G225" i="2"/>
  <c r="H225" i="2" s="1"/>
  <c r="G226" i="2"/>
  <c r="H226" i="2" s="1"/>
  <c r="G227" i="2"/>
  <c r="H227" i="2" s="1"/>
  <c r="G228" i="2"/>
  <c r="H228" i="2" s="1"/>
  <c r="G229" i="2"/>
  <c r="H229" i="2" s="1"/>
  <c r="G230" i="2"/>
  <c r="H230" i="2" s="1"/>
  <c r="G231" i="2"/>
  <c r="H231" i="2" s="1"/>
  <c r="G232" i="2"/>
  <c r="H232" i="2" s="1"/>
  <c r="G233" i="2"/>
  <c r="H233" i="2" s="1"/>
  <c r="G234" i="2"/>
  <c r="H234" i="2" s="1"/>
  <c r="G235" i="2"/>
  <c r="H235" i="2" s="1"/>
  <c r="G236" i="2"/>
  <c r="H236" i="2" s="1"/>
  <c r="G237" i="2"/>
  <c r="H237" i="2" s="1"/>
  <c r="G238" i="2"/>
  <c r="H238" i="2" s="1"/>
  <c r="G239" i="2"/>
  <c r="H239" i="2" s="1"/>
  <c r="G240" i="2"/>
  <c r="H240" i="2" s="1"/>
  <c r="G241" i="2"/>
  <c r="H241" i="2" s="1"/>
  <c r="G242" i="2"/>
  <c r="H242" i="2" s="1"/>
  <c r="G243" i="2"/>
  <c r="H243" i="2" s="1"/>
  <c r="G244" i="2"/>
  <c r="H244" i="2" s="1"/>
  <c r="G245" i="2"/>
  <c r="H245" i="2" s="1"/>
  <c r="G246" i="2"/>
  <c r="H246" i="2" s="1"/>
  <c r="G247" i="2"/>
  <c r="H247" i="2" s="1"/>
  <c r="G248" i="2"/>
  <c r="H248" i="2" s="1"/>
  <c r="G249" i="2"/>
  <c r="H249" i="2" s="1"/>
  <c r="G250" i="2"/>
  <c r="H250" i="2" s="1"/>
  <c r="G251" i="2"/>
  <c r="H251" i="2" s="1"/>
  <c r="G252" i="2"/>
  <c r="H252" i="2" s="1"/>
  <c r="G253" i="2"/>
  <c r="H253" i="2" s="1"/>
  <c r="G254" i="2"/>
  <c r="H254" i="2" s="1"/>
  <c r="G255" i="2"/>
  <c r="H255" i="2" s="1"/>
  <c r="G256" i="2"/>
  <c r="H256" i="2" s="1"/>
  <c r="G257" i="2"/>
  <c r="H257" i="2" s="1"/>
  <c r="G258" i="2"/>
  <c r="H258" i="2" s="1"/>
  <c r="G259" i="2"/>
  <c r="H259" i="2" s="1"/>
  <c r="G260" i="2"/>
  <c r="H260" i="2" s="1"/>
  <c r="G261" i="2"/>
  <c r="H261" i="2" s="1"/>
  <c r="G262" i="2"/>
  <c r="H262" i="2" s="1"/>
  <c r="G263" i="2"/>
  <c r="H263" i="2" s="1"/>
  <c r="G264" i="2"/>
  <c r="H264" i="2" s="1"/>
  <c r="G265" i="2"/>
  <c r="H265" i="2" s="1"/>
  <c r="G266" i="2"/>
  <c r="H266" i="2" s="1"/>
  <c r="G267" i="2"/>
  <c r="H267" i="2" s="1"/>
  <c r="G268" i="2"/>
  <c r="H268" i="2" s="1"/>
  <c r="G269" i="2"/>
  <c r="H269" i="2" s="1"/>
  <c r="G270" i="2"/>
  <c r="H270" i="2" s="1"/>
  <c r="G271" i="2"/>
  <c r="H271" i="2" s="1"/>
  <c r="G272" i="2"/>
  <c r="H272" i="2" s="1"/>
  <c r="G273" i="2"/>
  <c r="H273" i="2" s="1"/>
  <c r="G274" i="2"/>
  <c r="H274" i="2" s="1"/>
  <c r="G275" i="2"/>
  <c r="H275" i="2" s="1"/>
  <c r="G276" i="2"/>
  <c r="H276" i="2" s="1"/>
  <c r="G277" i="2"/>
  <c r="H277" i="2" s="1"/>
  <c r="G278" i="2"/>
  <c r="H278" i="2" s="1"/>
  <c r="G279" i="2"/>
  <c r="H279" i="2" s="1"/>
  <c r="G280" i="2"/>
  <c r="H280" i="2" s="1"/>
  <c r="G281" i="2"/>
  <c r="H281" i="2" s="1"/>
  <c r="G282" i="2"/>
  <c r="H282" i="2" s="1"/>
  <c r="G283" i="2"/>
  <c r="H283" i="2" s="1"/>
  <c r="G284" i="2"/>
  <c r="H284" i="2" s="1"/>
  <c r="G285" i="2"/>
  <c r="H285" i="2" s="1"/>
  <c r="G286" i="2"/>
  <c r="H286" i="2" s="1"/>
  <c r="G287" i="2"/>
  <c r="H287" i="2" s="1"/>
  <c r="G288" i="2"/>
  <c r="H288" i="2" s="1"/>
  <c r="G289" i="2"/>
  <c r="H289" i="2" s="1"/>
  <c r="G290" i="2"/>
  <c r="H290" i="2" s="1"/>
  <c r="G291" i="2"/>
  <c r="H291" i="2" s="1"/>
  <c r="G292" i="2"/>
  <c r="H292" i="2" s="1"/>
  <c r="G293" i="2"/>
  <c r="H293" i="2" s="1"/>
  <c r="G294" i="2"/>
  <c r="H294" i="2" s="1"/>
  <c r="G295" i="2"/>
  <c r="H295" i="2" s="1"/>
  <c r="G296" i="2"/>
  <c r="H296" i="2" s="1"/>
  <c r="G297" i="2"/>
  <c r="H297" i="2" s="1"/>
  <c r="G298" i="2"/>
  <c r="H298" i="2" s="1"/>
  <c r="G299" i="2"/>
  <c r="H299" i="2" s="1"/>
  <c r="G300" i="2"/>
  <c r="H300" i="2" s="1"/>
  <c r="G301" i="2"/>
  <c r="H301" i="2" s="1"/>
  <c r="G302" i="2"/>
  <c r="H302" i="2" s="1"/>
  <c r="G303" i="2"/>
  <c r="H303" i="2" s="1"/>
  <c r="G304" i="2"/>
  <c r="H304" i="2" s="1"/>
  <c r="G305" i="2"/>
  <c r="H305" i="2" s="1"/>
  <c r="G306" i="2"/>
  <c r="H306" i="2" s="1"/>
  <c r="G307" i="2"/>
  <c r="H307" i="2" s="1"/>
  <c r="G308" i="2"/>
  <c r="H308" i="2" s="1"/>
  <c r="G309" i="2"/>
  <c r="H309" i="2" s="1"/>
  <c r="G310" i="2"/>
  <c r="H310" i="2" s="1"/>
  <c r="G311" i="2"/>
  <c r="H311" i="2" s="1"/>
  <c r="G312" i="2"/>
  <c r="H312" i="2" s="1"/>
  <c r="G313" i="2"/>
  <c r="H313" i="2" s="1"/>
  <c r="G314" i="2"/>
  <c r="H314" i="2" s="1"/>
  <c r="G315" i="2"/>
  <c r="H315" i="2" s="1"/>
  <c r="G316" i="2"/>
  <c r="H316" i="2" s="1"/>
  <c r="G317" i="2"/>
  <c r="H317" i="2" s="1"/>
  <c r="G318" i="2"/>
  <c r="H318" i="2" s="1"/>
  <c r="G319" i="2"/>
  <c r="H319" i="2" s="1"/>
  <c r="G320" i="2"/>
  <c r="H320" i="2" s="1"/>
  <c r="G321" i="2"/>
  <c r="H321" i="2" s="1"/>
  <c r="G322" i="2"/>
  <c r="H322" i="2" s="1"/>
  <c r="G323" i="2"/>
  <c r="H323" i="2" s="1"/>
  <c r="G324" i="2"/>
  <c r="H324" i="2" s="1"/>
  <c r="G325" i="2"/>
  <c r="H325" i="2" s="1"/>
  <c r="G326" i="2"/>
  <c r="H326" i="2" s="1"/>
  <c r="G327" i="2"/>
  <c r="H327" i="2" s="1"/>
  <c r="G328" i="2"/>
  <c r="H328" i="2" s="1"/>
  <c r="G329" i="2"/>
  <c r="H329" i="2" s="1"/>
  <c r="G330" i="2"/>
  <c r="H330" i="2" s="1"/>
  <c r="G331" i="2"/>
  <c r="H331" i="2" s="1"/>
  <c r="G332" i="2"/>
  <c r="H332" i="2" s="1"/>
  <c r="G333" i="2"/>
  <c r="H333" i="2" s="1"/>
  <c r="G334" i="2"/>
  <c r="H334" i="2" s="1"/>
  <c r="G335" i="2"/>
  <c r="H335" i="2" s="1"/>
  <c r="G336" i="2"/>
  <c r="H336" i="2" s="1"/>
  <c r="G337" i="2"/>
  <c r="H337" i="2" s="1"/>
  <c r="G338" i="2"/>
  <c r="H338" i="2" s="1"/>
  <c r="G339" i="2"/>
  <c r="H339" i="2" s="1"/>
  <c r="G340" i="2"/>
  <c r="H340" i="2" s="1"/>
  <c r="G341" i="2"/>
  <c r="H341" i="2" s="1"/>
  <c r="G342" i="2"/>
  <c r="H342" i="2" s="1"/>
  <c r="G343" i="2"/>
  <c r="H343" i="2" s="1"/>
  <c r="G344" i="2"/>
  <c r="H344" i="2" s="1"/>
  <c r="G345" i="2"/>
  <c r="H345" i="2" s="1"/>
  <c r="G346" i="2"/>
  <c r="H346" i="2" s="1"/>
  <c r="G347" i="2"/>
  <c r="H347" i="2" s="1"/>
  <c r="G348" i="2"/>
  <c r="H348" i="2" s="1"/>
  <c r="G349" i="2"/>
  <c r="H349" i="2" s="1"/>
  <c r="G350" i="2"/>
  <c r="H350" i="2" s="1"/>
  <c r="G351" i="2"/>
  <c r="H351" i="2" s="1"/>
  <c r="G352" i="2"/>
  <c r="H352" i="2" s="1"/>
  <c r="G353" i="2"/>
  <c r="H353" i="2" s="1"/>
  <c r="G354" i="2"/>
  <c r="H354" i="2" s="1"/>
  <c r="G355" i="2"/>
  <c r="H355" i="2" s="1"/>
  <c r="G356" i="2"/>
  <c r="H356" i="2" s="1"/>
  <c r="G357" i="2"/>
  <c r="H357" i="2" s="1"/>
  <c r="G358" i="2"/>
  <c r="H358" i="2" s="1"/>
  <c r="G359" i="2"/>
  <c r="H359" i="2" s="1"/>
  <c r="G360" i="2"/>
  <c r="H360" i="2" s="1"/>
  <c r="G361" i="2"/>
  <c r="H361" i="2" s="1"/>
  <c r="G362" i="2"/>
  <c r="H362" i="2" s="1"/>
  <c r="G363" i="2"/>
  <c r="H363" i="2" s="1"/>
  <c r="G364" i="2"/>
  <c r="H364" i="2" s="1"/>
  <c r="G365" i="2"/>
  <c r="H365" i="2" s="1"/>
  <c r="G366" i="2"/>
  <c r="H366" i="2" s="1"/>
  <c r="G367" i="2"/>
  <c r="H367" i="2" s="1"/>
  <c r="G368" i="2"/>
  <c r="H368" i="2" s="1"/>
  <c r="G369" i="2"/>
  <c r="H369" i="2" s="1"/>
  <c r="G370" i="2"/>
  <c r="H370" i="2" s="1"/>
  <c r="G371" i="2"/>
  <c r="H371" i="2" s="1"/>
  <c r="G372" i="2"/>
  <c r="H372" i="2" s="1"/>
  <c r="G373" i="2"/>
  <c r="H373" i="2" s="1"/>
  <c r="G374" i="2"/>
  <c r="H374" i="2" s="1"/>
  <c r="G375" i="2"/>
  <c r="H375" i="2" s="1"/>
  <c r="G376" i="2"/>
  <c r="H376" i="2" s="1"/>
  <c r="G377" i="2"/>
  <c r="H377" i="2" s="1"/>
  <c r="G378" i="2"/>
  <c r="H378" i="2" s="1"/>
  <c r="G379" i="2"/>
  <c r="H379" i="2" s="1"/>
  <c r="G380" i="2"/>
  <c r="H380" i="2" s="1"/>
  <c r="G381" i="2"/>
  <c r="H381" i="2" s="1"/>
  <c r="G382" i="2"/>
  <c r="H382" i="2" s="1"/>
  <c r="G383" i="2"/>
  <c r="H383" i="2" s="1"/>
  <c r="G384" i="2"/>
  <c r="H384" i="2" s="1"/>
  <c r="G385" i="2"/>
  <c r="H385" i="2" s="1"/>
  <c r="G386" i="2"/>
  <c r="H386" i="2" s="1"/>
  <c r="G387" i="2"/>
  <c r="H387" i="2" s="1"/>
  <c r="G388" i="2"/>
  <c r="H388" i="2" s="1"/>
  <c r="G389" i="2"/>
  <c r="H389" i="2" s="1"/>
  <c r="G390" i="2"/>
  <c r="H390" i="2" s="1"/>
  <c r="G391" i="2"/>
  <c r="H391" i="2" s="1"/>
  <c r="G392" i="2"/>
  <c r="H392" i="2" s="1"/>
  <c r="G393" i="2"/>
  <c r="H393" i="2" s="1"/>
  <c r="G394" i="2"/>
  <c r="H394" i="2" s="1"/>
  <c r="G395" i="2"/>
  <c r="H395" i="2" s="1"/>
  <c r="G396" i="2"/>
  <c r="H396" i="2" s="1"/>
  <c r="G397" i="2"/>
  <c r="H397" i="2" s="1"/>
  <c r="G398" i="2"/>
  <c r="H398" i="2" s="1"/>
  <c r="G399" i="2"/>
  <c r="H399" i="2" s="1"/>
  <c r="G400" i="2"/>
  <c r="H400" i="2" s="1"/>
  <c r="G401" i="2"/>
  <c r="H401" i="2" s="1"/>
  <c r="G402" i="2"/>
  <c r="H402" i="2" s="1"/>
  <c r="G403" i="2"/>
  <c r="H403" i="2" s="1"/>
  <c r="G404" i="2"/>
  <c r="H404" i="2" s="1"/>
  <c r="G405" i="2"/>
  <c r="H405" i="2" s="1"/>
  <c r="G406" i="2"/>
  <c r="H406" i="2" s="1"/>
  <c r="G407" i="2"/>
  <c r="H407" i="2" s="1"/>
  <c r="G408" i="2"/>
  <c r="H408" i="2" s="1"/>
  <c r="G409" i="2"/>
  <c r="H409" i="2" s="1"/>
  <c r="G410" i="2"/>
  <c r="H410" i="2" s="1"/>
  <c r="G411" i="2"/>
  <c r="H411" i="2" s="1"/>
  <c r="G412" i="2"/>
  <c r="H412" i="2" s="1"/>
  <c r="G413" i="2"/>
  <c r="H413" i="2" s="1"/>
  <c r="G414" i="2"/>
  <c r="H414" i="2" s="1"/>
  <c r="G415" i="2"/>
  <c r="H415" i="2" s="1"/>
  <c r="G416" i="2"/>
  <c r="H416" i="2" s="1"/>
  <c r="G417" i="2"/>
  <c r="H417" i="2" s="1"/>
  <c r="G418" i="2"/>
  <c r="H418" i="2" s="1"/>
  <c r="G419" i="2"/>
  <c r="H419" i="2" s="1"/>
  <c r="G420" i="2"/>
  <c r="H420" i="2" s="1"/>
  <c r="G421" i="2"/>
  <c r="H421" i="2" s="1"/>
  <c r="G422" i="2"/>
  <c r="H422" i="2" s="1"/>
  <c r="G423" i="2"/>
  <c r="H423" i="2" s="1"/>
  <c r="G424" i="2"/>
  <c r="H424" i="2" s="1"/>
  <c r="G425" i="2"/>
  <c r="H425" i="2" s="1"/>
  <c r="G426" i="2"/>
  <c r="H426" i="2" s="1"/>
  <c r="G427" i="2"/>
  <c r="H427" i="2" s="1"/>
  <c r="G428" i="2"/>
  <c r="H428" i="2" s="1"/>
  <c r="G429" i="2"/>
  <c r="H429" i="2" s="1"/>
  <c r="G430" i="2"/>
  <c r="H430" i="2" s="1"/>
  <c r="G431" i="2"/>
  <c r="H431" i="2" s="1"/>
  <c r="G432" i="2"/>
  <c r="H432" i="2" s="1"/>
  <c r="G433" i="2"/>
  <c r="H433" i="2" s="1"/>
  <c r="G434" i="2"/>
  <c r="H434" i="2" s="1"/>
  <c r="G435" i="2"/>
  <c r="H435" i="2" s="1"/>
  <c r="G436" i="2"/>
  <c r="H436" i="2" s="1"/>
  <c r="G437" i="2"/>
  <c r="H437" i="2" s="1"/>
  <c r="G438" i="2"/>
  <c r="H438" i="2" s="1"/>
  <c r="G439" i="2"/>
  <c r="H439" i="2" s="1"/>
  <c r="G440" i="2"/>
  <c r="H440" i="2" s="1"/>
  <c r="G441" i="2"/>
  <c r="H441" i="2" s="1"/>
  <c r="G442" i="2"/>
  <c r="H442" i="2" s="1"/>
  <c r="G443" i="2"/>
  <c r="H443" i="2" s="1"/>
  <c r="G444" i="2"/>
  <c r="H444" i="2" s="1"/>
  <c r="G445" i="2"/>
  <c r="H445" i="2" s="1"/>
  <c r="G446" i="2"/>
  <c r="H446" i="2" s="1"/>
  <c r="G447" i="2"/>
  <c r="H447" i="2" s="1"/>
  <c r="G448" i="2"/>
  <c r="H448" i="2" s="1"/>
  <c r="G449" i="2"/>
  <c r="H449" i="2" s="1"/>
  <c r="G450" i="2"/>
  <c r="H450" i="2" s="1"/>
  <c r="G451" i="2"/>
  <c r="H451" i="2" s="1"/>
  <c r="G452" i="2"/>
  <c r="H452" i="2" s="1"/>
  <c r="G453" i="2"/>
  <c r="H453" i="2" s="1"/>
  <c r="G454" i="2"/>
  <c r="H454" i="2" s="1"/>
  <c r="G455" i="2"/>
  <c r="H455" i="2" s="1"/>
  <c r="G456" i="2"/>
  <c r="H456" i="2" s="1"/>
  <c r="G457" i="2"/>
  <c r="H457" i="2" s="1"/>
  <c r="G458" i="2"/>
  <c r="H458" i="2" s="1"/>
  <c r="G459" i="2"/>
  <c r="H459" i="2" s="1"/>
  <c r="G460" i="2"/>
  <c r="H460" i="2" s="1"/>
  <c r="G461" i="2"/>
  <c r="H461" i="2" s="1"/>
  <c r="G462" i="2"/>
  <c r="H462" i="2" s="1"/>
  <c r="G463" i="2"/>
  <c r="H463" i="2" s="1"/>
  <c r="G464" i="2"/>
  <c r="H464" i="2" s="1"/>
  <c r="G465" i="2"/>
  <c r="H465" i="2" s="1"/>
  <c r="G466" i="2"/>
  <c r="H466" i="2" s="1"/>
  <c r="G467" i="2"/>
  <c r="H467" i="2" s="1"/>
  <c r="G468" i="2"/>
  <c r="H468" i="2" s="1"/>
  <c r="G469" i="2"/>
  <c r="H469" i="2" s="1"/>
  <c r="G470" i="2"/>
  <c r="H470" i="2" s="1"/>
  <c r="G471" i="2"/>
  <c r="H471" i="2" s="1"/>
  <c r="G472" i="2"/>
  <c r="H472" i="2" s="1"/>
  <c r="G473" i="2"/>
  <c r="H473" i="2" s="1"/>
  <c r="G474" i="2"/>
  <c r="H474" i="2" s="1"/>
  <c r="G475" i="2"/>
  <c r="H475" i="2" s="1"/>
  <c r="G476" i="2"/>
  <c r="H476" i="2" s="1"/>
  <c r="G477" i="2"/>
  <c r="H477" i="2" s="1"/>
  <c r="G478" i="2"/>
  <c r="H478" i="2" s="1"/>
  <c r="G479" i="2"/>
  <c r="H479" i="2" s="1"/>
  <c r="G480" i="2"/>
  <c r="H480" i="2" s="1"/>
  <c r="G481" i="2"/>
  <c r="H481" i="2" s="1"/>
  <c r="G482" i="2"/>
  <c r="H482" i="2" s="1"/>
  <c r="G483" i="2"/>
  <c r="H483" i="2" s="1"/>
  <c r="G484" i="2"/>
  <c r="H484" i="2" s="1"/>
  <c r="G485" i="2"/>
  <c r="H485" i="2" s="1"/>
  <c r="G486" i="2"/>
  <c r="H486" i="2" s="1"/>
  <c r="G487" i="2"/>
  <c r="H487" i="2" s="1"/>
  <c r="G488" i="2"/>
  <c r="H488" i="2" s="1"/>
  <c r="G489" i="2"/>
  <c r="H489" i="2" s="1"/>
  <c r="G490" i="2"/>
  <c r="H490" i="2" s="1"/>
  <c r="G491" i="2"/>
  <c r="H491" i="2" s="1"/>
  <c r="G492" i="2"/>
  <c r="H492" i="2" s="1"/>
  <c r="G493" i="2"/>
  <c r="H493" i="2" s="1"/>
  <c r="G494" i="2"/>
  <c r="H494" i="2" s="1"/>
  <c r="G495" i="2"/>
  <c r="H495" i="2" s="1"/>
  <c r="G496" i="2"/>
  <c r="H496" i="2" s="1"/>
  <c r="G497" i="2"/>
  <c r="H497" i="2" s="1"/>
  <c r="G498" i="2"/>
  <c r="H498" i="2" s="1"/>
  <c r="G499" i="2"/>
  <c r="H499" i="2" s="1"/>
  <c r="G500" i="2"/>
  <c r="H500" i="2" s="1"/>
  <c r="G501" i="2"/>
  <c r="H501" i="2" s="1"/>
  <c r="G502" i="2"/>
  <c r="H502" i="2" s="1"/>
  <c r="G503" i="2"/>
  <c r="H503" i="2" s="1"/>
  <c r="G504" i="2"/>
  <c r="H504" i="2" s="1"/>
  <c r="G505" i="2"/>
  <c r="H505" i="2" s="1"/>
  <c r="G506" i="2"/>
  <c r="H506" i="2" s="1"/>
  <c r="G507" i="2"/>
  <c r="H507" i="2" s="1"/>
  <c r="G508" i="2"/>
  <c r="H508" i="2" s="1"/>
  <c r="G509" i="2"/>
  <c r="H509" i="2" s="1"/>
  <c r="G510" i="2"/>
  <c r="H510" i="2" s="1"/>
  <c r="G511" i="2"/>
  <c r="H511" i="2" s="1"/>
  <c r="G512" i="2"/>
  <c r="H512" i="2" s="1"/>
  <c r="G513" i="2"/>
  <c r="H513" i="2" s="1"/>
  <c r="G514" i="2"/>
  <c r="H514" i="2" s="1"/>
  <c r="G515" i="2"/>
  <c r="H515" i="2" s="1"/>
  <c r="G516" i="2"/>
  <c r="H516" i="2" s="1"/>
  <c r="G517" i="2"/>
  <c r="H517" i="2" s="1"/>
  <c r="G518" i="2"/>
  <c r="H518" i="2" s="1"/>
  <c r="G519" i="2"/>
  <c r="H519" i="2" s="1"/>
  <c r="G520" i="2"/>
  <c r="H520" i="2" s="1"/>
  <c r="G521" i="2"/>
  <c r="H521" i="2" s="1"/>
  <c r="G522" i="2"/>
  <c r="H522" i="2" s="1"/>
  <c r="G523" i="2"/>
  <c r="H523" i="2" s="1"/>
  <c r="G524" i="2"/>
  <c r="H524" i="2" s="1"/>
  <c r="G525" i="2"/>
  <c r="H525" i="2" s="1"/>
  <c r="G526" i="2"/>
  <c r="H526" i="2" s="1"/>
  <c r="G527" i="2"/>
  <c r="H527" i="2" s="1"/>
  <c r="G528" i="2"/>
  <c r="H528" i="2" s="1"/>
  <c r="G529" i="2"/>
  <c r="H529" i="2" s="1"/>
  <c r="G530" i="2"/>
  <c r="H530" i="2" s="1"/>
  <c r="G531" i="2"/>
  <c r="H531" i="2" s="1"/>
  <c r="G532" i="2"/>
  <c r="H532" i="2" s="1"/>
  <c r="G533" i="2"/>
  <c r="H533" i="2" s="1"/>
  <c r="G534" i="2"/>
  <c r="H534" i="2" s="1"/>
  <c r="G13" i="2"/>
  <c r="G14" i="2"/>
  <c r="G15" i="2"/>
  <c r="G16" i="2"/>
  <c r="G17" i="2"/>
  <c r="G18" i="2"/>
  <c r="G19" i="2"/>
  <c r="H19" i="2" s="1"/>
  <c r="G20" i="2"/>
  <c r="H20" i="2" s="1"/>
  <c r="G21" i="2"/>
  <c r="H21" i="2" s="1"/>
  <c r="G22" i="2"/>
  <c r="H22" i="2" s="1"/>
  <c r="G23" i="2"/>
  <c r="H23" i="2" s="1"/>
  <c r="G24" i="2"/>
  <c r="H24" i="2" s="1"/>
  <c r="G25" i="2"/>
  <c r="H25" i="2" s="1"/>
  <c r="G26" i="2"/>
  <c r="H26" i="2" s="1"/>
  <c r="G27" i="2"/>
  <c r="H27" i="2" s="1"/>
  <c r="G28" i="2"/>
  <c r="H28" i="2" s="1"/>
  <c r="G29" i="2"/>
  <c r="H29" i="2" s="1"/>
  <c r="G30" i="2"/>
  <c r="H30" i="2" s="1"/>
  <c r="G31" i="2"/>
  <c r="H31" i="2" s="1"/>
  <c r="G32" i="2"/>
  <c r="H32" i="2" s="1"/>
  <c r="G33" i="2"/>
  <c r="H33" i="2" s="1"/>
  <c r="G4" i="2"/>
  <c r="G5" i="2"/>
  <c r="G6" i="2"/>
  <c r="G7" i="2"/>
  <c r="G8" i="2"/>
  <c r="G9" i="2"/>
  <c r="G10" i="2"/>
  <c r="G11" i="2"/>
  <c r="G12" i="2"/>
  <c r="G3" i="2"/>
  <c r="I354" i="2"/>
  <c r="H12" i="2" l="1"/>
  <c r="H14" i="2"/>
  <c r="H11" i="2"/>
  <c r="H7" i="2"/>
  <c r="H17" i="2"/>
  <c r="H13" i="2"/>
  <c r="H8" i="2"/>
  <c r="H4" i="2"/>
  <c r="H18" i="2"/>
  <c r="H10" i="2"/>
  <c r="H6" i="2"/>
  <c r="H16" i="2"/>
  <c r="H3" i="2"/>
  <c r="H9" i="2"/>
  <c r="H5" i="2"/>
  <c r="H15" i="2"/>
  <c r="B1" i="1" a="1"/>
  <c r="B1" i="1" s="1"/>
  <c r="L15" i="2" l="1"/>
  <c r="M15" i="2"/>
  <c r="K15" i="2"/>
  <c r="K16" i="2"/>
  <c r="L16" i="2"/>
  <c r="M16" i="2"/>
  <c r="K4" i="2"/>
  <c r="L4" i="2"/>
  <c r="M4" i="2"/>
  <c r="M7" i="2"/>
  <c r="K7" i="2"/>
  <c r="L7" i="2"/>
  <c r="L3" i="2"/>
  <c r="M3" i="2"/>
  <c r="K3" i="2"/>
  <c r="L5" i="2"/>
  <c r="M5" i="2"/>
  <c r="K5" i="2"/>
  <c r="L6" i="2"/>
  <c r="M6" i="2"/>
  <c r="K6" i="2"/>
  <c r="L8" i="2"/>
  <c r="M8" i="2"/>
  <c r="K8" i="2"/>
  <c r="K11" i="2"/>
  <c r="L11" i="2"/>
  <c r="M11" i="2"/>
  <c r="L9" i="2"/>
  <c r="M9" i="2"/>
  <c r="K9" i="2"/>
  <c r="L10" i="2"/>
  <c r="M10" i="2"/>
  <c r="K10" i="2"/>
  <c r="L13" i="2"/>
  <c r="M13" i="2"/>
  <c r="K13" i="2"/>
  <c r="L14" i="2"/>
  <c r="M14" i="2"/>
  <c r="K14" i="2"/>
  <c r="L18" i="2"/>
  <c r="M18" i="2"/>
  <c r="K18" i="2"/>
  <c r="L17" i="2"/>
  <c r="M17" i="2"/>
  <c r="K17" i="2"/>
  <c r="M12" i="2"/>
  <c r="K12" i="2"/>
  <c r="L12" i="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A6892DC5-8C61-4F4F-A8B7-D3895169190D}" keepAlive="1" name="Consulta - Archivo de ejemplo" description="Conexión a la consulta 'Archivo de ejemplo' en el libro." type="5" refreshedVersion="0" background="1">
    <dbPr connection="Provider=Microsoft.Mashup.OleDb.1;Data Source=$Workbook$;Location=&quot;Archivo de ejemplo&quot;;Extended Properties=&quot;&quot;" command="SELECT * FROM [Archivo de ejemplo]"/>
  </connection>
  <connection id="2" xr16:uid="{6387E507-8724-406B-9324-28A27FCE776A}" keepAlive="1" name="Consulta - Parámetro1" description="Conexión a la consulta 'Parámetro1' en el libro." type="5" refreshedVersion="0" background="1">
    <dbPr connection="Provider=Microsoft.Mashup.OleDb.1;Data Source=$Workbook$;Location=Parámetro1;Extended Properties=&quot;&quot;" command="SELECT * FROM [Parámetro1]"/>
  </connection>
  <connection id="3" xr16:uid="{794C4A46-3EF2-4869-A729-6D40FC6DE883}" keepAlive="1" name="Consulta - Raw Data hematograma" description="Conexión a la consulta 'Raw Data hematograma' en el libro." type="5" refreshedVersion="8" background="1" saveData="1">
    <dbPr connection="Provider=Microsoft.Mashup.OleDb.1;Data Source=$Workbook$;Location=&quot;Raw Data hematograma&quot;;Extended Properties=&quot;&quot;" command="SELECT * FROM [Raw Data hematograma]"/>
  </connection>
  <connection id="4" xr16:uid="{009F2395-A9D3-4A62-ACBD-4D477295DEC3}" keepAlive="1" name="Consulta - Tabla5" description="Conexión a la consulta 'Tabla5' en el libro." type="5" refreshedVersion="0" background="1">
    <dbPr connection="Provider=Microsoft.Mashup.OleDb.1;Data Source=$Workbook$;Location=Tabla5;Extended Properties=&quot;&quot;" command="SELECT * FROM [Tabla5]"/>
  </connection>
  <connection id="5" xr16:uid="{F8355D05-82F7-4EC7-8BB4-9B7DA000AD5E}" keepAlive="1" name="Consulta - Transformar archivo" description="Conexión a la consulta 'Transformar archivo' en el libro." type="5" refreshedVersion="0" background="1">
    <dbPr connection="Provider=Microsoft.Mashup.OleDb.1;Data Source=$Workbook$;Location=&quot;Transformar archivo&quot;;Extended Properties=&quot;&quot;" command="SELECT * FROM [Transformar archivo]"/>
  </connection>
  <connection id="6" xr16:uid="{32B57CC1-C84A-4540-A736-86F9C64049A2}" keepAlive="1" name="Consulta - Transformar archivo de ejemplo" description="Conexión a la consulta 'Transformar archivo de ejemplo' en el libro." type="5" refreshedVersion="0" background="1">
    <dbPr connection="Provider=Microsoft.Mashup.OleDb.1;Data Source=$Workbook$;Location=&quot;Transformar archivo de ejemplo&quot;;Extended Properties=&quot;&quot;" command="SELECT * FROM [Transformar archivo de ejemplo]"/>
  </connection>
</connections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<sst xmlns="http://schemas.openxmlformats.org/spreadsheetml/2006/main" count="13622" uniqueCount="1623">
  <si>
    <t>Source.Name</t>
  </si>
  <si>
    <t>Ítem | Unidad | Rango</t>
  </si>
  <si>
    <t>Resultado</t>
  </si>
  <si>
    <t>LEU (WBC) | 10^9/L | 6.00~17.00</t>
  </si>
  <si>
    <t>8.60</t>
  </si>
  <si>
    <t>LIN% (LYM%) | % | 12.00~30.00</t>
  </si>
  <si>
    <t>8.90</t>
  </si>
  <si>
    <t>MID% (MID%) | % | 2.00~9.00</t>
  </si>
  <si>
    <t>4.10</t>
  </si>
  <si>
    <t>GRAN% (GRAN%) | % | 60.00~83.00</t>
  </si>
  <si>
    <t>87.00</t>
  </si>
  <si>
    <t>LIN# (LYM#) | 10^9/L | 0.800~5.100</t>
  </si>
  <si>
    <t>0.700</t>
  </si>
  <si>
    <t>MID# (MID#) | 10^9/L | 0.000~1.800</t>
  </si>
  <si>
    <t>0.300</t>
  </si>
  <si>
    <t>GRAN# (GRAN#) | 10^9/L | 4.000~12.600</t>
  </si>
  <si>
    <t>7.600</t>
  </si>
  <si>
    <t>ERI (RBC) | 10^12/L | 5.50~8.50</t>
  </si>
  <si>
    <t>5.61</t>
  </si>
  <si>
    <t>HGB (HGB) | g/L | 110~190</t>
  </si>
  <si>
    <t>124</t>
  </si>
  <si>
    <t>HCT (HCT) | % | 39.0~56.0</t>
  </si>
  <si>
    <t>37.9</t>
  </si>
  <si>
    <t>VCM (MCV) | fL | 62.0~72.0</t>
  </si>
  <si>
    <t>67.6</t>
  </si>
  <si>
    <t>HCM (MCH) | pg | 20.0~25.0</t>
  </si>
  <si>
    <t>22.1</t>
  </si>
  <si>
    <t>CHCM (MCHC) | g/L | 300~380</t>
  </si>
  <si>
    <t>327</t>
  </si>
  <si>
    <t>RDW_CV (RDW_CV) | % | 11.0~15.5</t>
  </si>
  <si>
    <t>11.9</t>
  </si>
  <si>
    <t>PLQ (PLT) | 10^9/L | 117~460</t>
  </si>
  <si>
    <t>170</t>
  </si>
  <si>
    <t>VPM (MPV) | fL | 7.0~12.0</t>
  </si>
  <si>
    <t>8.8</t>
  </si>
  <si>
    <t>1.00</t>
  </si>
  <si>
    <t>9.80</t>
  </si>
  <si>
    <t>16.80</t>
  </si>
  <si>
    <t>73.40</t>
  </si>
  <si>
    <t>0.000</t>
  </si>
  <si>
    <t>0.100</t>
  </si>
  <si>
    <t>0.900</t>
  </si>
  <si>
    <t>0.00</t>
  </si>
  <si>
    <t>0</t>
  </si>
  <si>
    <t>0.0</t>
  </si>
  <si>
    <t>*****</t>
  </si>
  <si>
    <t>1</t>
  </si>
  <si>
    <t>5.50</t>
  </si>
  <si>
    <t>4.80</t>
  </si>
  <si>
    <t>11.20</t>
  </si>
  <si>
    <t>84.00</t>
  </si>
  <si>
    <t>0.200</t>
  </si>
  <si>
    <t>0.600</t>
  </si>
  <si>
    <t>4.700</t>
  </si>
  <si>
    <t>9.65</t>
  </si>
  <si>
    <t>123</t>
  </si>
  <si>
    <t>41.0</t>
  </si>
  <si>
    <t>42.5</t>
  </si>
  <si>
    <t>12.7</t>
  </si>
  <si>
    <t>300</t>
  </si>
  <si>
    <t>18.9</t>
  </si>
  <si>
    <t>667</t>
  </si>
  <si>
    <t>9.8</t>
  </si>
  <si>
    <t>6.80</t>
  </si>
  <si>
    <t>10.00</t>
  </si>
  <si>
    <t>5.10</t>
  </si>
  <si>
    <t>84.90</t>
  </si>
  <si>
    <t>5.900</t>
  </si>
  <si>
    <t>8.06</t>
  </si>
  <si>
    <t>190</t>
  </si>
  <si>
    <t>58.7</t>
  </si>
  <si>
    <t>72.9</t>
  </si>
  <si>
    <t>23.5</t>
  </si>
  <si>
    <t>323</t>
  </si>
  <si>
    <t>342</t>
  </si>
  <si>
    <t>7.6</t>
  </si>
  <si>
    <t>24.20</t>
  </si>
  <si>
    <t>7.60</t>
  </si>
  <si>
    <t>2.90</t>
  </si>
  <si>
    <t>89.50</t>
  </si>
  <si>
    <t>1.800</t>
  </si>
  <si>
    <t>21.700</t>
  </si>
  <si>
    <t>6.47</t>
  </si>
  <si>
    <t>135</t>
  </si>
  <si>
    <t>42.2</t>
  </si>
  <si>
    <t>65.3</t>
  </si>
  <si>
    <t>20.8</t>
  </si>
  <si>
    <t>319</t>
  </si>
  <si>
    <t>14.1</t>
  </si>
  <si>
    <t>371</t>
  </si>
  <si>
    <t>7.9</t>
  </si>
  <si>
    <t>40.00</t>
  </si>
  <si>
    <t>18.10</t>
  </si>
  <si>
    <t>70.70</t>
  </si>
  <si>
    <t>7.200</t>
  </si>
  <si>
    <t>4.400</t>
  </si>
  <si>
    <t>28.400</t>
  </si>
  <si>
    <t>4.53</t>
  </si>
  <si>
    <t>95</t>
  </si>
  <si>
    <t>30.8</t>
  </si>
  <si>
    <t>68.2</t>
  </si>
  <si>
    <t>20.9</t>
  </si>
  <si>
    <t>308</t>
  </si>
  <si>
    <t>12.9</t>
  </si>
  <si>
    <t>114</t>
  </si>
  <si>
    <t>8.9</t>
  </si>
  <si>
    <t>6.50</t>
  </si>
  <si>
    <t>69.30</t>
  </si>
  <si>
    <t>2.000</t>
  </si>
  <si>
    <t>0.500</t>
  </si>
  <si>
    <t>6.100</t>
  </si>
  <si>
    <t>6.52</t>
  </si>
  <si>
    <t>151</t>
  </si>
  <si>
    <t>46.4</t>
  </si>
  <si>
    <t>71.3</t>
  </si>
  <si>
    <t>23.1</t>
  </si>
  <si>
    <t>325</t>
  </si>
  <si>
    <t>12.4</t>
  </si>
  <si>
    <t>80</t>
  </si>
  <si>
    <t>8.7</t>
  </si>
  <si>
    <t>17.20</t>
  </si>
  <si>
    <t>9.50</t>
  </si>
  <si>
    <t>2.30</t>
  </si>
  <si>
    <t>88.20</t>
  </si>
  <si>
    <t>1.600</t>
  </si>
  <si>
    <t>15.300</t>
  </si>
  <si>
    <t>6.27</t>
  </si>
  <si>
    <t>90</t>
  </si>
  <si>
    <t>29.2</t>
  </si>
  <si>
    <t>46.6</t>
  </si>
  <si>
    <t>14.3</t>
  </si>
  <si>
    <t>14.6</t>
  </si>
  <si>
    <t>171</t>
  </si>
  <si>
    <t>9.4</t>
  </si>
  <si>
    <t>LEU (WBC) | 10^9/L | 5.50~19.50</t>
  </si>
  <si>
    <t>3.80</t>
  </si>
  <si>
    <t>LIN% (LYM%) | % | 12.00~45.00</t>
  </si>
  <si>
    <t>30.80</t>
  </si>
  <si>
    <t>6.00</t>
  </si>
  <si>
    <t>GRAN% (GRAN%) | % | 35.00~85.00</t>
  </si>
  <si>
    <t>63.20</t>
  </si>
  <si>
    <t>LIN# (LYM#) | 10^9/L | 0.800~7.000</t>
  </si>
  <si>
    <t>1.100</t>
  </si>
  <si>
    <t>MID# (MID#) | 10^9/L | 0.000~1.900</t>
  </si>
  <si>
    <t>GRAN# (GRAN#) | 10^9/L | 2.100~15.000</t>
  </si>
  <si>
    <t>2.500</t>
  </si>
  <si>
    <t>ERI (RBC) | 10^12/L | 4.60~10.00</t>
  </si>
  <si>
    <t>6.87</t>
  </si>
  <si>
    <t>HGB (HGB) | g/L | 93~153</t>
  </si>
  <si>
    <t>98</t>
  </si>
  <si>
    <t>HCT (HCT) | % | 28.0~49.0</t>
  </si>
  <si>
    <t>34.9</t>
  </si>
  <si>
    <t>VCM (MCV) | fL | 39.0~52.0</t>
  </si>
  <si>
    <t>50.9</t>
  </si>
  <si>
    <t>HCM (MCH) | pg | 13.0~21.0</t>
  </si>
  <si>
    <t>14.2</t>
  </si>
  <si>
    <t>280</t>
  </si>
  <si>
    <t>RDW_CV (RDW_CV) | % | 14.0~18.0</t>
  </si>
  <si>
    <t>18.0</t>
  </si>
  <si>
    <t>PLQ (PLT) | 10^9/L | 100~514</t>
  </si>
  <si>
    <t>282</t>
  </si>
  <si>
    <t>VPM (MPV) | fL | 5.0~9.0</t>
  </si>
  <si>
    <t>10.9</t>
  </si>
  <si>
    <t>9.60</t>
  </si>
  <si>
    <t>3.40</t>
  </si>
  <si>
    <t>4.60</t>
  </si>
  <si>
    <t>92.00</t>
  </si>
  <si>
    <t>0.400</t>
  </si>
  <si>
    <t>8.900</t>
  </si>
  <si>
    <t>7.30</t>
  </si>
  <si>
    <t>165</t>
  </si>
  <si>
    <t>51.6</t>
  </si>
  <si>
    <t>70.7</t>
  </si>
  <si>
    <t>22.6</t>
  </si>
  <si>
    <t>12.5</t>
  </si>
  <si>
    <t>262</t>
  </si>
  <si>
    <t>8.5</t>
  </si>
  <si>
    <t>13.80</t>
  </si>
  <si>
    <t>10.60</t>
  </si>
  <si>
    <t>8.00</t>
  </si>
  <si>
    <t>81.40</t>
  </si>
  <si>
    <t>1.400</t>
  </si>
  <si>
    <t>11.300</t>
  </si>
  <si>
    <t>8.24</t>
  </si>
  <si>
    <t>53.2</t>
  </si>
  <si>
    <t>64.6</t>
  </si>
  <si>
    <t>20.0</t>
  </si>
  <si>
    <t>310</t>
  </si>
  <si>
    <t>13.0</t>
  </si>
  <si>
    <t>147</t>
  </si>
  <si>
    <t>5.40</t>
  </si>
  <si>
    <t>17.00</t>
  </si>
  <si>
    <t>79.20</t>
  </si>
  <si>
    <t>4.300</t>
  </si>
  <si>
    <t>4.02</t>
  </si>
  <si>
    <t>70</t>
  </si>
  <si>
    <t>23.7</t>
  </si>
  <si>
    <t>59.0</t>
  </si>
  <si>
    <t>17.4</t>
  </si>
  <si>
    <t>295</t>
  </si>
  <si>
    <t>15.0</t>
  </si>
  <si>
    <t>8</t>
  </si>
  <si>
    <t>7.3</t>
  </si>
  <si>
    <t>17.60</t>
  </si>
  <si>
    <t>18.50</t>
  </si>
  <si>
    <t>2.70</t>
  </si>
  <si>
    <t>78.80</t>
  </si>
  <si>
    <t>3.200</t>
  </si>
  <si>
    <t>14.000</t>
  </si>
  <si>
    <t>5.96</t>
  </si>
  <si>
    <t>164</t>
  </si>
  <si>
    <t>52.1</t>
  </si>
  <si>
    <t>87.5</t>
  </si>
  <si>
    <t>27.5</t>
  </si>
  <si>
    <t>314</t>
  </si>
  <si>
    <t>14.7</t>
  </si>
  <si>
    <t>451</t>
  </si>
  <si>
    <t>12.6</t>
  </si>
  <si>
    <t>17.10</t>
  </si>
  <si>
    <t>6.20</t>
  </si>
  <si>
    <t>3.30</t>
  </si>
  <si>
    <t>90.50</t>
  </si>
  <si>
    <t>1.000</t>
  </si>
  <si>
    <t>15.600</t>
  </si>
  <si>
    <t>4.95</t>
  </si>
  <si>
    <t>113</t>
  </si>
  <si>
    <t>35.0</t>
  </si>
  <si>
    <t>70.8</t>
  </si>
  <si>
    <t>22.8</t>
  </si>
  <si>
    <t>322</t>
  </si>
  <si>
    <t>331</t>
  </si>
  <si>
    <t>8.4</t>
  </si>
  <si>
    <t>1.40</t>
  </si>
  <si>
    <t>34.10</t>
  </si>
  <si>
    <t>59.40</t>
  </si>
  <si>
    <t>7.93</t>
  </si>
  <si>
    <t>39.3</t>
  </si>
  <si>
    <t>49.6</t>
  </si>
  <si>
    <t>290</t>
  </si>
  <si>
    <t>15.9</t>
  </si>
  <si>
    <t>31</t>
  </si>
  <si>
    <t>9.9</t>
  </si>
  <si>
    <t>30.60</t>
  </si>
  <si>
    <t>11.30</t>
  </si>
  <si>
    <t>3.00</t>
  </si>
  <si>
    <t>85.70</t>
  </si>
  <si>
    <t>3.400</t>
  </si>
  <si>
    <t>26.300</t>
  </si>
  <si>
    <t>3.66</t>
  </si>
  <si>
    <t>78</t>
  </si>
  <si>
    <t>25.8</t>
  </si>
  <si>
    <t>70.5</t>
  </si>
  <si>
    <t>21.3</t>
  </si>
  <si>
    <t>302</t>
  </si>
  <si>
    <t>17.7</t>
  </si>
  <si>
    <t>10.3</t>
  </si>
  <si>
    <t>15.80</t>
  </si>
  <si>
    <t>5.20</t>
  </si>
  <si>
    <t>79.00</t>
  </si>
  <si>
    <t>1.500</t>
  </si>
  <si>
    <t>8.000</t>
  </si>
  <si>
    <t>8.43</t>
  </si>
  <si>
    <t>187</t>
  </si>
  <si>
    <t>70.0</t>
  </si>
  <si>
    <t>316</t>
  </si>
  <si>
    <t>315</t>
  </si>
  <si>
    <t>8.1</t>
  </si>
  <si>
    <t>22.10</t>
  </si>
  <si>
    <t>6.10</t>
  </si>
  <si>
    <t>90.90</t>
  </si>
  <si>
    <t>1.300</t>
  </si>
  <si>
    <t>20.200</t>
  </si>
  <si>
    <t>10.53</t>
  </si>
  <si>
    <t>155</t>
  </si>
  <si>
    <t>55.1</t>
  </si>
  <si>
    <t>52.4</t>
  </si>
  <si>
    <t>281</t>
  </si>
  <si>
    <t>15.1</t>
  </si>
  <si>
    <t>254</t>
  </si>
  <si>
    <t>9.5</t>
  </si>
  <si>
    <t>8.80</t>
  </si>
  <si>
    <t>22.70</t>
  </si>
  <si>
    <t>6.40</t>
  </si>
  <si>
    <t>70.90</t>
  </si>
  <si>
    <t>1.900</t>
  </si>
  <si>
    <t>6.400</t>
  </si>
  <si>
    <t>6.79</t>
  </si>
  <si>
    <t>153</t>
  </si>
  <si>
    <t>46.5</t>
  </si>
  <si>
    <t>68.5</t>
  </si>
  <si>
    <t>22.5</t>
  </si>
  <si>
    <t>329</t>
  </si>
  <si>
    <t>11.7</t>
  </si>
  <si>
    <t>268</t>
  </si>
  <si>
    <t>8.70</t>
  </si>
  <si>
    <t>26.30</t>
  </si>
  <si>
    <t>17.40</t>
  </si>
  <si>
    <t>56.30</t>
  </si>
  <si>
    <t>2.200</t>
  </si>
  <si>
    <t>5.000</t>
  </si>
  <si>
    <t>7.59</t>
  </si>
  <si>
    <t>111</t>
  </si>
  <si>
    <t>39.0</t>
  </si>
  <si>
    <t>51.5</t>
  </si>
  <si>
    <t>284</t>
  </si>
  <si>
    <t>14.5</t>
  </si>
  <si>
    <t>52</t>
  </si>
  <si>
    <t>10.6</t>
  </si>
  <si>
    <t>2.60</t>
  </si>
  <si>
    <t>8.40</t>
  </si>
  <si>
    <t>3.50</t>
  </si>
  <si>
    <t>88.10</t>
  </si>
  <si>
    <t>2.400</t>
  </si>
  <si>
    <t>1.34</t>
  </si>
  <si>
    <t>18</t>
  </si>
  <si>
    <t>6.4</t>
  </si>
  <si>
    <t>48.0</t>
  </si>
  <si>
    <t>13.4</t>
  </si>
  <si>
    <t>2</t>
  </si>
  <si>
    <t>31.00</t>
  </si>
  <si>
    <t>7.10</t>
  </si>
  <si>
    <t>61.90</t>
  </si>
  <si>
    <t>2.600</t>
  </si>
  <si>
    <t>5.300</t>
  </si>
  <si>
    <t>10.47</t>
  </si>
  <si>
    <t>144</t>
  </si>
  <si>
    <t>51.9</t>
  </si>
  <si>
    <t>13.7</t>
  </si>
  <si>
    <t>277</t>
  </si>
  <si>
    <t>443</t>
  </si>
  <si>
    <t>10.5</t>
  </si>
  <si>
    <t>18.70</t>
  </si>
  <si>
    <t>9.10</t>
  </si>
  <si>
    <t>3.10</t>
  </si>
  <si>
    <t>87.80</t>
  </si>
  <si>
    <t>1.700</t>
  </si>
  <si>
    <t>16.500</t>
  </si>
  <si>
    <t>5.53</t>
  </si>
  <si>
    <t>39.4</t>
  </si>
  <si>
    <t>71.4</t>
  </si>
  <si>
    <t>22.4</t>
  </si>
  <si>
    <t>11.8</t>
  </si>
  <si>
    <t>15.00</t>
  </si>
  <si>
    <t>7.80</t>
  </si>
  <si>
    <t>89.90</t>
  </si>
  <si>
    <t>13.600</t>
  </si>
  <si>
    <t>112</t>
  </si>
  <si>
    <t>34.4</t>
  </si>
  <si>
    <t>63.8</t>
  </si>
  <si>
    <t>20.7</t>
  </si>
  <si>
    <t>85</t>
  </si>
  <si>
    <t>21.20</t>
  </si>
  <si>
    <t>4.90</t>
  </si>
  <si>
    <t>73.90</t>
  </si>
  <si>
    <t>1.200</t>
  </si>
  <si>
    <t>4.600</t>
  </si>
  <si>
    <t>6.32</t>
  </si>
  <si>
    <t>45.5</t>
  </si>
  <si>
    <t>72.1</t>
  </si>
  <si>
    <t>23.2</t>
  </si>
  <si>
    <t>12.2</t>
  </si>
  <si>
    <t>9.3</t>
  </si>
  <si>
    <t>0.80</t>
  </si>
  <si>
    <t>13.60</t>
  </si>
  <si>
    <t>6.90</t>
  </si>
  <si>
    <t>79.50</t>
  </si>
  <si>
    <t>9.09</t>
  </si>
  <si>
    <t>189</t>
  </si>
  <si>
    <t>57.9</t>
  </si>
  <si>
    <t>63.7</t>
  </si>
  <si>
    <t>326</t>
  </si>
  <si>
    <t>13.2</t>
  </si>
  <si>
    <t>7.7</t>
  </si>
  <si>
    <t>7.70</t>
  </si>
  <si>
    <t>18.00</t>
  </si>
  <si>
    <t>75.80</t>
  </si>
  <si>
    <t>6.000</t>
  </si>
  <si>
    <t>6.78</t>
  </si>
  <si>
    <t>154</t>
  </si>
  <si>
    <t>47.5</t>
  </si>
  <si>
    <t>70.2</t>
  </si>
  <si>
    <t>22.7</t>
  </si>
  <si>
    <t>324</t>
  </si>
  <si>
    <t>12.0</t>
  </si>
  <si>
    <t>38.20</t>
  </si>
  <si>
    <t>55.00</t>
  </si>
  <si>
    <t>3.300</t>
  </si>
  <si>
    <t>11.84</t>
  </si>
  <si>
    <t>157</t>
  </si>
  <si>
    <t>58.1</t>
  </si>
  <si>
    <t>49.1</t>
  </si>
  <si>
    <t>270</t>
  </si>
  <si>
    <t>15.2</t>
  </si>
  <si>
    <t>10.8</t>
  </si>
  <si>
    <t>14.30</t>
  </si>
  <si>
    <t>11.60</t>
  </si>
  <si>
    <t>4.40</t>
  </si>
  <si>
    <t>12.100</t>
  </si>
  <si>
    <t>5.82</t>
  </si>
  <si>
    <t>117</t>
  </si>
  <si>
    <t>37.5</t>
  </si>
  <si>
    <t>20.1</t>
  </si>
  <si>
    <t>312</t>
  </si>
  <si>
    <t>237</t>
  </si>
  <si>
    <t>8.6</t>
  </si>
  <si>
    <t>10.80</t>
  </si>
  <si>
    <t>15.60</t>
  </si>
  <si>
    <t>3.70</t>
  </si>
  <si>
    <t>80.70</t>
  </si>
  <si>
    <t>7.00</t>
  </si>
  <si>
    <t>162</t>
  </si>
  <si>
    <t>48.7</t>
  </si>
  <si>
    <t>69.7</t>
  </si>
  <si>
    <t>332</t>
  </si>
  <si>
    <t>12.1</t>
  </si>
  <si>
    <t>193</t>
  </si>
  <si>
    <t>8.2</t>
  </si>
  <si>
    <t>4.20</t>
  </si>
  <si>
    <t>5.30</t>
  </si>
  <si>
    <t>86.90</t>
  </si>
  <si>
    <t>3.700</t>
  </si>
  <si>
    <t>6.44</t>
  </si>
  <si>
    <t>148</t>
  </si>
  <si>
    <t>46.2</t>
  </si>
  <si>
    <t>71.8</t>
  </si>
  <si>
    <t>22.9</t>
  </si>
  <si>
    <t>320</t>
  </si>
  <si>
    <t>182</t>
  </si>
  <si>
    <t>8.3</t>
  </si>
  <si>
    <t>9.40</t>
  </si>
  <si>
    <t>13.10</t>
  </si>
  <si>
    <t>82.00</t>
  </si>
  <si>
    <t>7.800</t>
  </si>
  <si>
    <t>7.63</t>
  </si>
  <si>
    <t>172</t>
  </si>
  <si>
    <t>68.3</t>
  </si>
  <si>
    <t>330</t>
  </si>
  <si>
    <t>301</t>
  </si>
  <si>
    <t>20.50</t>
  </si>
  <si>
    <t>12.30</t>
  </si>
  <si>
    <t>14.600</t>
  </si>
  <si>
    <t>7.47</t>
  </si>
  <si>
    <t>51.7</t>
  </si>
  <si>
    <t>69.3</t>
  </si>
  <si>
    <t>299</t>
  </si>
  <si>
    <t>10.20</t>
  </si>
  <si>
    <t>75.20</t>
  </si>
  <si>
    <t>7.07</t>
  </si>
  <si>
    <t>47.6</t>
  </si>
  <si>
    <t>67.4</t>
  </si>
  <si>
    <t>22.2</t>
  </si>
  <si>
    <t>434</t>
  </si>
  <si>
    <t>4.50</t>
  </si>
  <si>
    <t>5.00</t>
  </si>
  <si>
    <t>73.80</t>
  </si>
  <si>
    <t>11.89</t>
  </si>
  <si>
    <t>167</t>
  </si>
  <si>
    <t>60.8</t>
  </si>
  <si>
    <t>51.2</t>
  </si>
  <si>
    <t>14.0</t>
  </si>
  <si>
    <t>274</t>
  </si>
  <si>
    <t>15.4</t>
  </si>
  <si>
    <t>343</t>
  </si>
  <si>
    <t>9.0</t>
  </si>
  <si>
    <t>1.70</t>
  </si>
  <si>
    <t>5.90</t>
  </si>
  <si>
    <t>92.40</t>
  </si>
  <si>
    <t>4.900</t>
  </si>
  <si>
    <t>45.9</t>
  </si>
  <si>
    <t>67.5</t>
  </si>
  <si>
    <t>328</t>
  </si>
  <si>
    <t>13.1</t>
  </si>
  <si>
    <t>194</t>
  </si>
  <si>
    <t>10.90</t>
  </si>
  <si>
    <t>7.50</t>
  </si>
  <si>
    <t>61.70</t>
  </si>
  <si>
    <t>0.800</t>
  </si>
  <si>
    <t>6.800</t>
  </si>
  <si>
    <t>10.06</t>
  </si>
  <si>
    <t>150</t>
  </si>
  <si>
    <t>54.2</t>
  </si>
  <si>
    <t>53.9</t>
  </si>
  <si>
    <t>14.9</t>
  </si>
  <si>
    <t>276</t>
  </si>
  <si>
    <t>118</t>
  </si>
  <si>
    <t>5.70</t>
  </si>
  <si>
    <t>2.80</t>
  </si>
  <si>
    <t>91.50</t>
  </si>
  <si>
    <t>16.100</t>
  </si>
  <si>
    <t>6.17</t>
  </si>
  <si>
    <t>133</t>
  </si>
  <si>
    <t>42.3</t>
  </si>
  <si>
    <t>68.6</t>
  </si>
  <si>
    <t>21.5</t>
  </si>
  <si>
    <t>12.3</t>
  </si>
  <si>
    <t>391</t>
  </si>
  <si>
    <t>6.8</t>
  </si>
  <si>
    <t>29.90</t>
  </si>
  <si>
    <t>15.90</t>
  </si>
  <si>
    <t>74.10</t>
  </si>
  <si>
    <t>2.900</t>
  </si>
  <si>
    <t>22.300</t>
  </si>
  <si>
    <t>1.66</t>
  </si>
  <si>
    <t>25</t>
  </si>
  <si>
    <t>50.8</t>
  </si>
  <si>
    <t>297</t>
  </si>
  <si>
    <t>13.9</t>
  </si>
  <si>
    <t>22</t>
  </si>
  <si>
    <t>15.20</t>
  </si>
  <si>
    <t>79.80</t>
  </si>
  <si>
    <t>7.35</t>
  </si>
  <si>
    <t>37.6</t>
  </si>
  <si>
    <t>15.3</t>
  </si>
  <si>
    <t>19.6</t>
  </si>
  <si>
    <t>229</t>
  </si>
  <si>
    <t>7.1</t>
  </si>
  <si>
    <t>11.10</t>
  </si>
  <si>
    <t>5.80</t>
  </si>
  <si>
    <t>87.70</t>
  </si>
  <si>
    <t>9.800</t>
  </si>
  <si>
    <t>9.06</t>
  </si>
  <si>
    <t>209</t>
  </si>
  <si>
    <t>64.3</t>
  </si>
  <si>
    <t>71.0</t>
  </si>
  <si>
    <t>23.0</t>
  </si>
  <si>
    <t>13.6</t>
  </si>
  <si>
    <t>369</t>
  </si>
  <si>
    <t>14.00</t>
  </si>
  <si>
    <t>12.50</t>
  </si>
  <si>
    <t>80.40</t>
  </si>
  <si>
    <t>11.400</t>
  </si>
  <si>
    <t>97</t>
  </si>
  <si>
    <t>33.5</t>
  </si>
  <si>
    <t>48.9</t>
  </si>
  <si>
    <t>289</t>
  </si>
  <si>
    <t>14.4</t>
  </si>
  <si>
    <t>45</t>
  </si>
  <si>
    <t>10.7</t>
  </si>
  <si>
    <t>7.40</t>
  </si>
  <si>
    <t>6.07</t>
  </si>
  <si>
    <t>146</t>
  </si>
  <si>
    <t>44.3</t>
  </si>
  <si>
    <t>73.1</t>
  </si>
  <si>
    <t>24.0</t>
  </si>
  <si>
    <t>215</t>
  </si>
  <si>
    <t>9.20</t>
  </si>
  <si>
    <t>9.30</t>
  </si>
  <si>
    <t>85.90</t>
  </si>
  <si>
    <t>6.55</t>
  </si>
  <si>
    <t>40.4</t>
  </si>
  <si>
    <t>61.8</t>
  </si>
  <si>
    <t>20.6</t>
  </si>
  <si>
    <t>334</t>
  </si>
  <si>
    <t>202</t>
  </si>
  <si>
    <t>11.70</t>
  </si>
  <si>
    <t>12.90</t>
  </si>
  <si>
    <t>79.40</t>
  </si>
  <si>
    <t>9.300</t>
  </si>
  <si>
    <t>6.51</t>
  </si>
  <si>
    <t>138</t>
  </si>
  <si>
    <t>42.1</t>
  </si>
  <si>
    <t>64.8</t>
  </si>
  <si>
    <t>21.1</t>
  </si>
  <si>
    <t>356</t>
  </si>
  <si>
    <t>6.9</t>
  </si>
  <si>
    <t>18.90</t>
  </si>
  <si>
    <t>74.60</t>
  </si>
  <si>
    <t>8.200</t>
  </si>
  <si>
    <t>4.66</t>
  </si>
  <si>
    <t>104</t>
  </si>
  <si>
    <t>32.6</t>
  </si>
  <si>
    <t>70.1</t>
  </si>
  <si>
    <t>22.3</t>
  </si>
  <si>
    <t>409</t>
  </si>
  <si>
    <t>54.20</t>
  </si>
  <si>
    <t>20.40</t>
  </si>
  <si>
    <t>6.60</t>
  </si>
  <si>
    <t>73.00</t>
  </si>
  <si>
    <t>11.000</t>
  </si>
  <si>
    <t>3.500</t>
  </si>
  <si>
    <t>39.700</t>
  </si>
  <si>
    <t>10.23</t>
  </si>
  <si>
    <t>106</t>
  </si>
  <si>
    <t>38.6</t>
  </si>
  <si>
    <t>37.8</t>
  </si>
  <si>
    <t>16.5</t>
  </si>
  <si>
    <t>645</t>
  </si>
  <si>
    <t>11.50</t>
  </si>
  <si>
    <t>82.60</t>
  </si>
  <si>
    <t>9.600</t>
  </si>
  <si>
    <t>130</t>
  </si>
  <si>
    <t>65.5</t>
  </si>
  <si>
    <t>307</t>
  </si>
  <si>
    <t>4.30</t>
  </si>
  <si>
    <t>9.100</t>
  </si>
  <si>
    <t>10.34</t>
  </si>
  <si>
    <t>51.0</t>
  </si>
  <si>
    <t>49.4</t>
  </si>
  <si>
    <t>198</t>
  </si>
  <si>
    <t>87.60</t>
  </si>
  <si>
    <t>8.100</t>
  </si>
  <si>
    <t>8.64</t>
  </si>
  <si>
    <t>183</t>
  </si>
  <si>
    <t>55.8</t>
  </si>
  <si>
    <t>248</t>
  </si>
  <si>
    <t>9.90</t>
  </si>
  <si>
    <t>85.10</t>
  </si>
  <si>
    <t>4.200</t>
  </si>
  <si>
    <t>8.02</t>
  </si>
  <si>
    <t>179</t>
  </si>
  <si>
    <t>55.7</t>
  </si>
  <si>
    <t>69.5</t>
  </si>
  <si>
    <t>321</t>
  </si>
  <si>
    <t>160</t>
  </si>
  <si>
    <t>14.50</t>
  </si>
  <si>
    <t>77.30</t>
  </si>
  <si>
    <t>2.300</t>
  </si>
  <si>
    <t>12.19</t>
  </si>
  <si>
    <t>52.6</t>
  </si>
  <si>
    <t>43.2</t>
  </si>
  <si>
    <t>16.3</t>
  </si>
  <si>
    <t>617</t>
  </si>
  <si>
    <t>32.30</t>
  </si>
  <si>
    <t>92.10</t>
  </si>
  <si>
    <t>29.900</t>
  </si>
  <si>
    <t>5.01</t>
  </si>
  <si>
    <t>116</t>
  </si>
  <si>
    <t>33.0</t>
  </si>
  <si>
    <t>65.9</t>
  </si>
  <si>
    <t>351</t>
  </si>
  <si>
    <t>54.30</t>
  </si>
  <si>
    <t>5.60</t>
  </si>
  <si>
    <t>84.50</t>
  </si>
  <si>
    <t>3.000</t>
  </si>
  <si>
    <t>46.000</t>
  </si>
  <si>
    <t>7.57</t>
  </si>
  <si>
    <t>82</t>
  </si>
  <si>
    <t>40.8</t>
  </si>
  <si>
    <t>266</t>
  </si>
  <si>
    <t>777</t>
  </si>
  <si>
    <t>11.0</t>
  </si>
  <si>
    <t>0.60</t>
  </si>
  <si>
    <t>54.00</t>
  </si>
  <si>
    <t>1.14</t>
  </si>
  <si>
    <t>26</t>
  </si>
  <si>
    <t>7.5</t>
  </si>
  <si>
    <t>346</t>
  </si>
  <si>
    <t>3</t>
  </si>
  <si>
    <t>6.30</t>
  </si>
  <si>
    <t>10.30</t>
  </si>
  <si>
    <t>86.00</t>
  </si>
  <si>
    <t>5.500</t>
  </si>
  <si>
    <t>7.05</t>
  </si>
  <si>
    <t>49.7</t>
  </si>
  <si>
    <t>70.6</t>
  </si>
  <si>
    <t>21.9</t>
  </si>
  <si>
    <t>311</t>
  </si>
  <si>
    <t>11.4</t>
  </si>
  <si>
    <t>12.10</t>
  </si>
  <si>
    <t>83.00</t>
  </si>
  <si>
    <t>8.10</t>
  </si>
  <si>
    <t>52.8</t>
  </si>
  <si>
    <t>241</t>
  </si>
  <si>
    <t>21.50</t>
  </si>
  <si>
    <t>72.90</t>
  </si>
  <si>
    <t>2.800</t>
  </si>
  <si>
    <t>6.75</t>
  </si>
  <si>
    <t>46.1</t>
  </si>
  <si>
    <t>68.4</t>
  </si>
  <si>
    <t>21.7</t>
  </si>
  <si>
    <t>318</t>
  </si>
  <si>
    <t>13.5</t>
  </si>
  <si>
    <t>81.30</t>
  </si>
  <si>
    <t>5.69</t>
  </si>
  <si>
    <t>129</t>
  </si>
  <si>
    <t>40.1</t>
  </si>
  <si>
    <t>196</t>
  </si>
  <si>
    <t>91.00</t>
  </si>
  <si>
    <t>5.700</t>
  </si>
  <si>
    <t>7.49</t>
  </si>
  <si>
    <t>176</t>
  </si>
  <si>
    <t>74.4</t>
  </si>
  <si>
    <t>23.4</t>
  </si>
  <si>
    <t>163</t>
  </si>
  <si>
    <t>3.20</t>
  </si>
  <si>
    <t>85.30</t>
  </si>
  <si>
    <t>9.900</t>
  </si>
  <si>
    <t>145</t>
  </si>
  <si>
    <t>42.7</t>
  </si>
  <si>
    <t>67.8</t>
  </si>
  <si>
    <t>339</t>
  </si>
  <si>
    <t>8.50</t>
  </si>
  <si>
    <t>13.20</t>
  </si>
  <si>
    <t>82.30</t>
  </si>
  <si>
    <t>7.100</t>
  </si>
  <si>
    <t>5.49</t>
  </si>
  <si>
    <t>125</t>
  </si>
  <si>
    <t>39.7</t>
  </si>
  <si>
    <t>72.4</t>
  </si>
  <si>
    <t>11.1</t>
  </si>
  <si>
    <t>177</t>
  </si>
  <si>
    <t>10.2</t>
  </si>
  <si>
    <t>17.80</t>
  </si>
  <si>
    <t>25.50</t>
  </si>
  <si>
    <t>68.00</t>
  </si>
  <si>
    <t>4.500</t>
  </si>
  <si>
    <t>12.200</t>
  </si>
  <si>
    <t>8.52</t>
  </si>
  <si>
    <t>41.1</t>
  </si>
  <si>
    <t>48.3</t>
  </si>
  <si>
    <t>15.5</t>
  </si>
  <si>
    <t>140</t>
  </si>
  <si>
    <t>12.60</t>
  </si>
  <si>
    <t>12.80</t>
  </si>
  <si>
    <t>10.200</t>
  </si>
  <si>
    <t>8.96</t>
  </si>
  <si>
    <t>119</t>
  </si>
  <si>
    <t>47.2</t>
  </si>
  <si>
    <t>11.2</t>
  </si>
  <si>
    <t>8.20</t>
  </si>
  <si>
    <t>79.70</t>
  </si>
  <si>
    <t>7.000</t>
  </si>
  <si>
    <t>8.65</t>
  </si>
  <si>
    <t>37.3</t>
  </si>
  <si>
    <t>305</t>
  </si>
  <si>
    <t>303</t>
  </si>
  <si>
    <t>7.90</t>
  </si>
  <si>
    <t>13.70</t>
  </si>
  <si>
    <t>79.90</t>
  </si>
  <si>
    <t>6.77</t>
  </si>
  <si>
    <t>251</t>
  </si>
  <si>
    <t>5.400</t>
  </si>
  <si>
    <t>5.47</t>
  </si>
  <si>
    <t>132</t>
  </si>
  <si>
    <t>40.5</t>
  </si>
  <si>
    <t>74.2</t>
  </si>
  <si>
    <t>24.1</t>
  </si>
  <si>
    <t>288</t>
  </si>
  <si>
    <t>24.10</t>
  </si>
  <si>
    <t>69.90</t>
  </si>
  <si>
    <t>10.82</t>
  </si>
  <si>
    <t>52.0</t>
  </si>
  <si>
    <t>48.1</t>
  </si>
  <si>
    <t>278</t>
  </si>
  <si>
    <t>16.4</t>
  </si>
  <si>
    <t>253</t>
  </si>
  <si>
    <t>11.00</t>
  </si>
  <si>
    <t>3.90</t>
  </si>
  <si>
    <t>84.60</t>
  </si>
  <si>
    <t>9.400</t>
  </si>
  <si>
    <t>7.20</t>
  </si>
  <si>
    <t>159</t>
  </si>
  <si>
    <t>48.6</t>
  </si>
  <si>
    <t>22.0</t>
  </si>
  <si>
    <t>261</t>
  </si>
  <si>
    <t>3.60</t>
  </si>
  <si>
    <t>39.70</t>
  </si>
  <si>
    <t>6.70</t>
  </si>
  <si>
    <t>53.60</t>
  </si>
  <si>
    <t>45.0</t>
  </si>
  <si>
    <t>225</t>
  </si>
  <si>
    <t>9.6</t>
  </si>
  <si>
    <t>87.90</t>
  </si>
  <si>
    <t>4.52</t>
  </si>
  <si>
    <t>99</t>
  </si>
  <si>
    <t>30.4</t>
  </si>
  <si>
    <t>67.3</t>
  </si>
  <si>
    <t>79.30</t>
  </si>
  <si>
    <t>4.32</t>
  </si>
  <si>
    <t>92</t>
  </si>
  <si>
    <t>29.1</t>
  </si>
  <si>
    <t>21.2</t>
  </si>
  <si>
    <t>1.60</t>
  </si>
  <si>
    <t>94.20</t>
  </si>
  <si>
    <t>8.300</t>
  </si>
  <si>
    <t>8.19</t>
  </si>
  <si>
    <t>55.2</t>
  </si>
  <si>
    <t>21.8</t>
  </si>
  <si>
    <t>362</t>
  </si>
  <si>
    <t>10.40</t>
  </si>
  <si>
    <t>85.00</t>
  </si>
  <si>
    <t>5.09</t>
  </si>
  <si>
    <t>77.4</t>
  </si>
  <si>
    <t>24.3</t>
  </si>
  <si>
    <t>244</t>
  </si>
  <si>
    <t>9.2</t>
  </si>
  <si>
    <t>23.70</t>
  </si>
  <si>
    <t>12.00</t>
  </si>
  <si>
    <t>83.60</t>
  </si>
  <si>
    <t>19.900</t>
  </si>
  <si>
    <t>4.94</t>
  </si>
  <si>
    <t>100</t>
  </si>
  <si>
    <t>31.3</t>
  </si>
  <si>
    <t>63.4</t>
  </si>
  <si>
    <t>20.2</t>
  </si>
  <si>
    <t>11.3</t>
  </si>
  <si>
    <t>14.20</t>
  </si>
  <si>
    <t>89.60</t>
  </si>
  <si>
    <t>12.800</t>
  </si>
  <si>
    <t>3.51</t>
  </si>
  <si>
    <t>84</t>
  </si>
  <si>
    <t>26.7</t>
  </si>
  <si>
    <t>76.2</t>
  </si>
  <si>
    <t>23.9</t>
  </si>
  <si>
    <t>11.6</t>
  </si>
  <si>
    <t>375</t>
  </si>
  <si>
    <t>9.70</t>
  </si>
  <si>
    <t>43.00</t>
  </si>
  <si>
    <t>51.00</t>
  </si>
  <si>
    <t>4.100</t>
  </si>
  <si>
    <t>5.100</t>
  </si>
  <si>
    <t>5.06</t>
  </si>
  <si>
    <t>105</t>
  </si>
  <si>
    <t>33.2</t>
  </si>
  <si>
    <t>65.7</t>
  </si>
  <si>
    <t>227</t>
  </si>
  <si>
    <t>11.5</t>
  </si>
  <si>
    <t>16.40</t>
  </si>
  <si>
    <t>79.10</t>
  </si>
  <si>
    <t>6.35</t>
  </si>
  <si>
    <t>43.8</t>
  </si>
  <si>
    <t>69.0</t>
  </si>
  <si>
    <t>12.8</t>
  </si>
  <si>
    <t>84.40</t>
  </si>
  <si>
    <t>6.300</t>
  </si>
  <si>
    <t>3.93</t>
  </si>
  <si>
    <t>68.1</t>
  </si>
  <si>
    <t>35</t>
  </si>
  <si>
    <t>10.70</t>
  </si>
  <si>
    <t>81.50</t>
  </si>
  <si>
    <t>8.800</t>
  </si>
  <si>
    <t>7.85</t>
  </si>
  <si>
    <t>103</t>
  </si>
  <si>
    <t>47.9</t>
  </si>
  <si>
    <t>273</t>
  </si>
  <si>
    <t>108</t>
  </si>
  <si>
    <t>12.40</t>
  </si>
  <si>
    <t>84.80</t>
  </si>
  <si>
    <t>7.500</t>
  </si>
  <si>
    <t>10.11</t>
  </si>
  <si>
    <t>152</t>
  </si>
  <si>
    <t>272</t>
  </si>
  <si>
    <t>15.8</t>
  </si>
  <si>
    <t>143</t>
  </si>
  <si>
    <t>58.50</t>
  </si>
  <si>
    <t>12.70</t>
  </si>
  <si>
    <t>80.60</t>
  </si>
  <si>
    <t>7.400</t>
  </si>
  <si>
    <t>3.900</t>
  </si>
  <si>
    <t>47.200</t>
  </si>
  <si>
    <t>7.76</t>
  </si>
  <si>
    <t>31.5</t>
  </si>
  <si>
    <t>40.7</t>
  </si>
  <si>
    <t>260</t>
  </si>
  <si>
    <t>626</t>
  </si>
  <si>
    <t>0.50</t>
  </si>
  <si>
    <t>97.90</t>
  </si>
  <si>
    <t>5.29</t>
  </si>
  <si>
    <t>115</t>
  </si>
  <si>
    <t>35.3</t>
  </si>
  <si>
    <t>66.8</t>
  </si>
  <si>
    <t>11</t>
  </si>
  <si>
    <t>21.60</t>
  </si>
  <si>
    <t>60.60</t>
  </si>
  <si>
    <t>10.500</t>
  </si>
  <si>
    <t>50.1</t>
  </si>
  <si>
    <t>287</t>
  </si>
  <si>
    <t>16.6</t>
  </si>
  <si>
    <t>11.80</t>
  </si>
  <si>
    <t>4.54</t>
  </si>
  <si>
    <t>231</t>
  </si>
  <si>
    <t>96.20</t>
  </si>
  <si>
    <t>5.55</t>
  </si>
  <si>
    <t>126</t>
  </si>
  <si>
    <t>39.1</t>
  </si>
  <si>
    <t>7.2</t>
  </si>
  <si>
    <t>83.50</t>
  </si>
  <si>
    <t>5.85</t>
  </si>
  <si>
    <t>36.9</t>
  </si>
  <si>
    <t>63.2</t>
  </si>
  <si>
    <t>357</t>
  </si>
  <si>
    <t>446</t>
  </si>
  <si>
    <t>91.20</t>
  </si>
  <si>
    <t>4.000</t>
  </si>
  <si>
    <t>8.49</t>
  </si>
  <si>
    <t>69.6</t>
  </si>
  <si>
    <t>255</t>
  </si>
  <si>
    <t>94</t>
  </si>
  <si>
    <t>33.9</t>
  </si>
  <si>
    <t>47.1</t>
  </si>
  <si>
    <t>47</t>
  </si>
  <si>
    <t>85.20</t>
  </si>
  <si>
    <t>10.600</t>
  </si>
  <si>
    <t>6.11</t>
  </si>
  <si>
    <t>136</t>
  </si>
  <si>
    <t>25.00</t>
  </si>
  <si>
    <t>59.10</t>
  </si>
  <si>
    <t>2.700</t>
  </si>
  <si>
    <t>10.43</t>
  </si>
  <si>
    <t>50.3</t>
  </si>
  <si>
    <t>13.8</t>
  </si>
  <si>
    <t>10.4</t>
  </si>
  <si>
    <t>2.00</t>
  </si>
  <si>
    <t>4.70</t>
  </si>
  <si>
    <t>93.30</t>
  </si>
  <si>
    <t>6.14</t>
  </si>
  <si>
    <t>137</t>
  </si>
  <si>
    <t>70.4</t>
  </si>
  <si>
    <t>317</t>
  </si>
  <si>
    <t>435</t>
  </si>
  <si>
    <t>24.90</t>
  </si>
  <si>
    <t>69.60</t>
  </si>
  <si>
    <t>8.48</t>
  </si>
  <si>
    <t>44.4</t>
  </si>
  <si>
    <t>279</t>
  </si>
  <si>
    <t>10.50</t>
  </si>
  <si>
    <t>84.10</t>
  </si>
  <si>
    <t>7.17</t>
  </si>
  <si>
    <t>44.8</t>
  </si>
  <si>
    <t>62.5</t>
  </si>
  <si>
    <t>10.0</t>
  </si>
  <si>
    <t>88.30</t>
  </si>
  <si>
    <t>74</t>
  </si>
  <si>
    <t>66.4</t>
  </si>
  <si>
    <t>20.5</t>
  </si>
  <si>
    <t>309</t>
  </si>
  <si>
    <t>13.3</t>
  </si>
  <si>
    <t>5</t>
  </si>
  <si>
    <t>6.5</t>
  </si>
  <si>
    <t>16.30</t>
  </si>
  <si>
    <t>18.20</t>
  </si>
  <si>
    <t>78.10</t>
  </si>
  <si>
    <t>275</t>
  </si>
  <si>
    <t>233</t>
  </si>
  <si>
    <t>16.10</t>
  </si>
  <si>
    <t>24.30</t>
  </si>
  <si>
    <t>15.30</t>
  </si>
  <si>
    <t>60.40</t>
  </si>
  <si>
    <t>7.0</t>
  </si>
  <si>
    <t>10.300</t>
  </si>
  <si>
    <t>6.25</t>
  </si>
  <si>
    <t>134</t>
  </si>
  <si>
    <t>43.0</t>
  </si>
  <si>
    <t>68.9</t>
  </si>
  <si>
    <t>21.4</t>
  </si>
  <si>
    <t>313</t>
  </si>
  <si>
    <t>25.80</t>
  </si>
  <si>
    <t>63.60</t>
  </si>
  <si>
    <t>6.08</t>
  </si>
  <si>
    <t>58.2</t>
  </si>
  <si>
    <t>16.1</t>
  </si>
  <si>
    <t>12</t>
  </si>
  <si>
    <t>8.0</t>
  </si>
  <si>
    <t>23.40</t>
  </si>
  <si>
    <t>16.00</t>
  </si>
  <si>
    <t>8.83</t>
  </si>
  <si>
    <t>52.7</t>
  </si>
  <si>
    <t>75</t>
  </si>
  <si>
    <t>90.10</t>
  </si>
  <si>
    <t>7.96</t>
  </si>
  <si>
    <t>181</t>
  </si>
  <si>
    <t>55.4</t>
  </si>
  <si>
    <t>6.34</t>
  </si>
  <si>
    <t>43.9</t>
  </si>
  <si>
    <t>400</t>
  </si>
  <si>
    <t>66.7</t>
  </si>
  <si>
    <t>414</t>
  </si>
  <si>
    <t>2.10</t>
  </si>
  <si>
    <t>91.30</t>
  </si>
  <si>
    <t>7.900</t>
  </si>
  <si>
    <t>7.16</t>
  </si>
  <si>
    <t>50.4</t>
  </si>
  <si>
    <t>4.00</t>
  </si>
  <si>
    <t>4.29</t>
  </si>
  <si>
    <t>27.0</t>
  </si>
  <si>
    <t>63.0</t>
  </si>
  <si>
    <t>19.8</t>
  </si>
  <si>
    <t>525</t>
  </si>
  <si>
    <t>5.9</t>
  </si>
  <si>
    <t>28.40</t>
  </si>
  <si>
    <t>75.30</t>
  </si>
  <si>
    <t>21.500</t>
  </si>
  <si>
    <t>4.45</t>
  </si>
  <si>
    <t>65</t>
  </si>
  <si>
    <t>23.8</t>
  </si>
  <si>
    <t>53.6</t>
  </si>
  <si>
    <t>17.1</t>
  </si>
  <si>
    <t>37</t>
  </si>
  <si>
    <t>86.70</t>
  </si>
  <si>
    <t>9.7</t>
  </si>
  <si>
    <t>1.50</t>
  </si>
  <si>
    <t>98.00</t>
  </si>
  <si>
    <t>13.000</t>
  </si>
  <si>
    <t>6.94</t>
  </si>
  <si>
    <t>158</t>
  </si>
  <si>
    <t>71.5</t>
  </si>
  <si>
    <t>7.8</t>
  </si>
  <si>
    <t>83.40</t>
  </si>
  <si>
    <t>6.62</t>
  </si>
  <si>
    <t>8.37</t>
  </si>
  <si>
    <t>110</t>
  </si>
  <si>
    <t>46.7</t>
  </si>
  <si>
    <t>16.0</t>
  </si>
  <si>
    <t>10.55</t>
  </si>
  <si>
    <t>48.4</t>
  </si>
  <si>
    <t>16.50</t>
  </si>
  <si>
    <t>13.30</t>
  </si>
  <si>
    <t>70.20</t>
  </si>
  <si>
    <t>60.1</t>
  </si>
  <si>
    <t>333</t>
  </si>
  <si>
    <t>101</t>
  </si>
  <si>
    <t>5.800</t>
  </si>
  <si>
    <t>71.9</t>
  </si>
  <si>
    <t>216</t>
  </si>
  <si>
    <t>19.90</t>
  </si>
  <si>
    <t>72.30</t>
  </si>
  <si>
    <t>2.100</t>
  </si>
  <si>
    <t>88.70</t>
  </si>
  <si>
    <t>6.53</t>
  </si>
  <si>
    <t>141</t>
  </si>
  <si>
    <t>44.2</t>
  </si>
  <si>
    <t>67.7</t>
  </si>
  <si>
    <t>28</t>
  </si>
  <si>
    <t>21.00</t>
  </si>
  <si>
    <t>80.90</t>
  </si>
  <si>
    <t>17.100</t>
  </si>
  <si>
    <t>5.24</t>
  </si>
  <si>
    <t>33.7</t>
  </si>
  <si>
    <t>64.4</t>
  </si>
  <si>
    <t>19.00</t>
  </si>
  <si>
    <t>76.60</t>
  </si>
  <si>
    <t>31.1</t>
  </si>
  <si>
    <t>15.6</t>
  </si>
  <si>
    <t>10.1</t>
  </si>
  <si>
    <t>14.70</t>
  </si>
  <si>
    <t>14.60</t>
  </si>
  <si>
    <t>80.30</t>
  </si>
  <si>
    <t>11.900</t>
  </si>
  <si>
    <t>5.77</t>
  </si>
  <si>
    <t>76</t>
  </si>
  <si>
    <t>41.6</t>
  </si>
  <si>
    <t>257</t>
  </si>
  <si>
    <t>37.80</t>
  </si>
  <si>
    <t>34.200</t>
  </si>
  <si>
    <t>4.31</t>
  </si>
  <si>
    <t>56</t>
  </si>
  <si>
    <t>21.0</t>
  </si>
  <si>
    <t>149</t>
  </si>
  <si>
    <t>23.50</t>
  </si>
  <si>
    <t>86.80</t>
  </si>
  <si>
    <t>20.500</t>
  </si>
  <si>
    <t>3.92</t>
  </si>
  <si>
    <t>25.7</t>
  </si>
  <si>
    <t>20.4</t>
  </si>
  <si>
    <t>354</t>
  </si>
  <si>
    <t>78.70</t>
  </si>
  <si>
    <t>5.38</t>
  </si>
  <si>
    <t>36.2</t>
  </si>
  <si>
    <t>394</t>
  </si>
  <si>
    <t>6.6</t>
  </si>
  <si>
    <t>20.00</t>
  </si>
  <si>
    <t>72.40</t>
  </si>
  <si>
    <t>7.97</t>
  </si>
  <si>
    <t>107</t>
  </si>
  <si>
    <t>49.9</t>
  </si>
  <si>
    <t>269</t>
  </si>
  <si>
    <t>30.20</t>
  </si>
  <si>
    <t>64.30</t>
  </si>
  <si>
    <t>46.0</t>
  </si>
  <si>
    <t>286</t>
  </si>
  <si>
    <t>166</t>
  </si>
  <si>
    <t>6.21</t>
  </si>
  <si>
    <t>127</t>
  </si>
  <si>
    <t>38.7</t>
  </si>
  <si>
    <t>62.4</t>
  </si>
  <si>
    <t>7.64</t>
  </si>
  <si>
    <t>89.70</t>
  </si>
  <si>
    <t>7.300</t>
  </si>
  <si>
    <t>6.96</t>
  </si>
  <si>
    <t>66.5</t>
  </si>
  <si>
    <t>90.70</t>
  </si>
  <si>
    <t>8.42</t>
  </si>
  <si>
    <t>203</t>
  </si>
  <si>
    <t>11.90</t>
  </si>
  <si>
    <t>1.90</t>
  </si>
  <si>
    <t>97.30</t>
  </si>
  <si>
    <t>11.700</t>
  </si>
  <si>
    <t>11.11</t>
  </si>
  <si>
    <t>57.6</t>
  </si>
  <si>
    <t>14.8</t>
  </si>
  <si>
    <t>242</t>
  </si>
  <si>
    <t>9.1</t>
  </si>
  <si>
    <t>28.60</t>
  </si>
  <si>
    <t>65.60</t>
  </si>
  <si>
    <t>6.200</t>
  </si>
  <si>
    <t>7.15</t>
  </si>
  <si>
    <t>38.0</t>
  </si>
  <si>
    <t>265</t>
  </si>
  <si>
    <t>66</t>
  </si>
  <si>
    <t>22.60</t>
  </si>
  <si>
    <t>71.20</t>
  </si>
  <si>
    <t>3.600</t>
  </si>
  <si>
    <t>9.58</t>
  </si>
  <si>
    <t>142</t>
  </si>
  <si>
    <t>50.6</t>
  </si>
  <si>
    <t>52.9</t>
  </si>
  <si>
    <t>15.7</t>
  </si>
  <si>
    <t>69</t>
  </si>
  <si>
    <t>14.90</t>
  </si>
  <si>
    <t>9.00</t>
  </si>
  <si>
    <t>87.50</t>
  </si>
  <si>
    <t>13.100</t>
  </si>
  <si>
    <t>139</t>
  </si>
  <si>
    <t>42.9</t>
  </si>
  <si>
    <t>71.6</t>
  </si>
  <si>
    <t>35.50</t>
  </si>
  <si>
    <t>58.00</t>
  </si>
  <si>
    <t>9.25</t>
  </si>
  <si>
    <t>51.4</t>
  </si>
  <si>
    <t>55.6</t>
  </si>
  <si>
    <t>51</t>
  </si>
  <si>
    <t>24.00</t>
  </si>
  <si>
    <t>11.67</t>
  </si>
  <si>
    <t>173</t>
  </si>
  <si>
    <t>61.5</t>
  </si>
  <si>
    <t>228</t>
  </si>
  <si>
    <t>16.60</t>
  </si>
  <si>
    <t>16.70</t>
  </si>
  <si>
    <t>66.60</t>
  </si>
  <si>
    <t>11.200</t>
  </si>
  <si>
    <t>11.35</t>
  </si>
  <si>
    <t>46.9</t>
  </si>
  <si>
    <t>41.4</t>
  </si>
  <si>
    <t>352</t>
  </si>
  <si>
    <t>2.40</t>
  </si>
  <si>
    <t>96.60</t>
  </si>
  <si>
    <t>9.700</t>
  </si>
  <si>
    <t>7.99</t>
  </si>
  <si>
    <t>59.6</t>
  </si>
  <si>
    <t>74.7</t>
  </si>
  <si>
    <t>80.10</t>
  </si>
  <si>
    <t>6.600</t>
  </si>
  <si>
    <t>417</t>
  </si>
  <si>
    <t>6.92</t>
  </si>
  <si>
    <t>161</t>
  </si>
  <si>
    <t>74.8</t>
  </si>
  <si>
    <t>392</t>
  </si>
  <si>
    <t>8.30</t>
  </si>
  <si>
    <t>7.33</t>
  </si>
  <si>
    <t>66.0</t>
  </si>
  <si>
    <t>337</t>
  </si>
  <si>
    <t>468</t>
  </si>
  <si>
    <t>6.24</t>
  </si>
  <si>
    <t>43.5</t>
  </si>
  <si>
    <t>69.8</t>
  </si>
  <si>
    <t>168</t>
  </si>
  <si>
    <t>78.20</t>
  </si>
  <si>
    <t>121</t>
  </si>
  <si>
    <t>44.0</t>
  </si>
  <si>
    <t>19.20</t>
  </si>
  <si>
    <t>77.00</t>
  </si>
  <si>
    <t>7.87</t>
  </si>
  <si>
    <t>67.1</t>
  </si>
  <si>
    <t>344</t>
  </si>
  <si>
    <t>18.30</t>
  </si>
  <si>
    <t>77.10</t>
  </si>
  <si>
    <t>5.72</t>
  </si>
  <si>
    <t>17.2</t>
  </si>
  <si>
    <t>881</t>
  </si>
  <si>
    <t>24.2</t>
  </si>
  <si>
    <t>6.7</t>
  </si>
  <si>
    <t>84.20</t>
  </si>
  <si>
    <t>8.400</t>
  </si>
  <si>
    <t>73.6</t>
  </si>
  <si>
    <t>15.10</t>
  </si>
  <si>
    <t>48.2</t>
  </si>
  <si>
    <t>69.9</t>
  </si>
  <si>
    <t>185</t>
  </si>
  <si>
    <t>23.00</t>
  </si>
  <si>
    <t>69.40</t>
  </si>
  <si>
    <t>6.43</t>
  </si>
  <si>
    <t xml:space="preserve"> fekla</t>
  </si>
  <si>
    <t xml:space="preserve"> FIONA</t>
  </si>
  <si>
    <t xml:space="preserve"> luna</t>
  </si>
  <si>
    <t xml:space="preserve"> TONY</t>
  </si>
  <si>
    <t xml:space="preserve"> YACO</t>
  </si>
  <si>
    <t xml:space="preserve"> ZOE</t>
  </si>
  <si>
    <t xml:space="preserve"> CORA</t>
  </si>
  <si>
    <t xml:space="preserve"> mio</t>
  </si>
  <si>
    <t xml:space="preserve"> mono</t>
  </si>
  <si>
    <t xml:space="preserve"> POLO</t>
  </si>
  <si>
    <t xml:space="preserve"> chesty</t>
  </si>
  <si>
    <t xml:space="preserve"> SACHA</t>
  </si>
  <si>
    <t xml:space="preserve"> CONTROL</t>
  </si>
  <si>
    <t xml:space="preserve"> angus</t>
  </si>
  <si>
    <t xml:space="preserve"> nino</t>
  </si>
  <si>
    <t xml:space="preserve"> na</t>
  </si>
  <si>
    <t xml:space="preserve"> SHARYS</t>
  </si>
  <si>
    <t xml:space="preserve"> ABBY</t>
  </si>
  <si>
    <t xml:space="preserve"> LUICITO</t>
  </si>
  <si>
    <t xml:space="preserve"> CANDY</t>
  </si>
  <si>
    <t xml:space="preserve"> LOLITA</t>
  </si>
  <si>
    <t xml:space="preserve"> NINO</t>
  </si>
  <si>
    <t xml:space="preserve"> ONIX</t>
  </si>
  <si>
    <t>NINA</t>
  </si>
  <si>
    <t xml:space="preserve"> MINI</t>
  </si>
  <si>
    <t xml:space="preserve"> PARIS</t>
  </si>
  <si>
    <t xml:space="preserve"> PACO</t>
  </si>
  <si>
    <t xml:space="preserve"> TOBY</t>
  </si>
  <si>
    <t xml:space="preserve"> CANELA</t>
  </si>
  <si>
    <t xml:space="preserve"> LUPE</t>
  </si>
  <si>
    <t xml:space="preserve"> SASHA</t>
  </si>
  <si>
    <t xml:space="preserve"> PASCUAL</t>
  </si>
  <si>
    <t xml:space="preserve"> LOKY</t>
  </si>
  <si>
    <t xml:space="preserve"> MUÑECA</t>
  </si>
  <si>
    <t xml:space="preserve"> MIA</t>
  </si>
  <si>
    <t xml:space="preserve"> VACA</t>
  </si>
  <si>
    <t xml:space="preserve"> PILI</t>
  </si>
  <si>
    <t xml:space="preserve"> BERLIN</t>
  </si>
  <si>
    <t xml:space="preserve"> MATEO</t>
  </si>
  <si>
    <t xml:space="preserve"> CIELO</t>
  </si>
  <si>
    <t xml:space="preserve"> COFFE</t>
  </si>
  <si>
    <t xml:space="preserve"> PRINCESA</t>
  </si>
  <si>
    <t xml:space="preserve"> LENON</t>
  </si>
  <si>
    <t xml:space="preserve"> THANOS</t>
  </si>
  <si>
    <t xml:space="preserve"> TYTUS</t>
  </si>
  <si>
    <t xml:space="preserve"> NN</t>
  </si>
  <si>
    <t xml:space="preserve"> DRACO</t>
  </si>
  <si>
    <t xml:space="preserve"> OEREO</t>
  </si>
  <si>
    <t xml:space="preserve"> MAX</t>
  </si>
  <si>
    <t xml:space="preserve"> NEGRA</t>
  </si>
  <si>
    <t xml:space="preserve"> COCO</t>
  </si>
  <si>
    <t xml:space="preserve"> TITO</t>
  </si>
  <si>
    <t xml:space="preserve"> NALA</t>
  </si>
  <si>
    <t xml:space="preserve"> LUNA</t>
  </si>
  <si>
    <t xml:space="preserve"> NINA</t>
  </si>
  <si>
    <t xml:space="preserve"> ZWUS</t>
  </si>
  <si>
    <t xml:space="preserve"> MANOLO</t>
  </si>
  <si>
    <t xml:space="preserve"> OTTO</t>
  </si>
  <si>
    <t xml:space="preserve"> ZEUS</t>
  </si>
  <si>
    <t xml:space="preserve"> NORA</t>
  </si>
  <si>
    <t xml:space="preserve"> UNO</t>
  </si>
  <si>
    <t xml:space="preserve"> DOS</t>
  </si>
  <si>
    <t xml:space="preserve"> MICAELA</t>
  </si>
  <si>
    <t xml:space="preserve"> IRIS</t>
  </si>
  <si>
    <t xml:space="preserve"> BAILEY</t>
  </si>
  <si>
    <t xml:space="preserve"> KIARA</t>
  </si>
  <si>
    <t xml:space="preserve"> TOTI</t>
  </si>
  <si>
    <t xml:space="preserve"> TABBY</t>
  </si>
  <si>
    <t xml:space="preserve"> BENJI</t>
  </si>
  <si>
    <t xml:space="preserve"> DULCE</t>
  </si>
  <si>
    <t xml:space="preserve"> MONELO</t>
  </si>
  <si>
    <t xml:space="preserve"> DAKOTA</t>
  </si>
  <si>
    <t xml:space="preserve"> BRUNO</t>
  </si>
  <si>
    <t xml:space="preserve"> APOLO</t>
  </si>
  <si>
    <t xml:space="preserve"> MONO</t>
  </si>
  <si>
    <t xml:space="preserve"> AQUILES</t>
  </si>
  <si>
    <t xml:space="preserve"> FRIDA</t>
  </si>
  <si>
    <t xml:space="preserve"> MONA</t>
  </si>
  <si>
    <t xml:space="preserve"> PANCHA</t>
  </si>
  <si>
    <t xml:space="preserve"> ROMEO</t>
  </si>
  <si>
    <t xml:space="preserve"> FIDEL</t>
  </si>
  <si>
    <t xml:space="preserve"> CHNAEL</t>
  </si>
  <si>
    <t xml:space="preserve"> EVA</t>
  </si>
  <si>
    <t xml:space="preserve"> SIMON</t>
  </si>
  <si>
    <t xml:space="preserve"> ATENEA</t>
  </si>
  <si>
    <t xml:space="preserve"> PEDRO</t>
  </si>
  <si>
    <t xml:space="preserve"> ARES</t>
  </si>
  <si>
    <t xml:space="preserve"> PELUSA</t>
  </si>
  <si>
    <t xml:space="preserve"> SABRINA</t>
  </si>
  <si>
    <t xml:space="preserve"> GABY</t>
  </si>
  <si>
    <t xml:space="preserve"> RAMBO</t>
  </si>
  <si>
    <t xml:space="preserve"> LUCAS</t>
  </si>
  <si>
    <t xml:space="preserve"> TOMY</t>
  </si>
  <si>
    <t xml:space="preserve"> POPI</t>
  </si>
  <si>
    <t xml:space="preserve"> CACHETON</t>
  </si>
  <si>
    <t xml:space="preserve"> toto</t>
  </si>
  <si>
    <t xml:space="preserve"> channel</t>
  </si>
  <si>
    <t xml:space="preserve"> teo</t>
  </si>
  <si>
    <t xml:space="preserve"> simba</t>
  </si>
  <si>
    <t xml:space="preserve"> lucky</t>
  </si>
  <si>
    <t xml:space="preserve"> nacho</t>
  </si>
  <si>
    <t xml:space="preserve"> samuel</t>
  </si>
  <si>
    <t xml:space="preserve"> simon</t>
  </si>
  <si>
    <t xml:space="preserve"> ciara</t>
  </si>
  <si>
    <t xml:space="preserve"> ares</t>
  </si>
  <si>
    <t xml:space="preserve"> pistacho</t>
  </si>
  <si>
    <t xml:space="preserve"> horus</t>
  </si>
  <si>
    <t xml:space="preserve"> sasha</t>
  </si>
  <si>
    <t xml:space="preserve"> princesa</t>
  </si>
  <si>
    <t xml:space="preserve"> goliat</t>
  </si>
  <si>
    <t xml:space="preserve"> felix</t>
  </si>
  <si>
    <t xml:space="preserve"> late</t>
  </si>
  <si>
    <t xml:space="preserve"> junior</t>
  </si>
  <si>
    <t xml:space="preserve"> candela</t>
  </si>
  <si>
    <t xml:space="preserve"> bless</t>
  </si>
  <si>
    <t xml:space="preserve"> venus</t>
  </si>
  <si>
    <t xml:space="preserve"> lulo</t>
  </si>
  <si>
    <t xml:space="preserve"> pacha</t>
  </si>
  <si>
    <t xml:space="preserve"> bruno</t>
  </si>
  <si>
    <t xml:space="preserve"> chiqui</t>
  </si>
  <si>
    <t xml:space="preserve"> lisa</t>
  </si>
  <si>
    <t xml:space="preserve"> anis</t>
  </si>
  <si>
    <t xml:space="preserve"> Nala</t>
  </si>
  <si>
    <t xml:space="preserve"> mocca</t>
  </si>
  <si>
    <t xml:space="preserve"> rocky</t>
  </si>
  <si>
    <t xml:space="preserve"> apolo</t>
  </si>
  <si>
    <t xml:space="preserve"> tomas</t>
  </si>
  <si>
    <t xml:space="preserve"> socrates</t>
  </si>
  <si>
    <t xml:space="preserve"> lupita</t>
  </si>
  <si>
    <t xml:space="preserve"> bobby</t>
  </si>
  <si>
    <t xml:space="preserve"> simona</t>
  </si>
  <si>
    <t xml:space="preserve"> sacha</t>
  </si>
  <si>
    <t xml:space="preserve"> linda</t>
  </si>
  <si>
    <t xml:space="preserve"> ruffo</t>
  </si>
  <si>
    <t>x</t>
  </si>
  <si>
    <t>LEU (WBC) | 10^9/L | 6,00~17,00</t>
  </si>
  <si>
    <t>LIN% (LYM%) | % | 12,00~30,00</t>
  </si>
  <si>
    <t>MID% (MID%) | % | 2,00~9,00</t>
  </si>
  <si>
    <t>GRAN% (GRAN%) | % | 60,00~83,00</t>
  </si>
  <si>
    <t>LIN# (LYM#) | 10^9/L | 0,800~5,100</t>
  </si>
  <si>
    <t>MID# (MID#) | 10^9/L | 0,000~1,800</t>
  </si>
  <si>
    <t>GRAN# (GRAN#) | 10^9/L | 4,000~12,600</t>
  </si>
  <si>
    <t>ERI (RBC) | 10^12/L | 5,50~8,50</t>
  </si>
  <si>
    <t>HCT (HCT) | % | 39,0~56,0</t>
  </si>
  <si>
    <t>VCM (MCV) | fL | 62,0~72,0</t>
  </si>
  <si>
    <t>HCM (MCH) | pg | 20,0~25,0</t>
  </si>
  <si>
    <t>RDW_CV (RDW_CV) | % | 11,0~15,5</t>
  </si>
  <si>
    <t>VPM (MPV) | fL | 7,0~12,0</t>
  </si>
  <si>
    <t>LEU (WBC) | 10^9/L | 5,50~19,50</t>
  </si>
  <si>
    <t>LIN% (LYM%) | % | 12,00~45,00</t>
  </si>
  <si>
    <t>GRAN% (GRAN%) | % | 35,00~85,00</t>
  </si>
  <si>
    <t>LIN# (LYM#) | 10^9/L | 0,800~7,000</t>
  </si>
  <si>
    <t>MID# (MID#) | 10^9/L | 0,000~1,900</t>
  </si>
  <si>
    <t>GRAN# (GRAN#) | 10^9/L | 2,100~15,000</t>
  </si>
  <si>
    <t>ERI (RBC) | 10^12/L | 4,60~10,00</t>
  </si>
  <si>
    <t>HCT (HCT) | % | 28,0~49,0</t>
  </si>
  <si>
    <t>VCM (MCV) | fL | 39,0~52,0</t>
  </si>
  <si>
    <t>HCM (MCH) | pg | 13,0~21,0</t>
  </si>
  <si>
    <t>RDW_CV (RDW_CV) | % | 14,0~18,0</t>
  </si>
  <si>
    <t>VPM (MPV) | fL | 5,0~9,0</t>
  </si>
  <si>
    <t>Success</t>
  </si>
  <si>
    <t>Result_Numeric_Value</t>
  </si>
  <si>
    <t>Result</t>
  </si>
  <si>
    <t>Item | Unit | Range</t>
  </si>
  <si>
    <t>Average</t>
  </si>
  <si>
    <t>Max</t>
  </si>
  <si>
    <t>Min</t>
  </si>
  <si>
    <t>PATIENT_001</t>
  </si>
  <si>
    <t>PATIENT_002</t>
  </si>
  <si>
    <t>PATIENT_003</t>
  </si>
  <si>
    <t>PATIENT_004</t>
  </si>
  <si>
    <t>PATIENT_005</t>
  </si>
  <si>
    <t>PATIENT_006</t>
  </si>
  <si>
    <t>PATIENT_007</t>
  </si>
  <si>
    <t>PATIENT_008</t>
  </si>
  <si>
    <t>PATIENT_009</t>
  </si>
  <si>
    <t>PATIENT_010</t>
  </si>
  <si>
    <t>PATIENT_011</t>
  </si>
  <si>
    <t>PATIENT_012</t>
  </si>
  <si>
    <t>PATIENT_013</t>
  </si>
  <si>
    <t>PATIENT_014</t>
  </si>
  <si>
    <t>PATIENT_015</t>
  </si>
  <si>
    <t>PATIENT_016</t>
  </si>
  <si>
    <t>PATIENT_017</t>
  </si>
  <si>
    <t>PATIENT_018</t>
  </si>
  <si>
    <t>PATIENT_019</t>
  </si>
  <si>
    <t>PATIENT_020</t>
  </si>
  <si>
    <t>PATIENT_021</t>
  </si>
  <si>
    <t>PATIENT_022</t>
  </si>
  <si>
    <t>PATIENT_023</t>
  </si>
  <si>
    <t>PATIENT_024</t>
  </si>
  <si>
    <t>PATIENT_025</t>
  </si>
  <si>
    <t>PATIENT_026</t>
  </si>
  <si>
    <t>PATIENT_027</t>
  </si>
  <si>
    <t>PATIENT_028</t>
  </si>
  <si>
    <t>PATIENT_029</t>
  </si>
  <si>
    <t>PATIENT_030</t>
  </si>
  <si>
    <t>PATIENT_031</t>
  </si>
  <si>
    <t>PATIENT_032</t>
  </si>
  <si>
    <t>PATIENT_033</t>
  </si>
  <si>
    <t>PATIENT_034</t>
  </si>
  <si>
    <t>PATIENT_035</t>
  </si>
  <si>
    <t>PATIENT_036</t>
  </si>
  <si>
    <t>PATIENT_037</t>
  </si>
  <si>
    <t>PATIENT_038</t>
  </si>
  <si>
    <t>PATIENT_039</t>
  </si>
  <si>
    <t>PATIENT_040</t>
  </si>
  <si>
    <t>PATIENT_041</t>
  </si>
  <si>
    <t>PATIENT_042</t>
  </si>
  <si>
    <t>PATIENT_043</t>
  </si>
  <si>
    <t>PATIENT_044</t>
  </si>
  <si>
    <t>PATIENT_045</t>
  </si>
  <si>
    <t>PATIENT_046</t>
  </si>
  <si>
    <t>PATIENT_047</t>
  </si>
  <si>
    <t>PATIENT_048</t>
  </si>
  <si>
    <t>PATIENT_049</t>
  </si>
  <si>
    <t>PATIENT_050</t>
  </si>
  <si>
    <t>PATIENT_051</t>
  </si>
  <si>
    <t>PATIENT_052</t>
  </si>
  <si>
    <t>PATIENT_053</t>
  </si>
  <si>
    <t>PATIENT_054</t>
  </si>
  <si>
    <t>PATIENT_055</t>
  </si>
  <si>
    <t>PATIENT_056</t>
  </si>
  <si>
    <t>PATIENT_057</t>
  </si>
  <si>
    <t>PATIENT_058</t>
  </si>
  <si>
    <t>PATIENT_059</t>
  </si>
  <si>
    <t>PATIENT_060</t>
  </si>
  <si>
    <t>PATIENT_061</t>
  </si>
  <si>
    <t>PATIENT_062</t>
  </si>
  <si>
    <t>PATIENT_063</t>
  </si>
  <si>
    <t>PATIENT_064</t>
  </si>
  <si>
    <t>PATIENT_065</t>
  </si>
  <si>
    <t>PATIENT_066</t>
  </si>
  <si>
    <t>PATIENT_067</t>
  </si>
  <si>
    <t>PATIENT_068</t>
  </si>
  <si>
    <t>PATIENT_069</t>
  </si>
  <si>
    <t>PATIENT_070</t>
  </si>
  <si>
    <t>PATIENT_071</t>
  </si>
  <si>
    <t>PATIENT_072</t>
  </si>
  <si>
    <t>PATIENT_073</t>
  </si>
  <si>
    <t>PATIENT_074</t>
  </si>
  <si>
    <t>PATIENT_075</t>
  </si>
  <si>
    <t>PATIENT_076</t>
  </si>
  <si>
    <t>PATIENT_077</t>
  </si>
  <si>
    <t>PATIENT_078</t>
  </si>
  <si>
    <t>PATIENT_079</t>
  </si>
  <si>
    <t>PATIENT_080</t>
  </si>
  <si>
    <t>PATIENT_081</t>
  </si>
  <si>
    <t>PATIENT_082</t>
  </si>
  <si>
    <t>PATIENT_083</t>
  </si>
  <si>
    <t>PATIENT_084</t>
  </si>
  <si>
    <t>PATIENT_085</t>
  </si>
  <si>
    <t>PATIENT_086</t>
  </si>
  <si>
    <t>PATIENT_087</t>
  </si>
  <si>
    <t>PATIENT_088</t>
  </si>
  <si>
    <t>PATIENT_089</t>
  </si>
  <si>
    <t>PATIENT_090</t>
  </si>
  <si>
    <t>PATIENT_091</t>
  </si>
  <si>
    <t>PATIENT_092</t>
  </si>
  <si>
    <t>PATIENT_093</t>
  </si>
  <si>
    <t>PATIENT_094</t>
  </si>
  <si>
    <t>PATIENT_095</t>
  </si>
  <si>
    <t>PATIENT_096</t>
  </si>
  <si>
    <t>PATIENT_097</t>
  </si>
  <si>
    <t>PATIENT_098</t>
  </si>
  <si>
    <t>PATIENT_099</t>
  </si>
  <si>
    <t>PATIENT_100</t>
  </si>
  <si>
    <t>PATIENT_101</t>
  </si>
  <si>
    <t>PATIENT_102</t>
  </si>
  <si>
    <t>PATIENT_103</t>
  </si>
  <si>
    <t>PATIENT_104</t>
  </si>
  <si>
    <t>PATIENT_105</t>
  </si>
  <si>
    <t>PATIENT_106</t>
  </si>
  <si>
    <t>PATIENT_107</t>
  </si>
  <si>
    <t>PATIENT_108</t>
  </si>
  <si>
    <t>PATIENT_109</t>
  </si>
  <si>
    <t>PATIENT_110</t>
  </si>
  <si>
    <t>PATIENT_111</t>
  </si>
  <si>
    <t>PATIENT_112</t>
  </si>
  <si>
    <t>PATIENT_113</t>
  </si>
  <si>
    <t>PATIENT_114</t>
  </si>
  <si>
    <t>PATIENT_115</t>
  </si>
  <si>
    <t>PATIENT_116</t>
  </si>
  <si>
    <t>PATIENT_117</t>
  </si>
  <si>
    <t>PATIENT_118</t>
  </si>
  <si>
    <t>PATIENT_119</t>
  </si>
  <si>
    <t>PATIENT_120</t>
  </si>
  <si>
    <t>PATIENT_121</t>
  </si>
  <si>
    <t>PATIENT_122</t>
  </si>
  <si>
    <t>PATIENT_123</t>
  </si>
  <si>
    <t>PATIENT_124</t>
  </si>
  <si>
    <t>PATIENT_0001</t>
  </si>
  <si>
    <t>PATIENT_0002</t>
  </si>
  <si>
    <t>PATIENT_0003</t>
  </si>
  <si>
    <t>PATIENT_0004</t>
  </si>
  <si>
    <t>PATIENT_0005</t>
  </si>
  <si>
    <t>PATIENT_0006</t>
  </si>
  <si>
    <t>PATIENT_0007</t>
  </si>
  <si>
    <t>PATIENT_0008</t>
  </si>
  <si>
    <t>PATIENT_0009</t>
  </si>
  <si>
    <t>PATIENT_0010</t>
  </si>
  <si>
    <t>PATIENT_0011</t>
  </si>
  <si>
    <t>PATIENT_0012</t>
  </si>
  <si>
    <t>PATIENT_0013</t>
  </si>
  <si>
    <t>PATIENT_0014</t>
  </si>
  <si>
    <t>PATIENT_0015</t>
  </si>
  <si>
    <t>PATIENT_0016</t>
  </si>
  <si>
    <t>PATIENT_0017</t>
  </si>
  <si>
    <t>PATIENT_0018</t>
  </si>
  <si>
    <t>PATIENT_0019</t>
  </si>
  <si>
    <t>PATIENT_0020</t>
  </si>
  <si>
    <t>PATIENT_0021</t>
  </si>
  <si>
    <t>PATIENT_0022</t>
  </si>
  <si>
    <t>PATIENT_0023</t>
  </si>
  <si>
    <t>PATIENT_0024</t>
  </si>
  <si>
    <t>PATIENT_0025</t>
  </si>
  <si>
    <t>PATIENT_0026</t>
  </si>
  <si>
    <t>PATIENT_0027</t>
  </si>
  <si>
    <t>PATIENT_0028</t>
  </si>
  <si>
    <t>PATIENT_0029</t>
  </si>
  <si>
    <t>PATIENT_0030</t>
  </si>
  <si>
    <t>PATIENT_0031</t>
  </si>
  <si>
    <t>PATIENT_0032</t>
  </si>
  <si>
    <t>PATIENT_0033</t>
  </si>
  <si>
    <t>PATIENT_0034</t>
  </si>
  <si>
    <t>PATIENT_0035</t>
  </si>
  <si>
    <t>PATIENT_0036</t>
  </si>
  <si>
    <t>PATIENT_0037</t>
  </si>
  <si>
    <t>PATIENT_0038</t>
  </si>
  <si>
    <t>PATIENT_0039</t>
  </si>
  <si>
    <t>PATIENT_0040</t>
  </si>
  <si>
    <t>PATIENT_0041</t>
  </si>
  <si>
    <t>PATIENT_0042</t>
  </si>
  <si>
    <t>PATIENT_0043</t>
  </si>
  <si>
    <t>PATIENT_0044</t>
  </si>
  <si>
    <t>PATIENT_0045</t>
  </si>
  <si>
    <t>PATIENT_0046</t>
  </si>
  <si>
    <t>PATIENT_0047</t>
  </si>
  <si>
    <t>PATIENT_0048</t>
  </si>
  <si>
    <t>PATIENT_0049</t>
  </si>
  <si>
    <t>PATIENT_0050</t>
  </si>
  <si>
    <t>PATIENT_0051</t>
  </si>
  <si>
    <t>PATIENT_0052</t>
  </si>
  <si>
    <t>PATIENT_0053</t>
  </si>
  <si>
    <t>PATIENT_0054</t>
  </si>
  <si>
    <t>PATIENT_0055</t>
  </si>
  <si>
    <t>PATIENT_0056</t>
  </si>
  <si>
    <t>PATIENT_0057</t>
  </si>
  <si>
    <t>PATIENT_0058</t>
  </si>
  <si>
    <t>PATIENT_0059</t>
  </si>
  <si>
    <t>PATIENT_0060</t>
  </si>
  <si>
    <t>PATIENT_0061</t>
  </si>
  <si>
    <t>PATIENT_0062</t>
  </si>
  <si>
    <t>PATIENT_0063</t>
  </si>
  <si>
    <t>PATIENT_0064</t>
  </si>
  <si>
    <t>PATIENT_0065</t>
  </si>
  <si>
    <t>PATIENT_0066</t>
  </si>
  <si>
    <t>PATIENT_0067</t>
  </si>
  <si>
    <t>PATIENT_0068</t>
  </si>
  <si>
    <t>PATIENT_0069</t>
  </si>
  <si>
    <t>PATIENT_0070</t>
  </si>
  <si>
    <t>PATIENT_0071</t>
  </si>
  <si>
    <t>PATIENT_0072</t>
  </si>
  <si>
    <t>PATIENT_0073</t>
  </si>
  <si>
    <t>PATIENT_0074</t>
  </si>
  <si>
    <t>PATIENT_0075</t>
  </si>
  <si>
    <t>PATIENT_0076</t>
  </si>
  <si>
    <t>PATIENT_0077</t>
  </si>
  <si>
    <t>PATIENT_0078</t>
  </si>
  <si>
    <t>PATIENT_0079</t>
  </si>
  <si>
    <t>PATIENT_0080</t>
  </si>
  <si>
    <t>PATIENT_0081</t>
  </si>
  <si>
    <t>PATIENT_0082</t>
  </si>
  <si>
    <t>PATIENT_0083</t>
  </si>
  <si>
    <t>PATIENT_0084</t>
  </si>
  <si>
    <t>PATIENT_0085</t>
  </si>
  <si>
    <t>PATIENT_0086</t>
  </si>
  <si>
    <t>PATIENT_0087</t>
  </si>
  <si>
    <t>PATIENT_0088</t>
  </si>
  <si>
    <t>PATIENT_0089</t>
  </si>
  <si>
    <t>PATIENT_0090</t>
  </si>
  <si>
    <t>PATIENT_0091</t>
  </si>
  <si>
    <t>PATIENT_0092</t>
  </si>
  <si>
    <t>PATIENT_0093</t>
  </si>
  <si>
    <t>PATIENT_0094</t>
  </si>
  <si>
    <t>PATIENT_0095</t>
  </si>
  <si>
    <t>PATIENT_0096</t>
  </si>
  <si>
    <t>PATIENT_0097</t>
  </si>
  <si>
    <t>PATIENT_0098</t>
  </si>
  <si>
    <t>PATIENT_0099</t>
  </si>
  <si>
    <t>PATIENT_0100</t>
  </si>
  <si>
    <t>PATIENT_0101</t>
  </si>
  <si>
    <t>PATIENT_0102</t>
  </si>
  <si>
    <t>PATIENT_0103</t>
  </si>
  <si>
    <t>PATIENT_0104</t>
  </si>
  <si>
    <t>PATIENT_0105</t>
  </si>
  <si>
    <t>PATIENT_0106</t>
  </si>
  <si>
    <t>PATIENT_0107</t>
  </si>
  <si>
    <t>PATIENT_0108</t>
  </si>
  <si>
    <t>PATIENT_0109</t>
  </si>
  <si>
    <t>PATIENT_0110</t>
  </si>
  <si>
    <t>PATIENT_0111</t>
  </si>
  <si>
    <t>PATIENT_0112</t>
  </si>
  <si>
    <t>PATIENT_0113</t>
  </si>
  <si>
    <t>PATIENT_0114</t>
  </si>
  <si>
    <t>PATIENT_0115</t>
  </si>
  <si>
    <t>PATIENT_0116</t>
  </si>
  <si>
    <t>PATIENT_0117</t>
  </si>
  <si>
    <t>PATIENT_0118</t>
  </si>
  <si>
    <t>PATIENT_0119</t>
  </si>
  <si>
    <t>PATIENT_0120</t>
  </si>
  <si>
    <t>PATIENT_0121</t>
  </si>
  <si>
    <t>PATIENT_0122</t>
  </si>
  <si>
    <t>PATIENT_0123</t>
  </si>
  <si>
    <t>PATIENT_0124</t>
  </si>
  <si>
    <t>PATIENT_0125</t>
  </si>
  <si>
    <t>PATIENT_0126</t>
  </si>
  <si>
    <t>PATIENT_0127</t>
  </si>
  <si>
    <t>PATIENT_0128</t>
  </si>
  <si>
    <t>PATIENT_0129</t>
  </si>
  <si>
    <t>PATIENT_0130</t>
  </si>
  <si>
    <t>PATIENT_0131</t>
  </si>
  <si>
    <t>PATIENT_0132</t>
  </si>
  <si>
    <t>PATIENT_0133</t>
  </si>
  <si>
    <t>PATIENT_0134</t>
  </si>
  <si>
    <t>PATIENT_0135</t>
  </si>
  <si>
    <t>PATIENT_0136</t>
  </si>
  <si>
    <t>PATIENT_0137</t>
  </si>
  <si>
    <t>PATIENT_0138</t>
  </si>
  <si>
    <t>PATIENT_0139</t>
  </si>
  <si>
    <t>PATIENT_0140</t>
  </si>
  <si>
    <t>PATIENT_0141</t>
  </si>
  <si>
    <t>PATIENT_0142</t>
  </si>
  <si>
    <t>PATIENT_0143</t>
  </si>
  <si>
    <t>PATIENT_0144</t>
  </si>
  <si>
    <t>PATIENT_0145</t>
  </si>
  <si>
    <t>PATIENT_0146</t>
  </si>
  <si>
    <t>PATIENT_0147</t>
  </si>
  <si>
    <t>PATIENT_0148</t>
  </si>
  <si>
    <t>PATIENT_0149</t>
  </si>
  <si>
    <t>PATIENT_0150</t>
  </si>
  <si>
    <t>Insertar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</si>
</sst>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2" formatCode="_-&quot;$&quot;\ * #,##0_-;\-&quot;$&quot;\ * #,##0_-;_-&quot;$&quot;\ * &quot;-&quot;_-;_-@_-"/>
  </numFmts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9" tint="0.79998168889431442"/>
        <bgColor theme="9" tint="0.79998168889431442"/>
      </patternFill>
    </fill>
    <fill>
      <patternFill patternType="solid">
        <fgColor theme="5"/>
        <bgColor indexed="64"/>
      </patternFill>
    </fill>
    <fill>
      <patternFill patternType="solid">
        <fgColor theme="5"/>
        <bgColor theme="9"/>
      </patternFill>
    </fill>
    <fill>
      <patternFill patternType="solid">
        <fgColor theme="5"/>
        <bgColor theme="9" tint="0.79998168889431442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</borders>
  <cellStyleXfs count="2">
    <xf numFmtId="0" fontId="0" fillId="0" borderId="0"/>
    <xf numFmtId="42" fontId="2" fillId="0" borderId="0" applyFont="0" applyFill="0" applyBorder="0" applyAlignment="0" applyProtection="0"/>
  </cellStyleXfs>
  <cellXfs count="17">
    <xf numFmtId="0" fontId="0" fillId="0" borderId="0" xfId="0"/>
    <xf numFmtId="0" fontId="0" fillId="2" borderId="1" xfId="0" applyFill="1" applyBorder="1"/>
    <xf numFmtId="4" fontId="0" fillId="2" borderId="1" xfId="1" applyNumberFormat="1" applyFont="1" applyFill="1" applyBorder="1"/>
    <xf numFmtId="4" fontId="0" fillId="0" borderId="1" xfId="0" applyNumberFormat="1" applyBorder="1"/>
    <xf numFmtId="0" fontId="0" fillId="0" borderId="1" xfId="0" applyBorder="1"/>
    <xf numFmtId="4" fontId="0" fillId="2" borderId="1" xfId="0" applyNumberFormat="1" applyFill="1" applyBorder="1"/>
    <xf numFmtId="0" fontId="0" fillId="3" borderId="1" xfId="0" applyFill="1" applyBorder="1"/>
    <xf numFmtId="0" fontId="0" fillId="5" borderId="1" xfId="0" applyFill="1" applyBorder="1"/>
    <xf numFmtId="0" fontId="1" fillId="4" borderId="2" xfId="0" applyFont="1" applyFill="1" applyBorder="1"/>
    <xf numFmtId="0" fontId="0" fillId="0" borderId="3" xfId="0" applyBorder="1"/>
    <xf numFmtId="4" fontId="0" fillId="0" borderId="3" xfId="0" applyNumberFormat="1" applyBorder="1"/>
    <xf numFmtId="0" fontId="0" fillId="3" borderId="4" xfId="0" applyFill="1" applyBorder="1"/>
    <xf numFmtId="0" fontId="1" fillId="4" borderId="5" xfId="0" applyFont="1" applyFill="1" applyBorder="1"/>
    <xf numFmtId="0" fontId="1" fillId="3" borderId="6" xfId="0" applyFont="1" applyFill="1" applyBorder="1" applyAlignment="1">
      <alignment horizontal="center" vertical="center"/>
    </xf>
    <xf numFmtId="0" fontId="0" fillId="0" borderId="7" xfId="0" applyBorder="1"/>
    <xf numFmtId="0" fontId="1" fillId="3" borderId="8" xfId="0" applyFont="1" applyFill="1" applyBorder="1" applyAlignment="1">
      <alignment horizontal="center" vertical="center"/>
    </xf>
    <xf numFmtId="0" fontId="0" fillId="0" borderId="9" xfId="0" applyBorder="1"/>
  </cellXfs>
  <cellStyles count="2">
    <cellStyle name="Moneda [0]" xfId="1" builtinId="7"/>
    <cellStyle name="Normal" xfId="0" builtinId="0"/>
  </cellStyles>
  <dxfs count="6">
    <dxf>
      <font>
        <b/>
        <i val="0"/>
        <color theme="0"/>
      </font>
      <fill>
        <patternFill>
          <bgColor theme="9"/>
        </patternFill>
      </fill>
    </dxf>
    <dxf>
      <fill>
        <patternFill>
          <bgColor rgb="FFFF4F4F"/>
        </patternFill>
      </fill>
    </dxf>
    <dxf>
      <font>
        <strike val="0"/>
      </font>
      <fill>
        <patternFill>
          <bgColor theme="2" tint="-9.9948118533890809E-2"/>
        </patternFill>
      </fill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colors>
    <mruColors>
      <color rgb="FFFF4F4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10" Type="http://schemas.openxmlformats.org/officeDocument/2006/relationships/customXml" Target="../customXml/item1.xml"/><Relationship Id="rId4" Type="http://schemas.openxmlformats.org/officeDocument/2006/relationships/theme" Target="theme/theme1.xml"/><Relationship Id="rId9" Type="http://schemas.openxmlformats.org/officeDocument/2006/relationships/calcChain" Target="calcChain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B6A7FFB-3A9C-44F4-BCF0-384629DE379C}" name="Raw_Data_hematograma_" displayName="Raw_Data_hematograma_" ref="A1:C2401" totalsRowShown="0">
  <autoFilter ref="A1:C2401" xr:uid="{3B6A7FFB-3A9C-44F4-BCF0-384629DE379C}"/>
  <tableColumns count="3">
    <tableColumn id="1" xr3:uid="{913922D3-CE83-4D90-81D2-69AC57D568C2}" name="Source.Name" dataDxfId="5"/>
    <tableColumn id="2" xr3:uid="{9FAE33DD-D6E2-4E34-938D-6CFEF7B2CC36}" name="Ítem | Unidad | Rango" dataDxfId="4"/>
    <tableColumn id="3" xr3:uid="{E0FD4E6D-7230-4423-BF84-A5B3EF478292}" name="Resultado" dataDxfId="3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0704FA-8156-490C-B528-8BE2348A1678}">
  <dimension ref="A1:C2401"/>
  <sheetViews>
    <sheetView workbookViewId="0">
      <selection sqref="A1:C2401"/>
    </sheetView>
  </sheetViews>
  <sheetFormatPr baseColWidth="10" defaultRowHeight="15" x14ac:dyDescent="0.25"/>
  <cols>
    <col min="1" max="1" width="15.42578125" bestFit="1" customWidth="1"/>
    <col min="2" max="2" width="36" bestFit="1" customWidth="1"/>
    <col min="3" max="3" width="12.42578125" bestFit="1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1181</v>
      </c>
      <c r="B2" t="s">
        <v>3</v>
      </c>
      <c r="C2" t="s">
        <v>4</v>
      </c>
    </row>
    <row r="3" spans="1:3" x14ac:dyDescent="0.25">
      <c r="A3" t="s">
        <v>1181</v>
      </c>
      <c r="B3" t="s">
        <v>5</v>
      </c>
      <c r="C3" t="s">
        <v>6</v>
      </c>
    </row>
    <row r="4" spans="1:3" x14ac:dyDescent="0.25">
      <c r="A4" t="s">
        <v>1181</v>
      </c>
      <c r="B4" t="s">
        <v>7</v>
      </c>
      <c r="C4" t="s">
        <v>8</v>
      </c>
    </row>
    <row r="5" spans="1:3" x14ac:dyDescent="0.25">
      <c r="A5" t="s">
        <v>1181</v>
      </c>
      <c r="B5" t="s">
        <v>9</v>
      </c>
      <c r="C5" t="s">
        <v>10</v>
      </c>
    </row>
    <row r="6" spans="1:3" x14ac:dyDescent="0.25">
      <c r="A6" t="s">
        <v>1181</v>
      </c>
      <c r="B6" t="s">
        <v>11</v>
      </c>
      <c r="C6" t="s">
        <v>12</v>
      </c>
    </row>
    <row r="7" spans="1:3" x14ac:dyDescent="0.25">
      <c r="A7" t="s">
        <v>1181</v>
      </c>
      <c r="B7" t="s">
        <v>13</v>
      </c>
      <c r="C7" t="s">
        <v>14</v>
      </c>
    </row>
    <row r="8" spans="1:3" x14ac:dyDescent="0.25">
      <c r="A8" t="s">
        <v>1181</v>
      </c>
      <c r="B8" t="s">
        <v>15</v>
      </c>
      <c r="C8" t="s">
        <v>16</v>
      </c>
    </row>
    <row r="9" spans="1:3" x14ac:dyDescent="0.25">
      <c r="A9" t="s">
        <v>1181</v>
      </c>
      <c r="B9" t="s">
        <v>17</v>
      </c>
      <c r="C9" t="s">
        <v>18</v>
      </c>
    </row>
    <row r="10" spans="1:3" x14ac:dyDescent="0.25">
      <c r="A10" t="s">
        <v>1181</v>
      </c>
      <c r="B10" t="s">
        <v>19</v>
      </c>
      <c r="C10" t="s">
        <v>20</v>
      </c>
    </row>
    <row r="11" spans="1:3" x14ac:dyDescent="0.25">
      <c r="A11" t="s">
        <v>1181</v>
      </c>
      <c r="B11" t="s">
        <v>21</v>
      </c>
      <c r="C11" t="s">
        <v>22</v>
      </c>
    </row>
    <row r="12" spans="1:3" x14ac:dyDescent="0.25">
      <c r="A12" t="s">
        <v>1181</v>
      </c>
      <c r="B12" t="s">
        <v>23</v>
      </c>
      <c r="C12" t="s">
        <v>24</v>
      </c>
    </row>
    <row r="13" spans="1:3" x14ac:dyDescent="0.25">
      <c r="A13" t="s">
        <v>1181</v>
      </c>
      <c r="B13" t="s">
        <v>25</v>
      </c>
      <c r="C13" t="s">
        <v>26</v>
      </c>
    </row>
    <row r="14" spans="1:3" x14ac:dyDescent="0.25">
      <c r="A14" t="s">
        <v>1181</v>
      </c>
      <c r="B14" t="s">
        <v>27</v>
      </c>
      <c r="C14" t="s">
        <v>28</v>
      </c>
    </row>
    <row r="15" spans="1:3" x14ac:dyDescent="0.25">
      <c r="A15" t="s">
        <v>1181</v>
      </c>
      <c r="B15" t="s">
        <v>29</v>
      </c>
      <c r="C15" t="s">
        <v>30</v>
      </c>
    </row>
    <row r="16" spans="1:3" x14ac:dyDescent="0.25">
      <c r="A16" t="s">
        <v>1181</v>
      </c>
      <c r="B16" t="s">
        <v>31</v>
      </c>
      <c r="C16" t="s">
        <v>32</v>
      </c>
    </row>
    <row r="17" spans="1:3" x14ac:dyDescent="0.25">
      <c r="A17" t="s">
        <v>1181</v>
      </c>
      <c r="B17" t="s">
        <v>33</v>
      </c>
      <c r="C17" t="s">
        <v>34</v>
      </c>
    </row>
    <row r="18" spans="1:3" x14ac:dyDescent="0.25">
      <c r="A18" t="s">
        <v>1182</v>
      </c>
      <c r="B18" t="s">
        <v>3</v>
      </c>
      <c r="C18" t="s">
        <v>35</v>
      </c>
    </row>
    <row r="19" spans="1:3" x14ac:dyDescent="0.25">
      <c r="A19" t="s">
        <v>1182</v>
      </c>
      <c r="B19" t="s">
        <v>5</v>
      </c>
      <c r="C19" t="s">
        <v>36</v>
      </c>
    </row>
    <row r="20" spans="1:3" x14ac:dyDescent="0.25">
      <c r="A20" t="s">
        <v>1182</v>
      </c>
      <c r="B20" t="s">
        <v>7</v>
      </c>
      <c r="C20" t="s">
        <v>37</v>
      </c>
    </row>
    <row r="21" spans="1:3" x14ac:dyDescent="0.25">
      <c r="A21" t="s">
        <v>1182</v>
      </c>
      <c r="B21" t="s">
        <v>9</v>
      </c>
      <c r="C21" t="s">
        <v>38</v>
      </c>
    </row>
    <row r="22" spans="1:3" x14ac:dyDescent="0.25">
      <c r="A22" t="s">
        <v>1182</v>
      </c>
      <c r="B22" t="s">
        <v>11</v>
      </c>
      <c r="C22" t="s">
        <v>39</v>
      </c>
    </row>
    <row r="23" spans="1:3" x14ac:dyDescent="0.25">
      <c r="A23" t="s">
        <v>1182</v>
      </c>
      <c r="B23" t="s">
        <v>13</v>
      </c>
      <c r="C23" t="s">
        <v>40</v>
      </c>
    </row>
    <row r="24" spans="1:3" x14ac:dyDescent="0.25">
      <c r="A24" t="s">
        <v>1182</v>
      </c>
      <c r="B24" t="s">
        <v>15</v>
      </c>
      <c r="C24" t="s">
        <v>41</v>
      </c>
    </row>
    <row r="25" spans="1:3" x14ac:dyDescent="0.25">
      <c r="A25" t="s">
        <v>1182</v>
      </c>
      <c r="B25" t="s">
        <v>17</v>
      </c>
      <c r="C25" t="s">
        <v>42</v>
      </c>
    </row>
    <row r="26" spans="1:3" x14ac:dyDescent="0.25">
      <c r="A26" t="s">
        <v>1182</v>
      </c>
      <c r="B26" t="s">
        <v>19</v>
      </c>
      <c r="C26" t="s">
        <v>43</v>
      </c>
    </row>
    <row r="27" spans="1:3" x14ac:dyDescent="0.25">
      <c r="A27" t="s">
        <v>1182</v>
      </c>
      <c r="B27" t="s">
        <v>21</v>
      </c>
      <c r="C27" t="s">
        <v>44</v>
      </c>
    </row>
    <row r="28" spans="1:3" x14ac:dyDescent="0.25">
      <c r="A28" t="s">
        <v>1182</v>
      </c>
      <c r="B28" t="s">
        <v>23</v>
      </c>
      <c r="C28" t="s">
        <v>45</v>
      </c>
    </row>
    <row r="29" spans="1:3" x14ac:dyDescent="0.25">
      <c r="A29" t="s">
        <v>1182</v>
      </c>
      <c r="B29" t="s">
        <v>25</v>
      </c>
      <c r="C29" t="s">
        <v>45</v>
      </c>
    </row>
    <row r="30" spans="1:3" x14ac:dyDescent="0.25">
      <c r="A30" t="s">
        <v>1182</v>
      </c>
      <c r="B30" t="s">
        <v>27</v>
      </c>
      <c r="C30" t="s">
        <v>45</v>
      </c>
    </row>
    <row r="31" spans="1:3" x14ac:dyDescent="0.25">
      <c r="A31" t="s">
        <v>1182</v>
      </c>
      <c r="B31" t="s">
        <v>29</v>
      </c>
      <c r="C31" t="s">
        <v>45</v>
      </c>
    </row>
    <row r="32" spans="1:3" x14ac:dyDescent="0.25">
      <c r="A32" t="s">
        <v>1182</v>
      </c>
      <c r="B32" t="s">
        <v>31</v>
      </c>
      <c r="C32" t="s">
        <v>46</v>
      </c>
    </row>
    <row r="33" spans="1:3" x14ac:dyDescent="0.25">
      <c r="A33" t="s">
        <v>1182</v>
      </c>
      <c r="B33" t="s">
        <v>33</v>
      </c>
      <c r="C33" t="s">
        <v>45</v>
      </c>
    </row>
    <row r="34" spans="1:3" x14ac:dyDescent="0.25">
      <c r="A34" t="s">
        <v>1183</v>
      </c>
      <c r="B34" t="s">
        <v>3</v>
      </c>
      <c r="C34" t="s">
        <v>47</v>
      </c>
    </row>
    <row r="35" spans="1:3" x14ac:dyDescent="0.25">
      <c r="A35" t="s">
        <v>1183</v>
      </c>
      <c r="B35" t="s">
        <v>5</v>
      </c>
      <c r="C35" t="s">
        <v>48</v>
      </c>
    </row>
    <row r="36" spans="1:3" x14ac:dyDescent="0.25">
      <c r="A36" t="s">
        <v>1183</v>
      </c>
      <c r="B36" t="s">
        <v>7</v>
      </c>
      <c r="C36" t="s">
        <v>49</v>
      </c>
    </row>
    <row r="37" spans="1:3" x14ac:dyDescent="0.25">
      <c r="A37" t="s">
        <v>1183</v>
      </c>
      <c r="B37" t="s">
        <v>9</v>
      </c>
      <c r="C37" t="s">
        <v>50</v>
      </c>
    </row>
    <row r="38" spans="1:3" x14ac:dyDescent="0.25">
      <c r="A38" t="s">
        <v>1183</v>
      </c>
      <c r="B38" t="s">
        <v>11</v>
      </c>
      <c r="C38" t="s">
        <v>51</v>
      </c>
    </row>
    <row r="39" spans="1:3" x14ac:dyDescent="0.25">
      <c r="A39" t="s">
        <v>1183</v>
      </c>
      <c r="B39" t="s">
        <v>13</v>
      </c>
      <c r="C39" t="s">
        <v>52</v>
      </c>
    </row>
    <row r="40" spans="1:3" x14ac:dyDescent="0.25">
      <c r="A40" t="s">
        <v>1183</v>
      </c>
      <c r="B40" t="s">
        <v>15</v>
      </c>
      <c r="C40" t="s">
        <v>53</v>
      </c>
    </row>
    <row r="41" spans="1:3" x14ac:dyDescent="0.25">
      <c r="A41" t="s">
        <v>1183</v>
      </c>
      <c r="B41" t="s">
        <v>17</v>
      </c>
      <c r="C41" t="s">
        <v>54</v>
      </c>
    </row>
    <row r="42" spans="1:3" x14ac:dyDescent="0.25">
      <c r="A42" t="s">
        <v>1183</v>
      </c>
      <c r="B42" t="s">
        <v>19</v>
      </c>
      <c r="C42" t="s">
        <v>55</v>
      </c>
    </row>
    <row r="43" spans="1:3" x14ac:dyDescent="0.25">
      <c r="A43" t="s">
        <v>1183</v>
      </c>
      <c r="B43" t="s">
        <v>21</v>
      </c>
      <c r="C43" t="s">
        <v>56</v>
      </c>
    </row>
    <row r="44" spans="1:3" x14ac:dyDescent="0.25">
      <c r="A44" t="s">
        <v>1183</v>
      </c>
      <c r="B44" t="s">
        <v>23</v>
      </c>
      <c r="C44" t="s">
        <v>57</v>
      </c>
    </row>
    <row r="45" spans="1:3" x14ac:dyDescent="0.25">
      <c r="A45" t="s">
        <v>1183</v>
      </c>
      <c r="B45" t="s">
        <v>25</v>
      </c>
      <c r="C45" t="s">
        <v>58</v>
      </c>
    </row>
    <row r="46" spans="1:3" x14ac:dyDescent="0.25">
      <c r="A46" t="s">
        <v>1183</v>
      </c>
      <c r="B46" t="s">
        <v>27</v>
      </c>
      <c r="C46" t="s">
        <v>59</v>
      </c>
    </row>
    <row r="47" spans="1:3" x14ac:dyDescent="0.25">
      <c r="A47" t="s">
        <v>1183</v>
      </c>
      <c r="B47" t="s">
        <v>29</v>
      </c>
      <c r="C47" t="s">
        <v>60</v>
      </c>
    </row>
    <row r="48" spans="1:3" x14ac:dyDescent="0.25">
      <c r="A48" t="s">
        <v>1183</v>
      </c>
      <c r="B48" t="s">
        <v>31</v>
      </c>
      <c r="C48" t="s">
        <v>61</v>
      </c>
    </row>
    <row r="49" spans="1:3" x14ac:dyDescent="0.25">
      <c r="A49" t="s">
        <v>1183</v>
      </c>
      <c r="B49" t="s">
        <v>33</v>
      </c>
      <c r="C49" t="s">
        <v>62</v>
      </c>
    </row>
    <row r="50" spans="1:3" x14ac:dyDescent="0.25">
      <c r="A50" t="s">
        <v>1184</v>
      </c>
      <c r="B50" t="s">
        <v>3</v>
      </c>
      <c r="C50" t="s">
        <v>63</v>
      </c>
    </row>
    <row r="51" spans="1:3" x14ac:dyDescent="0.25">
      <c r="A51" t="s">
        <v>1184</v>
      </c>
      <c r="B51" t="s">
        <v>5</v>
      </c>
      <c r="C51" t="s">
        <v>64</v>
      </c>
    </row>
    <row r="52" spans="1:3" x14ac:dyDescent="0.25">
      <c r="A52" t="s">
        <v>1184</v>
      </c>
      <c r="B52" t="s">
        <v>7</v>
      </c>
      <c r="C52" t="s">
        <v>65</v>
      </c>
    </row>
    <row r="53" spans="1:3" x14ac:dyDescent="0.25">
      <c r="A53" t="s">
        <v>1184</v>
      </c>
      <c r="B53" t="s">
        <v>9</v>
      </c>
      <c r="C53" t="s">
        <v>66</v>
      </c>
    </row>
    <row r="54" spans="1:3" x14ac:dyDescent="0.25">
      <c r="A54" t="s">
        <v>1184</v>
      </c>
      <c r="B54" t="s">
        <v>11</v>
      </c>
      <c r="C54" t="s">
        <v>52</v>
      </c>
    </row>
    <row r="55" spans="1:3" x14ac:dyDescent="0.25">
      <c r="A55" t="s">
        <v>1184</v>
      </c>
      <c r="B55" t="s">
        <v>13</v>
      </c>
      <c r="C55" t="s">
        <v>14</v>
      </c>
    </row>
    <row r="56" spans="1:3" x14ac:dyDescent="0.25">
      <c r="A56" t="s">
        <v>1184</v>
      </c>
      <c r="B56" t="s">
        <v>15</v>
      </c>
      <c r="C56" t="s">
        <v>67</v>
      </c>
    </row>
    <row r="57" spans="1:3" x14ac:dyDescent="0.25">
      <c r="A57" t="s">
        <v>1184</v>
      </c>
      <c r="B57" t="s">
        <v>17</v>
      </c>
      <c r="C57" t="s">
        <v>68</v>
      </c>
    </row>
    <row r="58" spans="1:3" x14ac:dyDescent="0.25">
      <c r="A58" t="s">
        <v>1184</v>
      </c>
      <c r="B58" t="s">
        <v>19</v>
      </c>
      <c r="C58" t="s">
        <v>69</v>
      </c>
    </row>
    <row r="59" spans="1:3" x14ac:dyDescent="0.25">
      <c r="A59" t="s">
        <v>1184</v>
      </c>
      <c r="B59" t="s">
        <v>21</v>
      </c>
      <c r="C59" t="s">
        <v>70</v>
      </c>
    </row>
    <row r="60" spans="1:3" x14ac:dyDescent="0.25">
      <c r="A60" t="s">
        <v>1184</v>
      </c>
      <c r="B60" t="s">
        <v>23</v>
      </c>
      <c r="C60" t="s">
        <v>71</v>
      </c>
    </row>
    <row r="61" spans="1:3" x14ac:dyDescent="0.25">
      <c r="A61" t="s">
        <v>1184</v>
      </c>
      <c r="B61" t="s">
        <v>25</v>
      </c>
      <c r="C61" t="s">
        <v>72</v>
      </c>
    </row>
    <row r="62" spans="1:3" x14ac:dyDescent="0.25">
      <c r="A62" t="s">
        <v>1184</v>
      </c>
      <c r="B62" t="s">
        <v>27</v>
      </c>
      <c r="C62" t="s">
        <v>73</v>
      </c>
    </row>
    <row r="63" spans="1:3" x14ac:dyDescent="0.25">
      <c r="A63" t="s">
        <v>1184</v>
      </c>
      <c r="B63" t="s">
        <v>29</v>
      </c>
      <c r="C63" t="s">
        <v>58</v>
      </c>
    </row>
    <row r="64" spans="1:3" x14ac:dyDescent="0.25">
      <c r="A64" t="s">
        <v>1184</v>
      </c>
      <c r="B64" t="s">
        <v>31</v>
      </c>
      <c r="C64" t="s">
        <v>74</v>
      </c>
    </row>
    <row r="65" spans="1:3" x14ac:dyDescent="0.25">
      <c r="A65" t="s">
        <v>1184</v>
      </c>
      <c r="B65" t="s">
        <v>33</v>
      </c>
      <c r="C65" t="s">
        <v>75</v>
      </c>
    </row>
    <row r="66" spans="1:3" x14ac:dyDescent="0.25">
      <c r="A66" t="s">
        <v>1185</v>
      </c>
      <c r="B66" t="s">
        <v>3</v>
      </c>
      <c r="C66" t="s">
        <v>76</v>
      </c>
    </row>
    <row r="67" spans="1:3" x14ac:dyDescent="0.25">
      <c r="A67" t="s">
        <v>1185</v>
      </c>
      <c r="B67" t="s">
        <v>5</v>
      </c>
      <c r="C67" t="s">
        <v>77</v>
      </c>
    </row>
    <row r="68" spans="1:3" x14ac:dyDescent="0.25">
      <c r="A68" t="s">
        <v>1185</v>
      </c>
      <c r="B68" t="s">
        <v>7</v>
      </c>
      <c r="C68" t="s">
        <v>78</v>
      </c>
    </row>
    <row r="69" spans="1:3" x14ac:dyDescent="0.25">
      <c r="A69" t="s">
        <v>1185</v>
      </c>
      <c r="B69" t="s">
        <v>9</v>
      </c>
      <c r="C69" t="s">
        <v>79</v>
      </c>
    </row>
    <row r="70" spans="1:3" x14ac:dyDescent="0.25">
      <c r="A70" t="s">
        <v>1185</v>
      </c>
      <c r="B70" t="s">
        <v>11</v>
      </c>
      <c r="C70" t="s">
        <v>80</v>
      </c>
    </row>
    <row r="71" spans="1:3" x14ac:dyDescent="0.25">
      <c r="A71" t="s">
        <v>1185</v>
      </c>
      <c r="B71" t="s">
        <v>13</v>
      </c>
      <c r="C71" t="s">
        <v>12</v>
      </c>
    </row>
    <row r="72" spans="1:3" x14ac:dyDescent="0.25">
      <c r="A72" t="s">
        <v>1185</v>
      </c>
      <c r="B72" t="s">
        <v>15</v>
      </c>
      <c r="C72" t="s">
        <v>81</v>
      </c>
    </row>
    <row r="73" spans="1:3" x14ac:dyDescent="0.25">
      <c r="A73" t="s">
        <v>1185</v>
      </c>
      <c r="B73" t="s">
        <v>17</v>
      </c>
      <c r="C73" t="s">
        <v>82</v>
      </c>
    </row>
    <row r="74" spans="1:3" x14ac:dyDescent="0.25">
      <c r="A74" t="s">
        <v>1185</v>
      </c>
      <c r="B74" t="s">
        <v>19</v>
      </c>
      <c r="C74" t="s">
        <v>83</v>
      </c>
    </row>
    <row r="75" spans="1:3" x14ac:dyDescent="0.25">
      <c r="A75" t="s">
        <v>1185</v>
      </c>
      <c r="B75" t="s">
        <v>21</v>
      </c>
      <c r="C75" t="s">
        <v>84</v>
      </c>
    </row>
    <row r="76" spans="1:3" x14ac:dyDescent="0.25">
      <c r="A76" t="s">
        <v>1185</v>
      </c>
      <c r="B76" t="s">
        <v>23</v>
      </c>
      <c r="C76" t="s">
        <v>85</v>
      </c>
    </row>
    <row r="77" spans="1:3" x14ac:dyDescent="0.25">
      <c r="A77" t="s">
        <v>1185</v>
      </c>
      <c r="B77" t="s">
        <v>25</v>
      </c>
      <c r="C77" t="s">
        <v>86</v>
      </c>
    </row>
    <row r="78" spans="1:3" x14ac:dyDescent="0.25">
      <c r="A78" t="s">
        <v>1185</v>
      </c>
      <c r="B78" t="s">
        <v>27</v>
      </c>
      <c r="C78" t="s">
        <v>87</v>
      </c>
    </row>
    <row r="79" spans="1:3" x14ac:dyDescent="0.25">
      <c r="A79" t="s">
        <v>1185</v>
      </c>
      <c r="B79" t="s">
        <v>29</v>
      </c>
      <c r="C79" t="s">
        <v>88</v>
      </c>
    </row>
    <row r="80" spans="1:3" x14ac:dyDescent="0.25">
      <c r="A80" t="s">
        <v>1185</v>
      </c>
      <c r="B80" t="s">
        <v>31</v>
      </c>
      <c r="C80" t="s">
        <v>89</v>
      </c>
    </row>
    <row r="81" spans="1:3" x14ac:dyDescent="0.25">
      <c r="A81" t="s">
        <v>1185</v>
      </c>
      <c r="B81" t="s">
        <v>33</v>
      </c>
      <c r="C81" t="s">
        <v>90</v>
      </c>
    </row>
    <row r="82" spans="1:3" x14ac:dyDescent="0.25">
      <c r="A82" t="s">
        <v>1186</v>
      </c>
      <c r="B82" t="s">
        <v>3</v>
      </c>
      <c r="C82" t="s">
        <v>91</v>
      </c>
    </row>
    <row r="83" spans="1:3" x14ac:dyDescent="0.25">
      <c r="A83" t="s">
        <v>1186</v>
      </c>
      <c r="B83" t="s">
        <v>5</v>
      </c>
      <c r="C83" t="s">
        <v>92</v>
      </c>
    </row>
    <row r="84" spans="1:3" x14ac:dyDescent="0.25">
      <c r="A84" t="s">
        <v>1186</v>
      </c>
      <c r="B84" t="s">
        <v>7</v>
      </c>
      <c r="C84" t="s">
        <v>49</v>
      </c>
    </row>
    <row r="85" spans="1:3" x14ac:dyDescent="0.25">
      <c r="A85" t="s">
        <v>1186</v>
      </c>
      <c r="B85" t="s">
        <v>9</v>
      </c>
      <c r="C85" t="s">
        <v>93</v>
      </c>
    </row>
    <row r="86" spans="1:3" x14ac:dyDescent="0.25">
      <c r="A86" t="s">
        <v>1186</v>
      </c>
      <c r="B86" t="s">
        <v>11</v>
      </c>
      <c r="C86" t="s">
        <v>94</v>
      </c>
    </row>
    <row r="87" spans="1:3" x14ac:dyDescent="0.25">
      <c r="A87" t="s">
        <v>1186</v>
      </c>
      <c r="B87" t="s">
        <v>13</v>
      </c>
      <c r="C87" t="s">
        <v>95</v>
      </c>
    </row>
    <row r="88" spans="1:3" x14ac:dyDescent="0.25">
      <c r="A88" t="s">
        <v>1186</v>
      </c>
      <c r="B88" t="s">
        <v>15</v>
      </c>
      <c r="C88" t="s">
        <v>96</v>
      </c>
    </row>
    <row r="89" spans="1:3" x14ac:dyDescent="0.25">
      <c r="A89" t="s">
        <v>1186</v>
      </c>
      <c r="B89" t="s">
        <v>17</v>
      </c>
      <c r="C89" t="s">
        <v>97</v>
      </c>
    </row>
    <row r="90" spans="1:3" x14ac:dyDescent="0.25">
      <c r="A90" t="s">
        <v>1186</v>
      </c>
      <c r="B90" t="s">
        <v>19</v>
      </c>
      <c r="C90" t="s">
        <v>98</v>
      </c>
    </row>
    <row r="91" spans="1:3" x14ac:dyDescent="0.25">
      <c r="A91" t="s">
        <v>1186</v>
      </c>
      <c r="B91" t="s">
        <v>21</v>
      </c>
      <c r="C91" t="s">
        <v>99</v>
      </c>
    </row>
    <row r="92" spans="1:3" x14ac:dyDescent="0.25">
      <c r="A92" t="s">
        <v>1186</v>
      </c>
      <c r="B92" t="s">
        <v>23</v>
      </c>
      <c r="C92" t="s">
        <v>100</v>
      </c>
    </row>
    <row r="93" spans="1:3" x14ac:dyDescent="0.25">
      <c r="A93" t="s">
        <v>1186</v>
      </c>
      <c r="B93" t="s">
        <v>25</v>
      </c>
      <c r="C93" t="s">
        <v>101</v>
      </c>
    </row>
    <row r="94" spans="1:3" x14ac:dyDescent="0.25">
      <c r="A94" t="s">
        <v>1186</v>
      </c>
      <c r="B94" t="s">
        <v>27</v>
      </c>
      <c r="C94" t="s">
        <v>102</v>
      </c>
    </row>
    <row r="95" spans="1:3" x14ac:dyDescent="0.25">
      <c r="A95" t="s">
        <v>1186</v>
      </c>
      <c r="B95" t="s">
        <v>29</v>
      </c>
      <c r="C95" t="s">
        <v>103</v>
      </c>
    </row>
    <row r="96" spans="1:3" x14ac:dyDescent="0.25">
      <c r="A96" t="s">
        <v>1186</v>
      </c>
      <c r="B96" t="s">
        <v>31</v>
      </c>
      <c r="C96" t="s">
        <v>104</v>
      </c>
    </row>
    <row r="97" spans="1:3" x14ac:dyDescent="0.25">
      <c r="A97" t="s">
        <v>1186</v>
      </c>
      <c r="B97" t="s">
        <v>33</v>
      </c>
      <c r="C97" t="s">
        <v>105</v>
      </c>
    </row>
    <row r="98" spans="1:3" x14ac:dyDescent="0.25">
      <c r="A98" t="s">
        <v>1187</v>
      </c>
      <c r="B98" t="s">
        <v>3</v>
      </c>
      <c r="C98" t="s">
        <v>4</v>
      </c>
    </row>
    <row r="99" spans="1:3" x14ac:dyDescent="0.25">
      <c r="A99" t="s">
        <v>1187</v>
      </c>
      <c r="B99" t="s">
        <v>5</v>
      </c>
      <c r="C99" t="s">
        <v>76</v>
      </c>
    </row>
    <row r="100" spans="1:3" x14ac:dyDescent="0.25">
      <c r="A100" t="s">
        <v>1187</v>
      </c>
      <c r="B100" t="s">
        <v>7</v>
      </c>
      <c r="C100" t="s">
        <v>106</v>
      </c>
    </row>
    <row r="101" spans="1:3" x14ac:dyDescent="0.25">
      <c r="A101" t="s">
        <v>1187</v>
      </c>
      <c r="B101" t="s">
        <v>9</v>
      </c>
      <c r="C101" t="s">
        <v>107</v>
      </c>
    </row>
    <row r="102" spans="1:3" x14ac:dyDescent="0.25">
      <c r="A102" t="s">
        <v>1187</v>
      </c>
      <c r="B102" t="s">
        <v>11</v>
      </c>
      <c r="C102" t="s">
        <v>108</v>
      </c>
    </row>
    <row r="103" spans="1:3" x14ac:dyDescent="0.25">
      <c r="A103" t="s">
        <v>1187</v>
      </c>
      <c r="B103" t="s">
        <v>13</v>
      </c>
      <c r="C103" t="s">
        <v>109</v>
      </c>
    </row>
    <row r="104" spans="1:3" x14ac:dyDescent="0.25">
      <c r="A104" t="s">
        <v>1187</v>
      </c>
      <c r="B104" t="s">
        <v>15</v>
      </c>
      <c r="C104" t="s">
        <v>110</v>
      </c>
    </row>
    <row r="105" spans="1:3" x14ac:dyDescent="0.25">
      <c r="A105" t="s">
        <v>1187</v>
      </c>
      <c r="B105" t="s">
        <v>17</v>
      </c>
      <c r="C105" t="s">
        <v>111</v>
      </c>
    </row>
    <row r="106" spans="1:3" x14ac:dyDescent="0.25">
      <c r="A106" t="s">
        <v>1187</v>
      </c>
      <c r="B106" t="s">
        <v>19</v>
      </c>
      <c r="C106" t="s">
        <v>112</v>
      </c>
    </row>
    <row r="107" spans="1:3" x14ac:dyDescent="0.25">
      <c r="A107" t="s">
        <v>1187</v>
      </c>
      <c r="B107" t="s">
        <v>21</v>
      </c>
      <c r="C107" t="s">
        <v>113</v>
      </c>
    </row>
    <row r="108" spans="1:3" x14ac:dyDescent="0.25">
      <c r="A108" t="s">
        <v>1187</v>
      </c>
      <c r="B108" t="s">
        <v>23</v>
      </c>
      <c r="C108" t="s">
        <v>114</v>
      </c>
    </row>
    <row r="109" spans="1:3" x14ac:dyDescent="0.25">
      <c r="A109" t="s">
        <v>1187</v>
      </c>
      <c r="B109" t="s">
        <v>25</v>
      </c>
      <c r="C109" t="s">
        <v>115</v>
      </c>
    </row>
    <row r="110" spans="1:3" x14ac:dyDescent="0.25">
      <c r="A110" t="s">
        <v>1187</v>
      </c>
      <c r="B110" t="s">
        <v>27</v>
      </c>
      <c r="C110" t="s">
        <v>116</v>
      </c>
    </row>
    <row r="111" spans="1:3" x14ac:dyDescent="0.25">
      <c r="A111" t="s">
        <v>1187</v>
      </c>
      <c r="B111" t="s">
        <v>29</v>
      </c>
      <c r="C111" t="s">
        <v>117</v>
      </c>
    </row>
    <row r="112" spans="1:3" x14ac:dyDescent="0.25">
      <c r="A112" t="s">
        <v>1187</v>
      </c>
      <c r="B112" t="s">
        <v>31</v>
      </c>
      <c r="C112" t="s">
        <v>118</v>
      </c>
    </row>
    <row r="113" spans="1:3" x14ac:dyDescent="0.25">
      <c r="A113" t="s">
        <v>1187</v>
      </c>
      <c r="B113" t="s">
        <v>33</v>
      </c>
      <c r="C113" t="s">
        <v>119</v>
      </c>
    </row>
    <row r="114" spans="1:3" x14ac:dyDescent="0.25">
      <c r="A114" t="s">
        <v>1188</v>
      </c>
      <c r="B114" t="s">
        <v>3</v>
      </c>
      <c r="C114" t="s">
        <v>120</v>
      </c>
    </row>
    <row r="115" spans="1:3" x14ac:dyDescent="0.25">
      <c r="A115" t="s">
        <v>1188</v>
      </c>
      <c r="B115" t="s">
        <v>5</v>
      </c>
      <c r="C115" t="s">
        <v>121</v>
      </c>
    </row>
    <row r="116" spans="1:3" x14ac:dyDescent="0.25">
      <c r="A116" t="s">
        <v>1188</v>
      </c>
      <c r="B116" t="s">
        <v>7</v>
      </c>
      <c r="C116" t="s">
        <v>122</v>
      </c>
    </row>
    <row r="117" spans="1:3" x14ac:dyDescent="0.25">
      <c r="A117" t="s">
        <v>1188</v>
      </c>
      <c r="B117" t="s">
        <v>9</v>
      </c>
      <c r="C117" t="s">
        <v>123</v>
      </c>
    </row>
    <row r="118" spans="1:3" x14ac:dyDescent="0.25">
      <c r="A118" t="s">
        <v>1188</v>
      </c>
      <c r="B118" t="s">
        <v>11</v>
      </c>
      <c r="C118" t="s">
        <v>124</v>
      </c>
    </row>
    <row r="119" spans="1:3" x14ac:dyDescent="0.25">
      <c r="A119" t="s">
        <v>1188</v>
      </c>
      <c r="B119" t="s">
        <v>13</v>
      </c>
      <c r="C119" t="s">
        <v>14</v>
      </c>
    </row>
    <row r="120" spans="1:3" x14ac:dyDescent="0.25">
      <c r="A120" t="s">
        <v>1188</v>
      </c>
      <c r="B120" t="s">
        <v>15</v>
      </c>
      <c r="C120" t="s">
        <v>125</v>
      </c>
    </row>
    <row r="121" spans="1:3" x14ac:dyDescent="0.25">
      <c r="A121" t="s">
        <v>1188</v>
      </c>
      <c r="B121" t="s">
        <v>17</v>
      </c>
      <c r="C121" t="s">
        <v>126</v>
      </c>
    </row>
    <row r="122" spans="1:3" x14ac:dyDescent="0.25">
      <c r="A122" t="s">
        <v>1188</v>
      </c>
      <c r="B122" t="s">
        <v>19</v>
      </c>
      <c r="C122" t="s">
        <v>127</v>
      </c>
    </row>
    <row r="123" spans="1:3" x14ac:dyDescent="0.25">
      <c r="A123" t="s">
        <v>1188</v>
      </c>
      <c r="B123" t="s">
        <v>21</v>
      </c>
      <c r="C123" t="s">
        <v>128</v>
      </c>
    </row>
    <row r="124" spans="1:3" x14ac:dyDescent="0.25">
      <c r="A124" t="s">
        <v>1188</v>
      </c>
      <c r="B124" t="s">
        <v>23</v>
      </c>
      <c r="C124" t="s">
        <v>129</v>
      </c>
    </row>
    <row r="125" spans="1:3" x14ac:dyDescent="0.25">
      <c r="A125" t="s">
        <v>1188</v>
      </c>
      <c r="B125" t="s">
        <v>25</v>
      </c>
      <c r="C125" t="s">
        <v>130</v>
      </c>
    </row>
    <row r="126" spans="1:3" x14ac:dyDescent="0.25">
      <c r="A126" t="s">
        <v>1188</v>
      </c>
      <c r="B126" t="s">
        <v>27</v>
      </c>
      <c r="C126" t="s">
        <v>102</v>
      </c>
    </row>
    <row r="127" spans="1:3" x14ac:dyDescent="0.25">
      <c r="A127" t="s">
        <v>1188</v>
      </c>
      <c r="B127" t="s">
        <v>29</v>
      </c>
      <c r="C127" t="s">
        <v>131</v>
      </c>
    </row>
    <row r="128" spans="1:3" x14ac:dyDescent="0.25">
      <c r="A128" t="s">
        <v>1188</v>
      </c>
      <c r="B128" t="s">
        <v>31</v>
      </c>
      <c r="C128" t="s">
        <v>132</v>
      </c>
    </row>
    <row r="129" spans="1:3" x14ac:dyDescent="0.25">
      <c r="A129" t="s">
        <v>1188</v>
      </c>
      <c r="B129" t="s">
        <v>33</v>
      </c>
      <c r="C129" t="s">
        <v>133</v>
      </c>
    </row>
    <row r="130" spans="1:3" x14ac:dyDescent="0.25">
      <c r="A130" t="s">
        <v>1189</v>
      </c>
      <c r="B130" t="s">
        <v>134</v>
      </c>
      <c r="C130" t="s">
        <v>135</v>
      </c>
    </row>
    <row r="131" spans="1:3" x14ac:dyDescent="0.25">
      <c r="A131" t="s">
        <v>1189</v>
      </c>
      <c r="B131" t="s">
        <v>136</v>
      </c>
      <c r="C131" t="s">
        <v>137</v>
      </c>
    </row>
    <row r="132" spans="1:3" x14ac:dyDescent="0.25">
      <c r="A132" t="s">
        <v>1189</v>
      </c>
      <c r="B132" t="s">
        <v>7</v>
      </c>
      <c r="C132" t="s">
        <v>138</v>
      </c>
    </row>
    <row r="133" spans="1:3" x14ac:dyDescent="0.25">
      <c r="A133" t="s">
        <v>1189</v>
      </c>
      <c r="B133" t="s">
        <v>139</v>
      </c>
      <c r="C133" t="s">
        <v>140</v>
      </c>
    </row>
    <row r="134" spans="1:3" x14ac:dyDescent="0.25">
      <c r="A134" t="s">
        <v>1189</v>
      </c>
      <c r="B134" t="s">
        <v>141</v>
      </c>
      <c r="C134" t="s">
        <v>142</v>
      </c>
    </row>
    <row r="135" spans="1:3" x14ac:dyDescent="0.25">
      <c r="A135" t="s">
        <v>1189</v>
      </c>
      <c r="B135" t="s">
        <v>143</v>
      </c>
      <c r="C135" t="s">
        <v>51</v>
      </c>
    </row>
    <row r="136" spans="1:3" x14ac:dyDescent="0.25">
      <c r="A136" t="s">
        <v>1189</v>
      </c>
      <c r="B136" t="s">
        <v>144</v>
      </c>
      <c r="C136" t="s">
        <v>145</v>
      </c>
    </row>
    <row r="137" spans="1:3" x14ac:dyDescent="0.25">
      <c r="A137" t="s">
        <v>1189</v>
      </c>
      <c r="B137" t="s">
        <v>146</v>
      </c>
      <c r="C137" t="s">
        <v>147</v>
      </c>
    </row>
    <row r="138" spans="1:3" x14ac:dyDescent="0.25">
      <c r="A138" t="s">
        <v>1189</v>
      </c>
      <c r="B138" t="s">
        <v>148</v>
      </c>
      <c r="C138" t="s">
        <v>149</v>
      </c>
    </row>
    <row r="139" spans="1:3" x14ac:dyDescent="0.25">
      <c r="A139" t="s">
        <v>1189</v>
      </c>
      <c r="B139" t="s">
        <v>150</v>
      </c>
      <c r="C139" t="s">
        <v>151</v>
      </c>
    </row>
    <row r="140" spans="1:3" x14ac:dyDescent="0.25">
      <c r="A140" t="s">
        <v>1189</v>
      </c>
      <c r="B140" t="s">
        <v>152</v>
      </c>
      <c r="C140" t="s">
        <v>153</v>
      </c>
    </row>
    <row r="141" spans="1:3" x14ac:dyDescent="0.25">
      <c r="A141" t="s">
        <v>1189</v>
      </c>
      <c r="B141" t="s">
        <v>154</v>
      </c>
      <c r="C141" t="s">
        <v>155</v>
      </c>
    </row>
    <row r="142" spans="1:3" x14ac:dyDescent="0.25">
      <c r="A142" t="s">
        <v>1189</v>
      </c>
      <c r="B142" t="s">
        <v>27</v>
      </c>
      <c r="C142" t="s">
        <v>156</v>
      </c>
    </row>
    <row r="143" spans="1:3" x14ac:dyDescent="0.25">
      <c r="A143" t="s">
        <v>1189</v>
      </c>
      <c r="B143" t="s">
        <v>157</v>
      </c>
      <c r="C143" t="s">
        <v>158</v>
      </c>
    </row>
    <row r="144" spans="1:3" x14ac:dyDescent="0.25">
      <c r="A144" t="s">
        <v>1189</v>
      </c>
      <c r="B144" t="s">
        <v>159</v>
      </c>
      <c r="C144" t="s">
        <v>160</v>
      </c>
    </row>
    <row r="145" spans="1:3" x14ac:dyDescent="0.25">
      <c r="A145" t="s">
        <v>1189</v>
      </c>
      <c r="B145" t="s">
        <v>161</v>
      </c>
      <c r="C145" t="s">
        <v>162</v>
      </c>
    </row>
    <row r="146" spans="1:3" x14ac:dyDescent="0.25">
      <c r="A146" t="s">
        <v>1190</v>
      </c>
      <c r="B146" t="s">
        <v>3</v>
      </c>
      <c r="C146" t="s">
        <v>163</v>
      </c>
    </row>
    <row r="147" spans="1:3" x14ac:dyDescent="0.25">
      <c r="A147" t="s">
        <v>1190</v>
      </c>
      <c r="B147" t="s">
        <v>5</v>
      </c>
      <c r="C147" t="s">
        <v>164</v>
      </c>
    </row>
    <row r="148" spans="1:3" x14ac:dyDescent="0.25">
      <c r="A148" t="s">
        <v>1190</v>
      </c>
      <c r="B148" t="s">
        <v>7</v>
      </c>
      <c r="C148" t="s">
        <v>165</v>
      </c>
    </row>
    <row r="149" spans="1:3" x14ac:dyDescent="0.25">
      <c r="A149" t="s">
        <v>1190</v>
      </c>
      <c r="B149" t="s">
        <v>9</v>
      </c>
      <c r="C149" t="s">
        <v>166</v>
      </c>
    </row>
    <row r="150" spans="1:3" x14ac:dyDescent="0.25">
      <c r="A150" t="s">
        <v>1190</v>
      </c>
      <c r="B150" t="s">
        <v>11</v>
      </c>
      <c r="C150" t="s">
        <v>14</v>
      </c>
    </row>
    <row r="151" spans="1:3" x14ac:dyDescent="0.25">
      <c r="A151" t="s">
        <v>1190</v>
      </c>
      <c r="B151" t="s">
        <v>13</v>
      </c>
      <c r="C151" t="s">
        <v>167</v>
      </c>
    </row>
    <row r="152" spans="1:3" x14ac:dyDescent="0.25">
      <c r="A152" t="s">
        <v>1190</v>
      </c>
      <c r="B152" t="s">
        <v>15</v>
      </c>
      <c r="C152" t="s">
        <v>168</v>
      </c>
    </row>
    <row r="153" spans="1:3" x14ac:dyDescent="0.25">
      <c r="A153" t="s">
        <v>1190</v>
      </c>
      <c r="B153" t="s">
        <v>17</v>
      </c>
      <c r="C153" t="s">
        <v>169</v>
      </c>
    </row>
    <row r="154" spans="1:3" x14ac:dyDescent="0.25">
      <c r="A154" t="s">
        <v>1190</v>
      </c>
      <c r="B154" t="s">
        <v>19</v>
      </c>
      <c r="C154" t="s">
        <v>170</v>
      </c>
    </row>
    <row r="155" spans="1:3" x14ac:dyDescent="0.25">
      <c r="A155" t="s">
        <v>1190</v>
      </c>
      <c r="B155" t="s">
        <v>21</v>
      </c>
      <c r="C155" t="s">
        <v>171</v>
      </c>
    </row>
    <row r="156" spans="1:3" x14ac:dyDescent="0.25">
      <c r="A156" t="s">
        <v>1190</v>
      </c>
      <c r="B156" t="s">
        <v>23</v>
      </c>
      <c r="C156" t="s">
        <v>172</v>
      </c>
    </row>
    <row r="157" spans="1:3" x14ac:dyDescent="0.25">
      <c r="A157" t="s">
        <v>1190</v>
      </c>
      <c r="B157" t="s">
        <v>25</v>
      </c>
      <c r="C157" t="s">
        <v>173</v>
      </c>
    </row>
    <row r="158" spans="1:3" x14ac:dyDescent="0.25">
      <c r="A158" t="s">
        <v>1190</v>
      </c>
      <c r="B158" t="s">
        <v>27</v>
      </c>
      <c r="C158" t="s">
        <v>87</v>
      </c>
    </row>
    <row r="159" spans="1:3" x14ac:dyDescent="0.25">
      <c r="A159" t="s">
        <v>1190</v>
      </c>
      <c r="B159" t="s">
        <v>29</v>
      </c>
      <c r="C159" t="s">
        <v>174</v>
      </c>
    </row>
    <row r="160" spans="1:3" x14ac:dyDescent="0.25">
      <c r="A160" t="s">
        <v>1190</v>
      </c>
      <c r="B160" t="s">
        <v>31</v>
      </c>
      <c r="C160" t="s">
        <v>175</v>
      </c>
    </row>
    <row r="161" spans="1:3" x14ac:dyDescent="0.25">
      <c r="A161" t="s">
        <v>1190</v>
      </c>
      <c r="B161" t="s">
        <v>33</v>
      </c>
      <c r="C161" t="s">
        <v>176</v>
      </c>
    </row>
    <row r="162" spans="1:3" x14ac:dyDescent="0.25">
      <c r="A162" t="s">
        <v>1191</v>
      </c>
      <c r="B162" t="s">
        <v>3</v>
      </c>
      <c r="C162" t="s">
        <v>177</v>
      </c>
    </row>
    <row r="163" spans="1:3" x14ac:dyDescent="0.25">
      <c r="A163" t="s">
        <v>1191</v>
      </c>
      <c r="B163" t="s">
        <v>5</v>
      </c>
      <c r="C163" t="s">
        <v>178</v>
      </c>
    </row>
    <row r="164" spans="1:3" x14ac:dyDescent="0.25">
      <c r="A164" t="s">
        <v>1191</v>
      </c>
      <c r="B164" t="s">
        <v>7</v>
      </c>
      <c r="C164" t="s">
        <v>179</v>
      </c>
    </row>
    <row r="165" spans="1:3" x14ac:dyDescent="0.25">
      <c r="A165" t="s">
        <v>1191</v>
      </c>
      <c r="B165" t="s">
        <v>9</v>
      </c>
      <c r="C165" t="s">
        <v>180</v>
      </c>
    </row>
    <row r="166" spans="1:3" x14ac:dyDescent="0.25">
      <c r="A166" t="s">
        <v>1191</v>
      </c>
      <c r="B166" t="s">
        <v>11</v>
      </c>
      <c r="C166" t="s">
        <v>181</v>
      </c>
    </row>
    <row r="167" spans="1:3" x14ac:dyDescent="0.25">
      <c r="A167" t="s">
        <v>1191</v>
      </c>
      <c r="B167" t="s">
        <v>13</v>
      </c>
      <c r="C167" t="s">
        <v>142</v>
      </c>
    </row>
    <row r="168" spans="1:3" x14ac:dyDescent="0.25">
      <c r="A168" t="s">
        <v>1191</v>
      </c>
      <c r="B168" t="s">
        <v>15</v>
      </c>
      <c r="C168" t="s">
        <v>182</v>
      </c>
    </row>
    <row r="169" spans="1:3" x14ac:dyDescent="0.25">
      <c r="A169" t="s">
        <v>1191</v>
      </c>
      <c r="B169" t="s">
        <v>17</v>
      </c>
      <c r="C169" t="s">
        <v>183</v>
      </c>
    </row>
    <row r="170" spans="1:3" x14ac:dyDescent="0.25">
      <c r="A170" t="s">
        <v>1191</v>
      </c>
      <c r="B170" t="s">
        <v>19</v>
      </c>
      <c r="C170" t="s">
        <v>170</v>
      </c>
    </row>
    <row r="171" spans="1:3" x14ac:dyDescent="0.25">
      <c r="A171" t="s">
        <v>1191</v>
      </c>
      <c r="B171" t="s">
        <v>21</v>
      </c>
      <c r="C171" t="s">
        <v>184</v>
      </c>
    </row>
    <row r="172" spans="1:3" x14ac:dyDescent="0.25">
      <c r="A172" t="s">
        <v>1191</v>
      </c>
      <c r="B172" t="s">
        <v>23</v>
      </c>
      <c r="C172" t="s">
        <v>185</v>
      </c>
    </row>
    <row r="173" spans="1:3" x14ac:dyDescent="0.25">
      <c r="A173" t="s">
        <v>1191</v>
      </c>
      <c r="B173" t="s">
        <v>25</v>
      </c>
      <c r="C173" t="s">
        <v>186</v>
      </c>
    </row>
    <row r="174" spans="1:3" x14ac:dyDescent="0.25">
      <c r="A174" t="s">
        <v>1191</v>
      </c>
      <c r="B174" t="s">
        <v>27</v>
      </c>
      <c r="C174" t="s">
        <v>187</v>
      </c>
    </row>
    <row r="175" spans="1:3" x14ac:dyDescent="0.25">
      <c r="A175" t="s">
        <v>1191</v>
      </c>
      <c r="B175" t="s">
        <v>29</v>
      </c>
      <c r="C175" t="s">
        <v>188</v>
      </c>
    </row>
    <row r="176" spans="1:3" x14ac:dyDescent="0.25">
      <c r="A176" t="s">
        <v>1191</v>
      </c>
      <c r="B176" t="s">
        <v>31</v>
      </c>
      <c r="C176" t="s">
        <v>189</v>
      </c>
    </row>
    <row r="177" spans="1:3" x14ac:dyDescent="0.25">
      <c r="A177" t="s">
        <v>1191</v>
      </c>
      <c r="B177" t="s">
        <v>33</v>
      </c>
      <c r="C177" t="s">
        <v>119</v>
      </c>
    </row>
    <row r="178" spans="1:3" x14ac:dyDescent="0.25">
      <c r="A178" t="s">
        <v>1192</v>
      </c>
      <c r="B178" t="s">
        <v>3</v>
      </c>
      <c r="C178" t="s">
        <v>190</v>
      </c>
    </row>
    <row r="179" spans="1:3" x14ac:dyDescent="0.25">
      <c r="A179" t="s">
        <v>1192</v>
      </c>
      <c r="B179" t="s">
        <v>5</v>
      </c>
      <c r="C179" t="s">
        <v>191</v>
      </c>
    </row>
    <row r="180" spans="1:3" x14ac:dyDescent="0.25">
      <c r="A180" t="s">
        <v>1192</v>
      </c>
      <c r="B180" t="s">
        <v>7</v>
      </c>
      <c r="C180" t="s">
        <v>135</v>
      </c>
    </row>
    <row r="181" spans="1:3" x14ac:dyDescent="0.25">
      <c r="A181" t="s">
        <v>1192</v>
      </c>
      <c r="B181" t="s">
        <v>9</v>
      </c>
      <c r="C181" t="s">
        <v>192</v>
      </c>
    </row>
    <row r="182" spans="1:3" x14ac:dyDescent="0.25">
      <c r="A182" t="s">
        <v>1192</v>
      </c>
      <c r="B182" t="s">
        <v>11</v>
      </c>
      <c r="C182" t="s">
        <v>41</v>
      </c>
    </row>
    <row r="183" spans="1:3" x14ac:dyDescent="0.25">
      <c r="A183" t="s">
        <v>1192</v>
      </c>
      <c r="B183" t="s">
        <v>13</v>
      </c>
      <c r="C183" t="s">
        <v>51</v>
      </c>
    </row>
    <row r="184" spans="1:3" x14ac:dyDescent="0.25">
      <c r="A184" t="s">
        <v>1192</v>
      </c>
      <c r="B184" t="s">
        <v>15</v>
      </c>
      <c r="C184" t="s">
        <v>193</v>
      </c>
    </row>
    <row r="185" spans="1:3" x14ac:dyDescent="0.25">
      <c r="A185" t="s">
        <v>1192</v>
      </c>
      <c r="B185" t="s">
        <v>17</v>
      </c>
      <c r="C185" t="s">
        <v>194</v>
      </c>
    </row>
    <row r="186" spans="1:3" x14ac:dyDescent="0.25">
      <c r="A186" t="s">
        <v>1192</v>
      </c>
      <c r="B186" t="s">
        <v>19</v>
      </c>
      <c r="C186" t="s">
        <v>195</v>
      </c>
    </row>
    <row r="187" spans="1:3" x14ac:dyDescent="0.25">
      <c r="A187" t="s">
        <v>1192</v>
      </c>
      <c r="B187" t="s">
        <v>21</v>
      </c>
      <c r="C187" t="s">
        <v>196</v>
      </c>
    </row>
    <row r="188" spans="1:3" x14ac:dyDescent="0.25">
      <c r="A188" t="s">
        <v>1192</v>
      </c>
      <c r="B188" t="s">
        <v>23</v>
      </c>
      <c r="C188" t="s">
        <v>197</v>
      </c>
    </row>
    <row r="189" spans="1:3" x14ac:dyDescent="0.25">
      <c r="A189" t="s">
        <v>1192</v>
      </c>
      <c r="B189" t="s">
        <v>25</v>
      </c>
      <c r="C189" t="s">
        <v>198</v>
      </c>
    </row>
    <row r="190" spans="1:3" x14ac:dyDescent="0.25">
      <c r="A190" t="s">
        <v>1192</v>
      </c>
      <c r="B190" t="s">
        <v>27</v>
      </c>
      <c r="C190" t="s">
        <v>199</v>
      </c>
    </row>
    <row r="191" spans="1:3" x14ac:dyDescent="0.25">
      <c r="A191" t="s">
        <v>1192</v>
      </c>
      <c r="B191" t="s">
        <v>29</v>
      </c>
      <c r="C191" t="s">
        <v>200</v>
      </c>
    </row>
    <row r="192" spans="1:3" x14ac:dyDescent="0.25">
      <c r="A192" t="s">
        <v>1192</v>
      </c>
      <c r="B192" t="s">
        <v>31</v>
      </c>
      <c r="C192" t="s">
        <v>201</v>
      </c>
    </row>
    <row r="193" spans="1:3" x14ac:dyDescent="0.25">
      <c r="A193" t="s">
        <v>1192</v>
      </c>
      <c r="B193" t="s">
        <v>33</v>
      </c>
      <c r="C193" t="s">
        <v>202</v>
      </c>
    </row>
    <row r="194" spans="1:3" x14ac:dyDescent="0.25">
      <c r="A194" t="s">
        <v>1193</v>
      </c>
      <c r="B194" t="s">
        <v>134</v>
      </c>
      <c r="C194" t="s">
        <v>203</v>
      </c>
    </row>
    <row r="195" spans="1:3" x14ac:dyDescent="0.25">
      <c r="A195" t="s">
        <v>1193</v>
      </c>
      <c r="B195" t="s">
        <v>136</v>
      </c>
      <c r="C195" t="s">
        <v>204</v>
      </c>
    </row>
    <row r="196" spans="1:3" x14ac:dyDescent="0.25">
      <c r="A196" t="s">
        <v>1193</v>
      </c>
      <c r="B196" t="s">
        <v>7</v>
      </c>
      <c r="C196" t="s">
        <v>205</v>
      </c>
    </row>
    <row r="197" spans="1:3" x14ac:dyDescent="0.25">
      <c r="A197" t="s">
        <v>1193</v>
      </c>
      <c r="B197" t="s">
        <v>139</v>
      </c>
      <c r="C197" t="s">
        <v>206</v>
      </c>
    </row>
    <row r="198" spans="1:3" x14ac:dyDescent="0.25">
      <c r="A198" t="s">
        <v>1193</v>
      </c>
      <c r="B198" t="s">
        <v>141</v>
      </c>
      <c r="C198" t="s">
        <v>207</v>
      </c>
    </row>
    <row r="199" spans="1:3" x14ac:dyDescent="0.25">
      <c r="A199" t="s">
        <v>1193</v>
      </c>
      <c r="B199" t="s">
        <v>143</v>
      </c>
      <c r="C199" t="s">
        <v>167</v>
      </c>
    </row>
    <row r="200" spans="1:3" x14ac:dyDescent="0.25">
      <c r="A200" t="s">
        <v>1193</v>
      </c>
      <c r="B200" t="s">
        <v>144</v>
      </c>
      <c r="C200" t="s">
        <v>208</v>
      </c>
    </row>
    <row r="201" spans="1:3" x14ac:dyDescent="0.25">
      <c r="A201" t="s">
        <v>1193</v>
      </c>
      <c r="B201" t="s">
        <v>146</v>
      </c>
      <c r="C201" t="s">
        <v>209</v>
      </c>
    </row>
    <row r="202" spans="1:3" x14ac:dyDescent="0.25">
      <c r="A202" t="s">
        <v>1193</v>
      </c>
      <c r="B202" t="s">
        <v>148</v>
      </c>
      <c r="C202" t="s">
        <v>210</v>
      </c>
    </row>
    <row r="203" spans="1:3" x14ac:dyDescent="0.25">
      <c r="A203" t="s">
        <v>1193</v>
      </c>
      <c r="B203" t="s">
        <v>150</v>
      </c>
      <c r="C203" t="s">
        <v>211</v>
      </c>
    </row>
    <row r="204" spans="1:3" x14ac:dyDescent="0.25">
      <c r="A204" t="s">
        <v>1193</v>
      </c>
      <c r="B204" t="s">
        <v>152</v>
      </c>
      <c r="C204" t="s">
        <v>212</v>
      </c>
    </row>
    <row r="205" spans="1:3" x14ac:dyDescent="0.25">
      <c r="A205" t="s">
        <v>1193</v>
      </c>
      <c r="B205" t="s">
        <v>154</v>
      </c>
      <c r="C205" t="s">
        <v>213</v>
      </c>
    </row>
    <row r="206" spans="1:3" x14ac:dyDescent="0.25">
      <c r="A206" t="s">
        <v>1193</v>
      </c>
      <c r="B206" t="s">
        <v>27</v>
      </c>
      <c r="C206" t="s">
        <v>214</v>
      </c>
    </row>
    <row r="207" spans="1:3" x14ac:dyDescent="0.25">
      <c r="A207" t="s">
        <v>1193</v>
      </c>
      <c r="B207" t="s">
        <v>157</v>
      </c>
      <c r="C207" t="s">
        <v>215</v>
      </c>
    </row>
    <row r="208" spans="1:3" x14ac:dyDescent="0.25">
      <c r="A208" t="s">
        <v>1193</v>
      </c>
      <c r="B208" t="s">
        <v>159</v>
      </c>
      <c r="C208" t="s">
        <v>216</v>
      </c>
    </row>
    <row r="209" spans="1:3" x14ac:dyDescent="0.25">
      <c r="A209" t="s">
        <v>1193</v>
      </c>
      <c r="B209" t="s">
        <v>161</v>
      </c>
      <c r="C209" t="s">
        <v>217</v>
      </c>
    </row>
    <row r="210" spans="1:3" x14ac:dyDescent="0.25">
      <c r="A210" t="s">
        <v>1194</v>
      </c>
      <c r="B210" t="s">
        <v>3</v>
      </c>
      <c r="C210" t="s">
        <v>218</v>
      </c>
    </row>
    <row r="211" spans="1:3" x14ac:dyDescent="0.25">
      <c r="A211" t="s">
        <v>1194</v>
      </c>
      <c r="B211" t="s">
        <v>5</v>
      </c>
      <c r="C211" t="s">
        <v>219</v>
      </c>
    </row>
    <row r="212" spans="1:3" x14ac:dyDescent="0.25">
      <c r="A212" t="s">
        <v>1194</v>
      </c>
      <c r="B212" t="s">
        <v>7</v>
      </c>
      <c r="C212" t="s">
        <v>220</v>
      </c>
    </row>
    <row r="213" spans="1:3" x14ac:dyDescent="0.25">
      <c r="A213" t="s">
        <v>1194</v>
      </c>
      <c r="B213" t="s">
        <v>9</v>
      </c>
      <c r="C213" t="s">
        <v>221</v>
      </c>
    </row>
    <row r="214" spans="1:3" x14ac:dyDescent="0.25">
      <c r="A214" t="s">
        <v>1194</v>
      </c>
      <c r="B214" t="s">
        <v>11</v>
      </c>
      <c r="C214" t="s">
        <v>222</v>
      </c>
    </row>
    <row r="215" spans="1:3" x14ac:dyDescent="0.25">
      <c r="A215" t="s">
        <v>1194</v>
      </c>
      <c r="B215" t="s">
        <v>13</v>
      </c>
      <c r="C215" t="s">
        <v>109</v>
      </c>
    </row>
    <row r="216" spans="1:3" x14ac:dyDescent="0.25">
      <c r="A216" t="s">
        <v>1194</v>
      </c>
      <c r="B216" t="s">
        <v>15</v>
      </c>
      <c r="C216" t="s">
        <v>223</v>
      </c>
    </row>
    <row r="217" spans="1:3" x14ac:dyDescent="0.25">
      <c r="A217" t="s">
        <v>1194</v>
      </c>
      <c r="B217" t="s">
        <v>17</v>
      </c>
      <c r="C217" t="s">
        <v>224</v>
      </c>
    </row>
    <row r="218" spans="1:3" x14ac:dyDescent="0.25">
      <c r="A218" t="s">
        <v>1194</v>
      </c>
      <c r="B218" t="s">
        <v>19</v>
      </c>
      <c r="C218" t="s">
        <v>225</v>
      </c>
    </row>
    <row r="219" spans="1:3" x14ac:dyDescent="0.25">
      <c r="A219" t="s">
        <v>1194</v>
      </c>
      <c r="B219" t="s">
        <v>21</v>
      </c>
      <c r="C219" t="s">
        <v>226</v>
      </c>
    </row>
    <row r="220" spans="1:3" x14ac:dyDescent="0.25">
      <c r="A220" t="s">
        <v>1194</v>
      </c>
      <c r="B220" t="s">
        <v>23</v>
      </c>
      <c r="C220" t="s">
        <v>227</v>
      </c>
    </row>
    <row r="221" spans="1:3" x14ac:dyDescent="0.25">
      <c r="A221" t="s">
        <v>1194</v>
      </c>
      <c r="B221" t="s">
        <v>25</v>
      </c>
      <c r="C221" t="s">
        <v>228</v>
      </c>
    </row>
    <row r="222" spans="1:3" x14ac:dyDescent="0.25">
      <c r="A222" t="s">
        <v>1194</v>
      </c>
      <c r="B222" t="s">
        <v>27</v>
      </c>
      <c r="C222" t="s">
        <v>229</v>
      </c>
    </row>
    <row r="223" spans="1:3" x14ac:dyDescent="0.25">
      <c r="A223" t="s">
        <v>1194</v>
      </c>
      <c r="B223" t="s">
        <v>29</v>
      </c>
      <c r="C223" t="s">
        <v>188</v>
      </c>
    </row>
    <row r="224" spans="1:3" x14ac:dyDescent="0.25">
      <c r="A224" t="s">
        <v>1194</v>
      </c>
      <c r="B224" t="s">
        <v>31</v>
      </c>
      <c r="C224" t="s">
        <v>230</v>
      </c>
    </row>
    <row r="225" spans="1:3" x14ac:dyDescent="0.25">
      <c r="A225" t="s">
        <v>1194</v>
      </c>
      <c r="B225" t="s">
        <v>33</v>
      </c>
      <c r="C225" t="s">
        <v>231</v>
      </c>
    </row>
    <row r="226" spans="1:3" x14ac:dyDescent="0.25">
      <c r="A226" t="s">
        <v>1195</v>
      </c>
      <c r="B226" t="s">
        <v>134</v>
      </c>
      <c r="C226" t="s">
        <v>232</v>
      </c>
    </row>
    <row r="227" spans="1:3" x14ac:dyDescent="0.25">
      <c r="A227" t="s">
        <v>1195</v>
      </c>
      <c r="B227" t="s">
        <v>136</v>
      </c>
      <c r="C227" t="s">
        <v>233</v>
      </c>
    </row>
    <row r="228" spans="1:3" x14ac:dyDescent="0.25">
      <c r="A228" t="s">
        <v>1195</v>
      </c>
      <c r="B228" t="s">
        <v>7</v>
      </c>
      <c r="C228" t="s">
        <v>106</v>
      </c>
    </row>
    <row r="229" spans="1:3" x14ac:dyDescent="0.25">
      <c r="A229" t="s">
        <v>1195</v>
      </c>
      <c r="B229" t="s">
        <v>139</v>
      </c>
      <c r="C229" t="s">
        <v>234</v>
      </c>
    </row>
    <row r="230" spans="1:3" x14ac:dyDescent="0.25">
      <c r="A230" t="s">
        <v>1195</v>
      </c>
      <c r="B230" t="s">
        <v>141</v>
      </c>
      <c r="C230" t="s">
        <v>167</v>
      </c>
    </row>
    <row r="231" spans="1:3" x14ac:dyDescent="0.25">
      <c r="A231" t="s">
        <v>1195</v>
      </c>
      <c r="B231" t="s">
        <v>143</v>
      </c>
      <c r="C231" t="s">
        <v>39</v>
      </c>
    </row>
    <row r="232" spans="1:3" x14ac:dyDescent="0.25">
      <c r="A232" t="s">
        <v>1195</v>
      </c>
      <c r="B232" t="s">
        <v>144</v>
      </c>
      <c r="C232" t="s">
        <v>222</v>
      </c>
    </row>
    <row r="233" spans="1:3" x14ac:dyDescent="0.25">
      <c r="A233" t="s">
        <v>1195</v>
      </c>
      <c r="B233" t="s">
        <v>146</v>
      </c>
      <c r="C233" t="s">
        <v>235</v>
      </c>
    </row>
    <row r="234" spans="1:3" x14ac:dyDescent="0.25">
      <c r="A234" t="s">
        <v>1195</v>
      </c>
      <c r="B234" t="s">
        <v>148</v>
      </c>
      <c r="C234" t="s">
        <v>104</v>
      </c>
    </row>
    <row r="235" spans="1:3" x14ac:dyDescent="0.25">
      <c r="A235" t="s">
        <v>1195</v>
      </c>
      <c r="B235" t="s">
        <v>150</v>
      </c>
      <c r="C235" t="s">
        <v>236</v>
      </c>
    </row>
    <row r="236" spans="1:3" x14ac:dyDescent="0.25">
      <c r="A236" t="s">
        <v>1195</v>
      </c>
      <c r="B236" t="s">
        <v>152</v>
      </c>
      <c r="C236" t="s">
        <v>237</v>
      </c>
    </row>
    <row r="237" spans="1:3" x14ac:dyDescent="0.25">
      <c r="A237" t="s">
        <v>1195</v>
      </c>
      <c r="B237" t="s">
        <v>154</v>
      </c>
      <c r="C237" t="s">
        <v>130</v>
      </c>
    </row>
    <row r="238" spans="1:3" x14ac:dyDescent="0.25">
      <c r="A238" t="s">
        <v>1195</v>
      </c>
      <c r="B238" t="s">
        <v>27</v>
      </c>
      <c r="C238" t="s">
        <v>238</v>
      </c>
    </row>
    <row r="239" spans="1:3" x14ac:dyDescent="0.25">
      <c r="A239" t="s">
        <v>1195</v>
      </c>
      <c r="B239" t="s">
        <v>157</v>
      </c>
      <c r="C239" t="s">
        <v>239</v>
      </c>
    </row>
    <row r="240" spans="1:3" x14ac:dyDescent="0.25">
      <c r="A240" t="s">
        <v>1195</v>
      </c>
      <c r="B240" t="s">
        <v>159</v>
      </c>
      <c r="C240" t="s">
        <v>240</v>
      </c>
    </row>
    <row r="241" spans="1:3" x14ac:dyDescent="0.25">
      <c r="A241" t="s">
        <v>1195</v>
      </c>
      <c r="B241" t="s">
        <v>161</v>
      </c>
      <c r="C241" t="s">
        <v>241</v>
      </c>
    </row>
    <row r="242" spans="1:3" x14ac:dyDescent="0.25">
      <c r="A242" t="s">
        <v>1196</v>
      </c>
      <c r="B242" t="s">
        <v>134</v>
      </c>
      <c r="C242" t="s">
        <v>42</v>
      </c>
    </row>
    <row r="243" spans="1:3" x14ac:dyDescent="0.25">
      <c r="A243" t="s">
        <v>1196</v>
      </c>
      <c r="B243" t="s">
        <v>136</v>
      </c>
      <c r="C243" t="s">
        <v>42</v>
      </c>
    </row>
    <row r="244" spans="1:3" x14ac:dyDescent="0.25">
      <c r="A244" t="s">
        <v>1196</v>
      </c>
      <c r="B244" t="s">
        <v>7</v>
      </c>
      <c r="C244" t="s">
        <v>42</v>
      </c>
    </row>
    <row r="245" spans="1:3" x14ac:dyDescent="0.25">
      <c r="A245" t="s">
        <v>1196</v>
      </c>
      <c r="B245" t="s">
        <v>139</v>
      </c>
      <c r="C245" t="s">
        <v>42</v>
      </c>
    </row>
    <row r="246" spans="1:3" x14ac:dyDescent="0.25">
      <c r="A246" t="s">
        <v>1196</v>
      </c>
      <c r="B246" t="s">
        <v>141</v>
      </c>
      <c r="C246" t="s">
        <v>39</v>
      </c>
    </row>
    <row r="247" spans="1:3" x14ac:dyDescent="0.25">
      <c r="A247" t="s">
        <v>1196</v>
      </c>
      <c r="B247" t="s">
        <v>143</v>
      </c>
      <c r="C247" t="s">
        <v>39</v>
      </c>
    </row>
    <row r="248" spans="1:3" x14ac:dyDescent="0.25">
      <c r="A248" t="s">
        <v>1196</v>
      </c>
      <c r="B248" t="s">
        <v>144</v>
      </c>
      <c r="C248" t="s">
        <v>39</v>
      </c>
    </row>
    <row r="249" spans="1:3" x14ac:dyDescent="0.25">
      <c r="A249" t="s">
        <v>1196</v>
      </c>
      <c r="B249" t="s">
        <v>146</v>
      </c>
      <c r="C249" t="s">
        <v>42</v>
      </c>
    </row>
    <row r="250" spans="1:3" x14ac:dyDescent="0.25">
      <c r="A250" t="s">
        <v>1196</v>
      </c>
      <c r="B250" t="s">
        <v>148</v>
      </c>
      <c r="C250" t="s">
        <v>43</v>
      </c>
    </row>
    <row r="251" spans="1:3" x14ac:dyDescent="0.25">
      <c r="A251" t="s">
        <v>1196</v>
      </c>
      <c r="B251" t="s">
        <v>150</v>
      </c>
      <c r="C251" t="s">
        <v>44</v>
      </c>
    </row>
    <row r="252" spans="1:3" x14ac:dyDescent="0.25">
      <c r="A252" t="s">
        <v>1196</v>
      </c>
      <c r="B252" t="s">
        <v>152</v>
      </c>
      <c r="C252" t="s">
        <v>45</v>
      </c>
    </row>
    <row r="253" spans="1:3" x14ac:dyDescent="0.25">
      <c r="A253" t="s">
        <v>1196</v>
      </c>
      <c r="B253" t="s">
        <v>154</v>
      </c>
      <c r="C253" t="s">
        <v>45</v>
      </c>
    </row>
    <row r="254" spans="1:3" x14ac:dyDescent="0.25">
      <c r="A254" t="s">
        <v>1196</v>
      </c>
      <c r="B254" t="s">
        <v>27</v>
      </c>
      <c r="C254" t="s">
        <v>45</v>
      </c>
    </row>
    <row r="255" spans="1:3" x14ac:dyDescent="0.25">
      <c r="A255" t="s">
        <v>1196</v>
      </c>
      <c r="B255" t="s">
        <v>157</v>
      </c>
      <c r="C255" t="s">
        <v>45</v>
      </c>
    </row>
    <row r="256" spans="1:3" x14ac:dyDescent="0.25">
      <c r="A256" t="s">
        <v>1196</v>
      </c>
      <c r="B256" t="s">
        <v>159</v>
      </c>
      <c r="C256" t="s">
        <v>43</v>
      </c>
    </row>
    <row r="257" spans="1:3" x14ac:dyDescent="0.25">
      <c r="A257" t="s">
        <v>1196</v>
      </c>
      <c r="B257" t="s">
        <v>161</v>
      </c>
      <c r="C257" t="s">
        <v>45</v>
      </c>
    </row>
    <row r="258" spans="1:3" x14ac:dyDescent="0.25">
      <c r="A258" t="s">
        <v>1197</v>
      </c>
      <c r="B258" t="s">
        <v>3</v>
      </c>
      <c r="C258" t="s">
        <v>242</v>
      </c>
    </row>
    <row r="259" spans="1:3" x14ac:dyDescent="0.25">
      <c r="A259" t="s">
        <v>1197</v>
      </c>
      <c r="B259" t="s">
        <v>5</v>
      </c>
      <c r="C259" t="s">
        <v>243</v>
      </c>
    </row>
    <row r="260" spans="1:3" x14ac:dyDescent="0.25">
      <c r="A260" t="s">
        <v>1197</v>
      </c>
      <c r="B260" t="s">
        <v>7</v>
      </c>
      <c r="C260" t="s">
        <v>244</v>
      </c>
    </row>
    <row r="261" spans="1:3" x14ac:dyDescent="0.25">
      <c r="A261" t="s">
        <v>1197</v>
      </c>
      <c r="B261" t="s">
        <v>9</v>
      </c>
      <c r="C261" t="s">
        <v>245</v>
      </c>
    </row>
    <row r="262" spans="1:3" x14ac:dyDescent="0.25">
      <c r="A262" t="s">
        <v>1197</v>
      </c>
      <c r="B262" t="s">
        <v>11</v>
      </c>
      <c r="C262" t="s">
        <v>246</v>
      </c>
    </row>
    <row r="263" spans="1:3" x14ac:dyDescent="0.25">
      <c r="A263" t="s">
        <v>1197</v>
      </c>
      <c r="B263" t="s">
        <v>13</v>
      </c>
      <c r="C263" t="s">
        <v>41</v>
      </c>
    </row>
    <row r="264" spans="1:3" x14ac:dyDescent="0.25">
      <c r="A264" t="s">
        <v>1197</v>
      </c>
      <c r="B264" t="s">
        <v>15</v>
      </c>
      <c r="C264" t="s">
        <v>247</v>
      </c>
    </row>
    <row r="265" spans="1:3" x14ac:dyDescent="0.25">
      <c r="A265" t="s">
        <v>1197</v>
      </c>
      <c r="B265" t="s">
        <v>17</v>
      </c>
      <c r="C265" t="s">
        <v>248</v>
      </c>
    </row>
    <row r="266" spans="1:3" x14ac:dyDescent="0.25">
      <c r="A266" t="s">
        <v>1197</v>
      </c>
      <c r="B266" t="s">
        <v>19</v>
      </c>
      <c r="C266" t="s">
        <v>249</v>
      </c>
    </row>
    <row r="267" spans="1:3" x14ac:dyDescent="0.25">
      <c r="A267" t="s">
        <v>1197</v>
      </c>
      <c r="B267" t="s">
        <v>21</v>
      </c>
      <c r="C267" t="s">
        <v>250</v>
      </c>
    </row>
    <row r="268" spans="1:3" x14ac:dyDescent="0.25">
      <c r="A268" t="s">
        <v>1197</v>
      </c>
      <c r="B268" t="s">
        <v>23</v>
      </c>
      <c r="C268" t="s">
        <v>251</v>
      </c>
    </row>
    <row r="269" spans="1:3" x14ac:dyDescent="0.25">
      <c r="A269" t="s">
        <v>1197</v>
      </c>
      <c r="B269" t="s">
        <v>25</v>
      </c>
      <c r="C269" t="s">
        <v>252</v>
      </c>
    </row>
    <row r="270" spans="1:3" x14ac:dyDescent="0.25">
      <c r="A270" t="s">
        <v>1197</v>
      </c>
      <c r="B270" t="s">
        <v>27</v>
      </c>
      <c r="C270" t="s">
        <v>253</v>
      </c>
    </row>
    <row r="271" spans="1:3" x14ac:dyDescent="0.25">
      <c r="A271" t="s">
        <v>1197</v>
      </c>
      <c r="B271" t="s">
        <v>29</v>
      </c>
      <c r="C271" t="s">
        <v>254</v>
      </c>
    </row>
    <row r="272" spans="1:3" x14ac:dyDescent="0.25">
      <c r="A272" t="s">
        <v>1197</v>
      </c>
      <c r="B272" t="s">
        <v>31</v>
      </c>
      <c r="C272" t="s">
        <v>20</v>
      </c>
    </row>
    <row r="273" spans="1:3" x14ac:dyDescent="0.25">
      <c r="A273" t="s">
        <v>1197</v>
      </c>
      <c r="B273" t="s">
        <v>33</v>
      </c>
      <c r="C273" t="s">
        <v>255</v>
      </c>
    </row>
    <row r="274" spans="1:3" x14ac:dyDescent="0.25">
      <c r="A274" t="s">
        <v>1198</v>
      </c>
      <c r="B274" t="s">
        <v>3</v>
      </c>
      <c r="C274" t="s">
        <v>64</v>
      </c>
    </row>
    <row r="275" spans="1:3" x14ac:dyDescent="0.25">
      <c r="A275" t="s">
        <v>1198</v>
      </c>
      <c r="B275" t="s">
        <v>5</v>
      </c>
      <c r="C275" t="s">
        <v>256</v>
      </c>
    </row>
    <row r="276" spans="1:3" x14ac:dyDescent="0.25">
      <c r="A276" t="s">
        <v>1198</v>
      </c>
      <c r="B276" t="s">
        <v>7</v>
      </c>
      <c r="C276" t="s">
        <v>257</v>
      </c>
    </row>
    <row r="277" spans="1:3" x14ac:dyDescent="0.25">
      <c r="A277" t="s">
        <v>1198</v>
      </c>
      <c r="B277" t="s">
        <v>9</v>
      </c>
      <c r="C277" t="s">
        <v>258</v>
      </c>
    </row>
    <row r="278" spans="1:3" x14ac:dyDescent="0.25">
      <c r="A278" t="s">
        <v>1198</v>
      </c>
      <c r="B278" t="s">
        <v>11</v>
      </c>
      <c r="C278" t="s">
        <v>259</v>
      </c>
    </row>
    <row r="279" spans="1:3" x14ac:dyDescent="0.25">
      <c r="A279" t="s">
        <v>1198</v>
      </c>
      <c r="B279" t="s">
        <v>13</v>
      </c>
      <c r="C279" t="s">
        <v>109</v>
      </c>
    </row>
    <row r="280" spans="1:3" x14ac:dyDescent="0.25">
      <c r="A280" t="s">
        <v>1198</v>
      </c>
      <c r="B280" t="s">
        <v>15</v>
      </c>
      <c r="C280" t="s">
        <v>260</v>
      </c>
    </row>
    <row r="281" spans="1:3" x14ac:dyDescent="0.25">
      <c r="A281" t="s">
        <v>1198</v>
      </c>
      <c r="B281" t="s">
        <v>17</v>
      </c>
      <c r="C281" t="s">
        <v>261</v>
      </c>
    </row>
    <row r="282" spans="1:3" x14ac:dyDescent="0.25">
      <c r="A282" t="s">
        <v>1198</v>
      </c>
      <c r="B282" t="s">
        <v>19</v>
      </c>
      <c r="C282" t="s">
        <v>262</v>
      </c>
    </row>
    <row r="283" spans="1:3" x14ac:dyDescent="0.25">
      <c r="A283" t="s">
        <v>1198</v>
      </c>
      <c r="B283" t="s">
        <v>21</v>
      </c>
      <c r="C283" t="s">
        <v>197</v>
      </c>
    </row>
    <row r="284" spans="1:3" x14ac:dyDescent="0.25">
      <c r="A284" t="s">
        <v>1198</v>
      </c>
      <c r="B284" t="s">
        <v>23</v>
      </c>
      <c r="C284" t="s">
        <v>263</v>
      </c>
    </row>
    <row r="285" spans="1:3" x14ac:dyDescent="0.25">
      <c r="A285" t="s">
        <v>1198</v>
      </c>
      <c r="B285" t="s">
        <v>25</v>
      </c>
      <c r="C285" t="s">
        <v>26</v>
      </c>
    </row>
    <row r="286" spans="1:3" x14ac:dyDescent="0.25">
      <c r="A286" t="s">
        <v>1198</v>
      </c>
      <c r="B286" t="s">
        <v>27</v>
      </c>
      <c r="C286" t="s">
        <v>264</v>
      </c>
    </row>
    <row r="287" spans="1:3" x14ac:dyDescent="0.25">
      <c r="A287" t="s">
        <v>1198</v>
      </c>
      <c r="B287" t="s">
        <v>29</v>
      </c>
      <c r="C287" t="s">
        <v>217</v>
      </c>
    </row>
    <row r="288" spans="1:3" x14ac:dyDescent="0.25">
      <c r="A288" t="s">
        <v>1198</v>
      </c>
      <c r="B288" t="s">
        <v>31</v>
      </c>
      <c r="C288" t="s">
        <v>265</v>
      </c>
    </row>
    <row r="289" spans="1:3" x14ac:dyDescent="0.25">
      <c r="A289" t="s">
        <v>1198</v>
      </c>
      <c r="B289" t="s">
        <v>33</v>
      </c>
      <c r="C289" t="s">
        <v>266</v>
      </c>
    </row>
    <row r="290" spans="1:3" x14ac:dyDescent="0.25">
      <c r="A290" t="s">
        <v>1199</v>
      </c>
      <c r="B290" t="s">
        <v>134</v>
      </c>
      <c r="C290" t="s">
        <v>267</v>
      </c>
    </row>
    <row r="291" spans="1:3" x14ac:dyDescent="0.25">
      <c r="A291" t="s">
        <v>1199</v>
      </c>
      <c r="B291" t="s">
        <v>136</v>
      </c>
      <c r="C291" t="s">
        <v>268</v>
      </c>
    </row>
    <row r="292" spans="1:3" x14ac:dyDescent="0.25">
      <c r="A292" t="s">
        <v>1199</v>
      </c>
      <c r="B292" t="s">
        <v>7</v>
      </c>
      <c r="C292" t="s">
        <v>244</v>
      </c>
    </row>
    <row r="293" spans="1:3" x14ac:dyDescent="0.25">
      <c r="A293" t="s">
        <v>1199</v>
      </c>
      <c r="B293" t="s">
        <v>139</v>
      </c>
      <c r="C293" t="s">
        <v>269</v>
      </c>
    </row>
    <row r="294" spans="1:3" x14ac:dyDescent="0.25">
      <c r="A294" t="s">
        <v>1199</v>
      </c>
      <c r="B294" t="s">
        <v>141</v>
      </c>
      <c r="C294" t="s">
        <v>270</v>
      </c>
    </row>
    <row r="295" spans="1:3" x14ac:dyDescent="0.25">
      <c r="A295" t="s">
        <v>1199</v>
      </c>
      <c r="B295" t="s">
        <v>143</v>
      </c>
      <c r="C295" t="s">
        <v>52</v>
      </c>
    </row>
    <row r="296" spans="1:3" x14ac:dyDescent="0.25">
      <c r="A296" t="s">
        <v>1199</v>
      </c>
      <c r="B296" t="s">
        <v>144</v>
      </c>
      <c r="C296" t="s">
        <v>271</v>
      </c>
    </row>
    <row r="297" spans="1:3" x14ac:dyDescent="0.25">
      <c r="A297" t="s">
        <v>1199</v>
      </c>
      <c r="B297" t="s">
        <v>146</v>
      </c>
      <c r="C297" t="s">
        <v>272</v>
      </c>
    </row>
    <row r="298" spans="1:3" x14ac:dyDescent="0.25">
      <c r="A298" t="s">
        <v>1199</v>
      </c>
      <c r="B298" t="s">
        <v>148</v>
      </c>
      <c r="C298" t="s">
        <v>273</v>
      </c>
    </row>
    <row r="299" spans="1:3" x14ac:dyDescent="0.25">
      <c r="A299" t="s">
        <v>1199</v>
      </c>
      <c r="B299" t="s">
        <v>150</v>
      </c>
      <c r="C299" t="s">
        <v>274</v>
      </c>
    </row>
    <row r="300" spans="1:3" x14ac:dyDescent="0.25">
      <c r="A300" t="s">
        <v>1199</v>
      </c>
      <c r="B300" t="s">
        <v>152</v>
      </c>
      <c r="C300" t="s">
        <v>275</v>
      </c>
    </row>
    <row r="301" spans="1:3" x14ac:dyDescent="0.25">
      <c r="A301" t="s">
        <v>1199</v>
      </c>
      <c r="B301" t="s">
        <v>154</v>
      </c>
      <c r="C301" t="s">
        <v>215</v>
      </c>
    </row>
    <row r="302" spans="1:3" x14ac:dyDescent="0.25">
      <c r="A302" t="s">
        <v>1199</v>
      </c>
      <c r="B302" t="s">
        <v>27</v>
      </c>
      <c r="C302" t="s">
        <v>276</v>
      </c>
    </row>
    <row r="303" spans="1:3" x14ac:dyDescent="0.25">
      <c r="A303" t="s">
        <v>1199</v>
      </c>
      <c r="B303" t="s">
        <v>157</v>
      </c>
      <c r="C303" t="s">
        <v>277</v>
      </c>
    </row>
    <row r="304" spans="1:3" x14ac:dyDescent="0.25">
      <c r="A304" t="s">
        <v>1199</v>
      </c>
      <c r="B304" t="s">
        <v>159</v>
      </c>
      <c r="C304" t="s">
        <v>278</v>
      </c>
    </row>
    <row r="305" spans="1:3" x14ac:dyDescent="0.25">
      <c r="A305" t="s">
        <v>1199</v>
      </c>
      <c r="B305" t="s">
        <v>161</v>
      </c>
      <c r="C305" t="s">
        <v>279</v>
      </c>
    </row>
    <row r="306" spans="1:3" x14ac:dyDescent="0.25">
      <c r="A306" t="s">
        <v>1200</v>
      </c>
      <c r="B306" t="s">
        <v>3</v>
      </c>
      <c r="C306" t="s">
        <v>280</v>
      </c>
    </row>
    <row r="307" spans="1:3" x14ac:dyDescent="0.25">
      <c r="A307" t="s">
        <v>1200</v>
      </c>
      <c r="B307" t="s">
        <v>5</v>
      </c>
      <c r="C307" t="s">
        <v>281</v>
      </c>
    </row>
    <row r="308" spans="1:3" x14ac:dyDescent="0.25">
      <c r="A308" t="s">
        <v>1200</v>
      </c>
      <c r="B308" t="s">
        <v>7</v>
      </c>
      <c r="C308" t="s">
        <v>282</v>
      </c>
    </row>
    <row r="309" spans="1:3" x14ac:dyDescent="0.25">
      <c r="A309" t="s">
        <v>1200</v>
      </c>
      <c r="B309" t="s">
        <v>9</v>
      </c>
      <c r="C309" t="s">
        <v>283</v>
      </c>
    </row>
    <row r="310" spans="1:3" x14ac:dyDescent="0.25">
      <c r="A310" t="s">
        <v>1200</v>
      </c>
      <c r="B310" t="s">
        <v>11</v>
      </c>
      <c r="C310" t="s">
        <v>284</v>
      </c>
    </row>
    <row r="311" spans="1:3" x14ac:dyDescent="0.25">
      <c r="A311" t="s">
        <v>1200</v>
      </c>
      <c r="B311" t="s">
        <v>13</v>
      </c>
      <c r="C311" t="s">
        <v>109</v>
      </c>
    </row>
    <row r="312" spans="1:3" x14ac:dyDescent="0.25">
      <c r="A312" t="s">
        <v>1200</v>
      </c>
      <c r="B312" t="s">
        <v>15</v>
      </c>
      <c r="C312" t="s">
        <v>285</v>
      </c>
    </row>
    <row r="313" spans="1:3" x14ac:dyDescent="0.25">
      <c r="A313" t="s">
        <v>1200</v>
      </c>
      <c r="B313" t="s">
        <v>17</v>
      </c>
      <c r="C313" t="s">
        <v>286</v>
      </c>
    </row>
    <row r="314" spans="1:3" x14ac:dyDescent="0.25">
      <c r="A314" t="s">
        <v>1200</v>
      </c>
      <c r="B314" t="s">
        <v>19</v>
      </c>
      <c r="C314" t="s">
        <v>287</v>
      </c>
    </row>
    <row r="315" spans="1:3" x14ac:dyDescent="0.25">
      <c r="A315" t="s">
        <v>1200</v>
      </c>
      <c r="B315" t="s">
        <v>21</v>
      </c>
      <c r="C315" t="s">
        <v>288</v>
      </c>
    </row>
    <row r="316" spans="1:3" x14ac:dyDescent="0.25">
      <c r="A316" t="s">
        <v>1200</v>
      </c>
      <c r="B316" t="s">
        <v>23</v>
      </c>
      <c r="C316" t="s">
        <v>289</v>
      </c>
    </row>
    <row r="317" spans="1:3" x14ac:dyDescent="0.25">
      <c r="A317" t="s">
        <v>1200</v>
      </c>
      <c r="B317" t="s">
        <v>25</v>
      </c>
      <c r="C317" t="s">
        <v>290</v>
      </c>
    </row>
    <row r="318" spans="1:3" x14ac:dyDescent="0.25">
      <c r="A318" t="s">
        <v>1200</v>
      </c>
      <c r="B318" t="s">
        <v>27</v>
      </c>
      <c r="C318" t="s">
        <v>291</v>
      </c>
    </row>
    <row r="319" spans="1:3" x14ac:dyDescent="0.25">
      <c r="A319" t="s">
        <v>1200</v>
      </c>
      <c r="B319" t="s">
        <v>29</v>
      </c>
      <c r="C319" t="s">
        <v>292</v>
      </c>
    </row>
    <row r="320" spans="1:3" x14ac:dyDescent="0.25">
      <c r="A320" t="s">
        <v>1200</v>
      </c>
      <c r="B320" t="s">
        <v>31</v>
      </c>
      <c r="C320" t="s">
        <v>293</v>
      </c>
    </row>
    <row r="321" spans="1:3" x14ac:dyDescent="0.25">
      <c r="A321" t="s">
        <v>1200</v>
      </c>
      <c r="B321" t="s">
        <v>33</v>
      </c>
      <c r="C321" t="s">
        <v>34</v>
      </c>
    </row>
    <row r="322" spans="1:3" x14ac:dyDescent="0.25">
      <c r="A322" t="s">
        <v>1201</v>
      </c>
      <c r="B322" t="s">
        <v>134</v>
      </c>
      <c r="C322" t="s">
        <v>294</v>
      </c>
    </row>
    <row r="323" spans="1:3" x14ac:dyDescent="0.25">
      <c r="A323" t="s">
        <v>1201</v>
      </c>
      <c r="B323" t="s">
        <v>136</v>
      </c>
      <c r="C323" t="s">
        <v>295</v>
      </c>
    </row>
    <row r="324" spans="1:3" x14ac:dyDescent="0.25">
      <c r="A324" t="s">
        <v>1201</v>
      </c>
      <c r="B324" t="s">
        <v>7</v>
      </c>
      <c r="C324" t="s">
        <v>296</v>
      </c>
    </row>
    <row r="325" spans="1:3" x14ac:dyDescent="0.25">
      <c r="A325" t="s">
        <v>1201</v>
      </c>
      <c r="B325" t="s">
        <v>139</v>
      </c>
      <c r="C325" t="s">
        <v>297</v>
      </c>
    </row>
    <row r="326" spans="1:3" x14ac:dyDescent="0.25">
      <c r="A326" t="s">
        <v>1201</v>
      </c>
      <c r="B326" t="s">
        <v>141</v>
      </c>
      <c r="C326" t="s">
        <v>298</v>
      </c>
    </row>
    <row r="327" spans="1:3" x14ac:dyDescent="0.25">
      <c r="A327" t="s">
        <v>1201</v>
      </c>
      <c r="B327" t="s">
        <v>143</v>
      </c>
      <c r="C327" t="s">
        <v>259</v>
      </c>
    </row>
    <row r="328" spans="1:3" x14ac:dyDescent="0.25">
      <c r="A328" t="s">
        <v>1201</v>
      </c>
      <c r="B328" t="s">
        <v>144</v>
      </c>
      <c r="C328" t="s">
        <v>299</v>
      </c>
    </row>
    <row r="329" spans="1:3" x14ac:dyDescent="0.25">
      <c r="A329" t="s">
        <v>1201</v>
      </c>
      <c r="B329" t="s">
        <v>146</v>
      </c>
      <c r="C329" t="s">
        <v>300</v>
      </c>
    </row>
    <row r="330" spans="1:3" x14ac:dyDescent="0.25">
      <c r="A330" t="s">
        <v>1201</v>
      </c>
      <c r="B330" t="s">
        <v>148</v>
      </c>
      <c r="C330" t="s">
        <v>301</v>
      </c>
    </row>
    <row r="331" spans="1:3" x14ac:dyDescent="0.25">
      <c r="A331" t="s">
        <v>1201</v>
      </c>
      <c r="B331" t="s">
        <v>150</v>
      </c>
      <c r="C331" t="s">
        <v>302</v>
      </c>
    </row>
    <row r="332" spans="1:3" x14ac:dyDescent="0.25">
      <c r="A332" t="s">
        <v>1201</v>
      </c>
      <c r="B332" t="s">
        <v>152</v>
      </c>
      <c r="C332" t="s">
        <v>303</v>
      </c>
    </row>
    <row r="333" spans="1:3" x14ac:dyDescent="0.25">
      <c r="A333" t="s">
        <v>1201</v>
      </c>
      <c r="B333" t="s">
        <v>154</v>
      </c>
      <c r="C333" t="s">
        <v>131</v>
      </c>
    </row>
    <row r="334" spans="1:3" x14ac:dyDescent="0.25">
      <c r="A334" t="s">
        <v>1201</v>
      </c>
      <c r="B334" t="s">
        <v>27</v>
      </c>
      <c r="C334" t="s">
        <v>304</v>
      </c>
    </row>
    <row r="335" spans="1:3" x14ac:dyDescent="0.25">
      <c r="A335" t="s">
        <v>1201</v>
      </c>
      <c r="B335" t="s">
        <v>157</v>
      </c>
      <c r="C335" t="s">
        <v>305</v>
      </c>
    </row>
    <row r="336" spans="1:3" x14ac:dyDescent="0.25">
      <c r="A336" t="s">
        <v>1201</v>
      </c>
      <c r="B336" t="s">
        <v>159</v>
      </c>
      <c r="C336" t="s">
        <v>306</v>
      </c>
    </row>
    <row r="337" spans="1:3" x14ac:dyDescent="0.25">
      <c r="A337" t="s">
        <v>1201</v>
      </c>
      <c r="B337" t="s">
        <v>161</v>
      </c>
      <c r="C337" t="s">
        <v>307</v>
      </c>
    </row>
    <row r="338" spans="1:3" x14ac:dyDescent="0.25">
      <c r="A338" t="s">
        <v>1202</v>
      </c>
      <c r="B338" t="s">
        <v>134</v>
      </c>
      <c r="C338" t="s">
        <v>308</v>
      </c>
    </row>
    <row r="339" spans="1:3" x14ac:dyDescent="0.25">
      <c r="A339" t="s">
        <v>1202</v>
      </c>
      <c r="B339" t="s">
        <v>136</v>
      </c>
      <c r="C339" t="s">
        <v>309</v>
      </c>
    </row>
    <row r="340" spans="1:3" x14ac:dyDescent="0.25">
      <c r="A340" t="s">
        <v>1202</v>
      </c>
      <c r="B340" t="s">
        <v>7</v>
      </c>
      <c r="C340" t="s">
        <v>310</v>
      </c>
    </row>
    <row r="341" spans="1:3" x14ac:dyDescent="0.25">
      <c r="A341" t="s">
        <v>1202</v>
      </c>
      <c r="B341" t="s">
        <v>139</v>
      </c>
      <c r="C341" t="s">
        <v>311</v>
      </c>
    </row>
    <row r="342" spans="1:3" x14ac:dyDescent="0.25">
      <c r="A342" t="s">
        <v>1202</v>
      </c>
      <c r="B342" t="s">
        <v>141</v>
      </c>
      <c r="C342" t="s">
        <v>51</v>
      </c>
    </row>
    <row r="343" spans="1:3" x14ac:dyDescent="0.25">
      <c r="A343" t="s">
        <v>1202</v>
      </c>
      <c r="B343" t="s">
        <v>143</v>
      </c>
      <c r="C343" t="s">
        <v>39</v>
      </c>
    </row>
    <row r="344" spans="1:3" x14ac:dyDescent="0.25">
      <c r="A344" t="s">
        <v>1202</v>
      </c>
      <c r="B344" t="s">
        <v>144</v>
      </c>
      <c r="C344" t="s">
        <v>312</v>
      </c>
    </row>
    <row r="345" spans="1:3" x14ac:dyDescent="0.25">
      <c r="A345" t="s">
        <v>1202</v>
      </c>
      <c r="B345" t="s">
        <v>146</v>
      </c>
      <c r="C345" t="s">
        <v>313</v>
      </c>
    </row>
    <row r="346" spans="1:3" x14ac:dyDescent="0.25">
      <c r="A346" t="s">
        <v>1202</v>
      </c>
      <c r="B346" t="s">
        <v>148</v>
      </c>
      <c r="C346" t="s">
        <v>314</v>
      </c>
    </row>
    <row r="347" spans="1:3" x14ac:dyDescent="0.25">
      <c r="A347" t="s">
        <v>1202</v>
      </c>
      <c r="B347" t="s">
        <v>150</v>
      </c>
      <c r="C347" t="s">
        <v>315</v>
      </c>
    </row>
    <row r="348" spans="1:3" x14ac:dyDescent="0.25">
      <c r="A348" t="s">
        <v>1202</v>
      </c>
      <c r="B348" t="s">
        <v>152</v>
      </c>
      <c r="C348" t="s">
        <v>316</v>
      </c>
    </row>
    <row r="349" spans="1:3" x14ac:dyDescent="0.25">
      <c r="A349" t="s">
        <v>1202</v>
      </c>
      <c r="B349" t="s">
        <v>154</v>
      </c>
      <c r="C349" t="s">
        <v>317</v>
      </c>
    </row>
    <row r="350" spans="1:3" x14ac:dyDescent="0.25">
      <c r="A350" t="s">
        <v>1202</v>
      </c>
      <c r="B350" t="s">
        <v>27</v>
      </c>
      <c r="C350" t="s">
        <v>276</v>
      </c>
    </row>
    <row r="351" spans="1:3" x14ac:dyDescent="0.25">
      <c r="A351" t="s">
        <v>1202</v>
      </c>
      <c r="B351" t="s">
        <v>157</v>
      </c>
      <c r="C351" t="s">
        <v>215</v>
      </c>
    </row>
    <row r="352" spans="1:3" x14ac:dyDescent="0.25">
      <c r="A352" t="s">
        <v>1202</v>
      </c>
      <c r="B352" t="s">
        <v>159</v>
      </c>
      <c r="C352" t="s">
        <v>318</v>
      </c>
    </row>
    <row r="353" spans="1:3" x14ac:dyDescent="0.25">
      <c r="A353" t="s">
        <v>1202</v>
      </c>
      <c r="B353" t="s">
        <v>161</v>
      </c>
      <c r="C353" t="s">
        <v>45</v>
      </c>
    </row>
    <row r="354" spans="1:3" x14ac:dyDescent="0.25">
      <c r="A354" t="s">
        <v>1203</v>
      </c>
      <c r="B354" t="s">
        <v>134</v>
      </c>
      <c r="C354" t="s">
        <v>309</v>
      </c>
    </row>
    <row r="355" spans="1:3" x14ac:dyDescent="0.25">
      <c r="A355" t="s">
        <v>1203</v>
      </c>
      <c r="B355" t="s">
        <v>136</v>
      </c>
      <c r="C355" t="s">
        <v>319</v>
      </c>
    </row>
    <row r="356" spans="1:3" x14ac:dyDescent="0.25">
      <c r="A356" t="s">
        <v>1203</v>
      </c>
      <c r="B356" t="s">
        <v>7</v>
      </c>
      <c r="C356" t="s">
        <v>320</v>
      </c>
    </row>
    <row r="357" spans="1:3" x14ac:dyDescent="0.25">
      <c r="A357" t="s">
        <v>1203</v>
      </c>
      <c r="B357" t="s">
        <v>139</v>
      </c>
      <c r="C357" t="s">
        <v>321</v>
      </c>
    </row>
    <row r="358" spans="1:3" x14ac:dyDescent="0.25">
      <c r="A358" t="s">
        <v>1203</v>
      </c>
      <c r="B358" t="s">
        <v>141</v>
      </c>
      <c r="C358" t="s">
        <v>322</v>
      </c>
    </row>
    <row r="359" spans="1:3" x14ac:dyDescent="0.25">
      <c r="A359" t="s">
        <v>1203</v>
      </c>
      <c r="B359" t="s">
        <v>143</v>
      </c>
      <c r="C359" t="s">
        <v>109</v>
      </c>
    </row>
    <row r="360" spans="1:3" x14ac:dyDescent="0.25">
      <c r="A360" t="s">
        <v>1203</v>
      </c>
      <c r="B360" t="s">
        <v>144</v>
      </c>
      <c r="C360" t="s">
        <v>323</v>
      </c>
    </row>
    <row r="361" spans="1:3" x14ac:dyDescent="0.25">
      <c r="A361" t="s">
        <v>1203</v>
      </c>
      <c r="B361" t="s">
        <v>146</v>
      </c>
      <c r="C361" t="s">
        <v>324</v>
      </c>
    </row>
    <row r="362" spans="1:3" x14ac:dyDescent="0.25">
      <c r="A362" t="s">
        <v>1203</v>
      </c>
      <c r="B362" t="s">
        <v>148</v>
      </c>
      <c r="C362" t="s">
        <v>325</v>
      </c>
    </row>
    <row r="363" spans="1:3" x14ac:dyDescent="0.25">
      <c r="A363" t="s">
        <v>1203</v>
      </c>
      <c r="B363" t="s">
        <v>150</v>
      </c>
      <c r="C363" t="s">
        <v>326</v>
      </c>
    </row>
    <row r="364" spans="1:3" x14ac:dyDescent="0.25">
      <c r="A364" t="s">
        <v>1203</v>
      </c>
      <c r="B364" t="s">
        <v>152</v>
      </c>
      <c r="C364" t="s">
        <v>237</v>
      </c>
    </row>
    <row r="365" spans="1:3" x14ac:dyDescent="0.25">
      <c r="A365" t="s">
        <v>1203</v>
      </c>
      <c r="B365" t="s">
        <v>154</v>
      </c>
      <c r="C365" t="s">
        <v>327</v>
      </c>
    </row>
    <row r="366" spans="1:3" x14ac:dyDescent="0.25">
      <c r="A366" t="s">
        <v>1203</v>
      </c>
      <c r="B366" t="s">
        <v>27</v>
      </c>
      <c r="C366" t="s">
        <v>328</v>
      </c>
    </row>
    <row r="367" spans="1:3" x14ac:dyDescent="0.25">
      <c r="A367" t="s">
        <v>1203</v>
      </c>
      <c r="B367" t="s">
        <v>157</v>
      </c>
      <c r="C367" t="s">
        <v>239</v>
      </c>
    </row>
    <row r="368" spans="1:3" x14ac:dyDescent="0.25">
      <c r="A368" t="s">
        <v>1203</v>
      </c>
      <c r="B368" t="s">
        <v>159</v>
      </c>
      <c r="C368" t="s">
        <v>329</v>
      </c>
    </row>
    <row r="369" spans="1:3" x14ac:dyDescent="0.25">
      <c r="A369" t="s">
        <v>1203</v>
      </c>
      <c r="B369" t="s">
        <v>161</v>
      </c>
      <c r="C369" t="s">
        <v>330</v>
      </c>
    </row>
    <row r="370" spans="1:3" x14ac:dyDescent="0.25">
      <c r="A370" t="s">
        <v>1204</v>
      </c>
      <c r="B370" t="s">
        <v>3</v>
      </c>
      <c r="C370" t="s">
        <v>331</v>
      </c>
    </row>
    <row r="371" spans="1:3" x14ac:dyDescent="0.25">
      <c r="A371" t="s">
        <v>1204</v>
      </c>
      <c r="B371" t="s">
        <v>5</v>
      </c>
      <c r="C371" t="s">
        <v>332</v>
      </c>
    </row>
    <row r="372" spans="1:3" x14ac:dyDescent="0.25">
      <c r="A372" t="s">
        <v>1204</v>
      </c>
      <c r="B372" t="s">
        <v>7</v>
      </c>
      <c r="C372" t="s">
        <v>333</v>
      </c>
    </row>
    <row r="373" spans="1:3" x14ac:dyDescent="0.25">
      <c r="A373" t="s">
        <v>1204</v>
      </c>
      <c r="B373" t="s">
        <v>9</v>
      </c>
      <c r="C373" t="s">
        <v>334</v>
      </c>
    </row>
    <row r="374" spans="1:3" x14ac:dyDescent="0.25">
      <c r="A374" t="s">
        <v>1204</v>
      </c>
      <c r="B374" t="s">
        <v>11</v>
      </c>
      <c r="C374" t="s">
        <v>335</v>
      </c>
    </row>
    <row r="375" spans="1:3" x14ac:dyDescent="0.25">
      <c r="A375" t="s">
        <v>1204</v>
      </c>
      <c r="B375" t="s">
        <v>13</v>
      </c>
      <c r="C375" t="s">
        <v>109</v>
      </c>
    </row>
    <row r="376" spans="1:3" x14ac:dyDescent="0.25">
      <c r="A376" t="s">
        <v>1204</v>
      </c>
      <c r="B376" t="s">
        <v>15</v>
      </c>
      <c r="C376" t="s">
        <v>336</v>
      </c>
    </row>
    <row r="377" spans="1:3" x14ac:dyDescent="0.25">
      <c r="A377" t="s">
        <v>1204</v>
      </c>
      <c r="B377" t="s">
        <v>17</v>
      </c>
      <c r="C377" t="s">
        <v>337</v>
      </c>
    </row>
    <row r="378" spans="1:3" x14ac:dyDescent="0.25">
      <c r="A378" t="s">
        <v>1204</v>
      </c>
      <c r="B378" t="s">
        <v>19</v>
      </c>
      <c r="C378" t="s">
        <v>20</v>
      </c>
    </row>
    <row r="379" spans="1:3" x14ac:dyDescent="0.25">
      <c r="A379" t="s">
        <v>1204</v>
      </c>
      <c r="B379" t="s">
        <v>21</v>
      </c>
      <c r="C379" t="s">
        <v>338</v>
      </c>
    </row>
    <row r="380" spans="1:3" x14ac:dyDescent="0.25">
      <c r="A380" t="s">
        <v>1204</v>
      </c>
      <c r="B380" t="s">
        <v>23</v>
      </c>
      <c r="C380" t="s">
        <v>339</v>
      </c>
    </row>
    <row r="381" spans="1:3" x14ac:dyDescent="0.25">
      <c r="A381" t="s">
        <v>1204</v>
      </c>
      <c r="B381" t="s">
        <v>25</v>
      </c>
      <c r="C381" t="s">
        <v>340</v>
      </c>
    </row>
    <row r="382" spans="1:3" x14ac:dyDescent="0.25">
      <c r="A382" t="s">
        <v>1204</v>
      </c>
      <c r="B382" t="s">
        <v>27</v>
      </c>
      <c r="C382" t="s">
        <v>214</v>
      </c>
    </row>
    <row r="383" spans="1:3" x14ac:dyDescent="0.25">
      <c r="A383" t="s">
        <v>1204</v>
      </c>
      <c r="B383" t="s">
        <v>29</v>
      </c>
      <c r="C383" t="s">
        <v>341</v>
      </c>
    </row>
    <row r="384" spans="1:3" x14ac:dyDescent="0.25">
      <c r="A384" t="s">
        <v>1204</v>
      </c>
      <c r="B384" t="s">
        <v>31</v>
      </c>
      <c r="C384" t="s">
        <v>73</v>
      </c>
    </row>
    <row r="385" spans="1:3" x14ac:dyDescent="0.25">
      <c r="A385" t="s">
        <v>1204</v>
      </c>
      <c r="B385" t="s">
        <v>33</v>
      </c>
      <c r="C385" t="s">
        <v>176</v>
      </c>
    </row>
    <row r="386" spans="1:3" x14ac:dyDescent="0.25">
      <c r="A386" t="s">
        <v>1205</v>
      </c>
      <c r="B386" t="s">
        <v>3</v>
      </c>
      <c r="C386" t="s">
        <v>342</v>
      </c>
    </row>
    <row r="387" spans="1:3" x14ac:dyDescent="0.25">
      <c r="A387" t="s">
        <v>1205</v>
      </c>
      <c r="B387" t="s">
        <v>5</v>
      </c>
      <c r="C387" t="s">
        <v>343</v>
      </c>
    </row>
    <row r="388" spans="1:3" x14ac:dyDescent="0.25">
      <c r="A388" t="s">
        <v>1205</v>
      </c>
      <c r="B388" t="s">
        <v>7</v>
      </c>
      <c r="C388" t="s">
        <v>122</v>
      </c>
    </row>
    <row r="389" spans="1:3" x14ac:dyDescent="0.25">
      <c r="A389" t="s">
        <v>1205</v>
      </c>
      <c r="B389" t="s">
        <v>9</v>
      </c>
      <c r="C389" t="s">
        <v>344</v>
      </c>
    </row>
    <row r="390" spans="1:3" x14ac:dyDescent="0.25">
      <c r="A390" t="s">
        <v>1205</v>
      </c>
      <c r="B390" t="s">
        <v>11</v>
      </c>
      <c r="C390" t="s">
        <v>142</v>
      </c>
    </row>
    <row r="391" spans="1:3" x14ac:dyDescent="0.25">
      <c r="A391" t="s">
        <v>1205</v>
      </c>
      <c r="B391" t="s">
        <v>13</v>
      </c>
      <c r="C391" t="s">
        <v>14</v>
      </c>
    </row>
    <row r="392" spans="1:3" x14ac:dyDescent="0.25">
      <c r="A392" t="s">
        <v>1205</v>
      </c>
      <c r="B392" t="s">
        <v>15</v>
      </c>
      <c r="C392" t="s">
        <v>345</v>
      </c>
    </row>
    <row r="393" spans="1:3" x14ac:dyDescent="0.25">
      <c r="A393" t="s">
        <v>1205</v>
      </c>
      <c r="B393" t="s">
        <v>17</v>
      </c>
      <c r="C393" t="s">
        <v>190</v>
      </c>
    </row>
    <row r="394" spans="1:3" x14ac:dyDescent="0.25">
      <c r="A394" t="s">
        <v>1205</v>
      </c>
      <c r="B394" t="s">
        <v>19</v>
      </c>
      <c r="C394" t="s">
        <v>346</v>
      </c>
    </row>
    <row r="395" spans="1:3" x14ac:dyDescent="0.25">
      <c r="A395" t="s">
        <v>1205</v>
      </c>
      <c r="B395" t="s">
        <v>21</v>
      </c>
      <c r="C395" t="s">
        <v>347</v>
      </c>
    </row>
    <row r="396" spans="1:3" x14ac:dyDescent="0.25">
      <c r="A396" t="s">
        <v>1205</v>
      </c>
      <c r="B396" t="s">
        <v>23</v>
      </c>
      <c r="C396" t="s">
        <v>348</v>
      </c>
    </row>
    <row r="397" spans="1:3" x14ac:dyDescent="0.25">
      <c r="A397" t="s">
        <v>1205</v>
      </c>
      <c r="B397" t="s">
        <v>25</v>
      </c>
      <c r="C397" t="s">
        <v>349</v>
      </c>
    </row>
    <row r="398" spans="1:3" x14ac:dyDescent="0.25">
      <c r="A398" t="s">
        <v>1205</v>
      </c>
      <c r="B398" t="s">
        <v>27</v>
      </c>
      <c r="C398" t="s">
        <v>116</v>
      </c>
    </row>
    <row r="399" spans="1:3" x14ac:dyDescent="0.25">
      <c r="A399" t="s">
        <v>1205</v>
      </c>
      <c r="B399" t="s">
        <v>29</v>
      </c>
      <c r="C399" t="s">
        <v>30</v>
      </c>
    </row>
    <row r="400" spans="1:3" x14ac:dyDescent="0.25">
      <c r="A400" t="s">
        <v>1205</v>
      </c>
      <c r="B400" t="s">
        <v>31</v>
      </c>
      <c r="C400" t="s">
        <v>350</v>
      </c>
    </row>
    <row r="401" spans="1:3" x14ac:dyDescent="0.25">
      <c r="A401" t="s">
        <v>1205</v>
      </c>
      <c r="B401" t="s">
        <v>33</v>
      </c>
      <c r="C401" t="s">
        <v>105</v>
      </c>
    </row>
    <row r="402" spans="1:3" x14ac:dyDescent="0.25">
      <c r="A402" t="s">
        <v>1206</v>
      </c>
      <c r="B402" t="s">
        <v>3</v>
      </c>
      <c r="C402" t="s">
        <v>138</v>
      </c>
    </row>
    <row r="403" spans="1:3" x14ac:dyDescent="0.25">
      <c r="A403" t="s">
        <v>1206</v>
      </c>
      <c r="B403" t="s">
        <v>5</v>
      </c>
      <c r="C403" t="s">
        <v>351</v>
      </c>
    </row>
    <row r="404" spans="1:3" x14ac:dyDescent="0.25">
      <c r="A404" t="s">
        <v>1206</v>
      </c>
      <c r="B404" t="s">
        <v>7</v>
      </c>
      <c r="C404" t="s">
        <v>352</v>
      </c>
    </row>
    <row r="405" spans="1:3" x14ac:dyDescent="0.25">
      <c r="A405" t="s">
        <v>1206</v>
      </c>
      <c r="B405" t="s">
        <v>9</v>
      </c>
      <c r="C405" t="s">
        <v>353</v>
      </c>
    </row>
    <row r="406" spans="1:3" x14ac:dyDescent="0.25">
      <c r="A406" t="s">
        <v>1206</v>
      </c>
      <c r="B406" t="s">
        <v>11</v>
      </c>
      <c r="C406" t="s">
        <v>354</v>
      </c>
    </row>
    <row r="407" spans="1:3" x14ac:dyDescent="0.25">
      <c r="A407" t="s">
        <v>1206</v>
      </c>
      <c r="B407" t="s">
        <v>13</v>
      </c>
      <c r="C407" t="s">
        <v>51</v>
      </c>
    </row>
    <row r="408" spans="1:3" x14ac:dyDescent="0.25">
      <c r="A408" t="s">
        <v>1206</v>
      </c>
      <c r="B408" t="s">
        <v>15</v>
      </c>
      <c r="C408" t="s">
        <v>355</v>
      </c>
    </row>
    <row r="409" spans="1:3" x14ac:dyDescent="0.25">
      <c r="A409" t="s">
        <v>1206</v>
      </c>
      <c r="B409" t="s">
        <v>17</v>
      </c>
      <c r="C409" t="s">
        <v>356</v>
      </c>
    </row>
    <row r="410" spans="1:3" x14ac:dyDescent="0.25">
      <c r="A410" t="s">
        <v>1206</v>
      </c>
      <c r="B410" t="s">
        <v>19</v>
      </c>
      <c r="C410" t="s">
        <v>189</v>
      </c>
    </row>
    <row r="411" spans="1:3" x14ac:dyDescent="0.25">
      <c r="A411" t="s">
        <v>1206</v>
      </c>
      <c r="B411" t="s">
        <v>21</v>
      </c>
      <c r="C411" t="s">
        <v>357</v>
      </c>
    </row>
    <row r="412" spans="1:3" x14ac:dyDescent="0.25">
      <c r="A412" t="s">
        <v>1206</v>
      </c>
      <c r="B412" t="s">
        <v>23</v>
      </c>
      <c r="C412" t="s">
        <v>358</v>
      </c>
    </row>
    <row r="413" spans="1:3" x14ac:dyDescent="0.25">
      <c r="A413" t="s">
        <v>1206</v>
      </c>
      <c r="B413" t="s">
        <v>25</v>
      </c>
      <c r="C413" t="s">
        <v>359</v>
      </c>
    </row>
    <row r="414" spans="1:3" x14ac:dyDescent="0.25">
      <c r="A414" t="s">
        <v>1206</v>
      </c>
      <c r="B414" t="s">
        <v>27</v>
      </c>
      <c r="C414" t="s">
        <v>73</v>
      </c>
    </row>
    <row r="415" spans="1:3" x14ac:dyDescent="0.25">
      <c r="A415" t="s">
        <v>1206</v>
      </c>
      <c r="B415" t="s">
        <v>29</v>
      </c>
      <c r="C415" t="s">
        <v>360</v>
      </c>
    </row>
    <row r="416" spans="1:3" x14ac:dyDescent="0.25">
      <c r="A416" t="s">
        <v>1206</v>
      </c>
      <c r="B416" t="s">
        <v>31</v>
      </c>
      <c r="C416" t="s">
        <v>69</v>
      </c>
    </row>
    <row r="417" spans="1:3" x14ac:dyDescent="0.25">
      <c r="A417" t="s">
        <v>1206</v>
      </c>
      <c r="B417" t="s">
        <v>33</v>
      </c>
      <c r="C417" t="s">
        <v>361</v>
      </c>
    </row>
    <row r="418" spans="1:3" x14ac:dyDescent="0.25">
      <c r="A418" t="s">
        <v>1207</v>
      </c>
      <c r="B418" t="s">
        <v>3</v>
      </c>
      <c r="C418" t="s">
        <v>362</v>
      </c>
    </row>
    <row r="419" spans="1:3" x14ac:dyDescent="0.25">
      <c r="A419" t="s">
        <v>1207</v>
      </c>
      <c r="B419" t="s">
        <v>5</v>
      </c>
      <c r="C419" t="s">
        <v>363</v>
      </c>
    </row>
    <row r="420" spans="1:3" x14ac:dyDescent="0.25">
      <c r="A420" t="s">
        <v>1207</v>
      </c>
      <c r="B420" t="s">
        <v>7</v>
      </c>
      <c r="C420" t="s">
        <v>364</v>
      </c>
    </row>
    <row r="421" spans="1:3" x14ac:dyDescent="0.25">
      <c r="A421" t="s">
        <v>1207</v>
      </c>
      <c r="B421" t="s">
        <v>9</v>
      </c>
      <c r="C421" t="s">
        <v>365</v>
      </c>
    </row>
    <row r="422" spans="1:3" x14ac:dyDescent="0.25">
      <c r="A422" t="s">
        <v>1207</v>
      </c>
      <c r="B422" t="s">
        <v>11</v>
      </c>
      <c r="C422" t="s">
        <v>40</v>
      </c>
    </row>
    <row r="423" spans="1:3" x14ac:dyDescent="0.25">
      <c r="A423" t="s">
        <v>1207</v>
      </c>
      <c r="B423" t="s">
        <v>13</v>
      </c>
      <c r="C423" t="s">
        <v>39</v>
      </c>
    </row>
    <row r="424" spans="1:3" x14ac:dyDescent="0.25">
      <c r="A424" t="s">
        <v>1207</v>
      </c>
      <c r="B424" t="s">
        <v>15</v>
      </c>
      <c r="C424" t="s">
        <v>12</v>
      </c>
    </row>
    <row r="425" spans="1:3" x14ac:dyDescent="0.25">
      <c r="A425" t="s">
        <v>1207</v>
      </c>
      <c r="B425" t="s">
        <v>17</v>
      </c>
      <c r="C425" t="s">
        <v>366</v>
      </c>
    </row>
    <row r="426" spans="1:3" x14ac:dyDescent="0.25">
      <c r="A426" t="s">
        <v>1207</v>
      </c>
      <c r="B426" t="s">
        <v>19</v>
      </c>
      <c r="C426" t="s">
        <v>367</v>
      </c>
    </row>
    <row r="427" spans="1:3" x14ac:dyDescent="0.25">
      <c r="A427" t="s">
        <v>1207</v>
      </c>
      <c r="B427" t="s">
        <v>21</v>
      </c>
      <c r="C427" t="s">
        <v>368</v>
      </c>
    </row>
    <row r="428" spans="1:3" x14ac:dyDescent="0.25">
      <c r="A428" t="s">
        <v>1207</v>
      </c>
      <c r="B428" t="s">
        <v>23</v>
      </c>
      <c r="C428" t="s">
        <v>369</v>
      </c>
    </row>
    <row r="429" spans="1:3" x14ac:dyDescent="0.25">
      <c r="A429" t="s">
        <v>1207</v>
      </c>
      <c r="B429" t="s">
        <v>25</v>
      </c>
      <c r="C429" t="s">
        <v>349</v>
      </c>
    </row>
    <row r="430" spans="1:3" x14ac:dyDescent="0.25">
      <c r="A430" t="s">
        <v>1207</v>
      </c>
      <c r="B430" t="s">
        <v>27</v>
      </c>
      <c r="C430" t="s">
        <v>370</v>
      </c>
    </row>
    <row r="431" spans="1:3" x14ac:dyDescent="0.25">
      <c r="A431" t="s">
        <v>1207</v>
      </c>
      <c r="B431" t="s">
        <v>29</v>
      </c>
      <c r="C431" t="s">
        <v>371</v>
      </c>
    </row>
    <row r="432" spans="1:3" x14ac:dyDescent="0.25">
      <c r="A432" t="s">
        <v>1207</v>
      </c>
      <c r="B432" t="s">
        <v>31</v>
      </c>
      <c r="C432" t="s">
        <v>287</v>
      </c>
    </row>
    <row r="433" spans="1:3" x14ac:dyDescent="0.25">
      <c r="A433" t="s">
        <v>1207</v>
      </c>
      <c r="B433" t="s">
        <v>33</v>
      </c>
      <c r="C433" t="s">
        <v>372</v>
      </c>
    </row>
    <row r="434" spans="1:3" x14ac:dyDescent="0.25">
      <c r="A434" t="s">
        <v>1208</v>
      </c>
      <c r="B434" t="s">
        <v>3</v>
      </c>
      <c r="C434" t="s">
        <v>373</v>
      </c>
    </row>
    <row r="435" spans="1:3" x14ac:dyDescent="0.25">
      <c r="A435" t="s">
        <v>1208</v>
      </c>
      <c r="B435" t="s">
        <v>5</v>
      </c>
      <c r="C435" t="s">
        <v>374</v>
      </c>
    </row>
    <row r="436" spans="1:3" x14ac:dyDescent="0.25">
      <c r="A436" t="s">
        <v>1208</v>
      </c>
      <c r="B436" t="s">
        <v>7</v>
      </c>
      <c r="C436" t="s">
        <v>219</v>
      </c>
    </row>
    <row r="437" spans="1:3" x14ac:dyDescent="0.25">
      <c r="A437" t="s">
        <v>1208</v>
      </c>
      <c r="B437" t="s">
        <v>9</v>
      </c>
      <c r="C437" t="s">
        <v>375</v>
      </c>
    </row>
    <row r="438" spans="1:3" x14ac:dyDescent="0.25">
      <c r="A438" t="s">
        <v>1208</v>
      </c>
      <c r="B438" t="s">
        <v>11</v>
      </c>
      <c r="C438" t="s">
        <v>270</v>
      </c>
    </row>
    <row r="439" spans="1:3" x14ac:dyDescent="0.25">
      <c r="A439" t="s">
        <v>1208</v>
      </c>
      <c r="B439" t="s">
        <v>13</v>
      </c>
      <c r="C439" t="s">
        <v>167</v>
      </c>
    </row>
    <row r="440" spans="1:3" x14ac:dyDescent="0.25">
      <c r="A440" t="s">
        <v>1208</v>
      </c>
      <c r="B440" t="s">
        <v>15</v>
      </c>
      <c r="C440" t="s">
        <v>376</v>
      </c>
    </row>
    <row r="441" spans="1:3" x14ac:dyDescent="0.25">
      <c r="A441" t="s">
        <v>1208</v>
      </c>
      <c r="B441" t="s">
        <v>17</v>
      </c>
      <c r="C441" t="s">
        <v>377</v>
      </c>
    </row>
    <row r="442" spans="1:3" x14ac:dyDescent="0.25">
      <c r="A442" t="s">
        <v>1208</v>
      </c>
      <c r="B442" t="s">
        <v>19</v>
      </c>
      <c r="C442" t="s">
        <v>378</v>
      </c>
    </row>
    <row r="443" spans="1:3" x14ac:dyDescent="0.25">
      <c r="A443" t="s">
        <v>1208</v>
      </c>
      <c r="B443" t="s">
        <v>21</v>
      </c>
      <c r="C443" t="s">
        <v>379</v>
      </c>
    </row>
    <row r="444" spans="1:3" x14ac:dyDescent="0.25">
      <c r="A444" t="s">
        <v>1208</v>
      </c>
      <c r="B444" t="s">
        <v>23</v>
      </c>
      <c r="C444" t="s">
        <v>380</v>
      </c>
    </row>
    <row r="445" spans="1:3" x14ac:dyDescent="0.25">
      <c r="A445" t="s">
        <v>1208</v>
      </c>
      <c r="B445" t="s">
        <v>25</v>
      </c>
      <c r="C445" t="s">
        <v>381</v>
      </c>
    </row>
    <row r="446" spans="1:3" x14ac:dyDescent="0.25">
      <c r="A446" t="s">
        <v>1208</v>
      </c>
      <c r="B446" t="s">
        <v>27</v>
      </c>
      <c r="C446" t="s">
        <v>382</v>
      </c>
    </row>
    <row r="447" spans="1:3" x14ac:dyDescent="0.25">
      <c r="A447" t="s">
        <v>1208</v>
      </c>
      <c r="B447" t="s">
        <v>29</v>
      </c>
      <c r="C447" t="s">
        <v>383</v>
      </c>
    </row>
    <row r="448" spans="1:3" x14ac:dyDescent="0.25">
      <c r="A448" t="s">
        <v>1208</v>
      </c>
      <c r="B448" t="s">
        <v>31</v>
      </c>
      <c r="C448" t="s">
        <v>229</v>
      </c>
    </row>
    <row r="449" spans="1:3" x14ac:dyDescent="0.25">
      <c r="A449" t="s">
        <v>1208</v>
      </c>
      <c r="B449" t="s">
        <v>33</v>
      </c>
      <c r="C449" t="s">
        <v>34</v>
      </c>
    </row>
    <row r="450" spans="1:3" x14ac:dyDescent="0.25">
      <c r="A450" t="s">
        <v>1209</v>
      </c>
      <c r="B450" t="s">
        <v>134</v>
      </c>
      <c r="C450" t="s">
        <v>6</v>
      </c>
    </row>
    <row r="451" spans="1:3" x14ac:dyDescent="0.25">
      <c r="A451" t="s">
        <v>1209</v>
      </c>
      <c r="B451" t="s">
        <v>136</v>
      </c>
      <c r="C451" t="s">
        <v>384</v>
      </c>
    </row>
    <row r="452" spans="1:3" x14ac:dyDescent="0.25">
      <c r="A452" t="s">
        <v>1209</v>
      </c>
      <c r="B452" t="s">
        <v>7</v>
      </c>
      <c r="C452" t="s">
        <v>63</v>
      </c>
    </row>
    <row r="453" spans="1:3" x14ac:dyDescent="0.25">
      <c r="A453" t="s">
        <v>1209</v>
      </c>
      <c r="B453" t="s">
        <v>139</v>
      </c>
      <c r="C453" t="s">
        <v>385</v>
      </c>
    </row>
    <row r="454" spans="1:3" x14ac:dyDescent="0.25">
      <c r="A454" t="s">
        <v>1209</v>
      </c>
      <c r="B454" t="s">
        <v>141</v>
      </c>
      <c r="C454" t="s">
        <v>386</v>
      </c>
    </row>
    <row r="455" spans="1:3" x14ac:dyDescent="0.25">
      <c r="A455" t="s">
        <v>1209</v>
      </c>
      <c r="B455" t="s">
        <v>143</v>
      </c>
      <c r="C455" t="s">
        <v>52</v>
      </c>
    </row>
    <row r="456" spans="1:3" x14ac:dyDescent="0.25">
      <c r="A456" t="s">
        <v>1209</v>
      </c>
      <c r="B456" t="s">
        <v>144</v>
      </c>
      <c r="C456" t="s">
        <v>299</v>
      </c>
    </row>
    <row r="457" spans="1:3" x14ac:dyDescent="0.25">
      <c r="A457" t="s">
        <v>1209</v>
      </c>
      <c r="B457" t="s">
        <v>146</v>
      </c>
      <c r="C457" t="s">
        <v>387</v>
      </c>
    </row>
    <row r="458" spans="1:3" x14ac:dyDescent="0.25">
      <c r="A458" t="s">
        <v>1209</v>
      </c>
      <c r="B458" t="s">
        <v>148</v>
      </c>
      <c r="C458" t="s">
        <v>388</v>
      </c>
    </row>
    <row r="459" spans="1:3" x14ac:dyDescent="0.25">
      <c r="A459" t="s">
        <v>1209</v>
      </c>
      <c r="B459" t="s">
        <v>150</v>
      </c>
      <c r="C459" t="s">
        <v>389</v>
      </c>
    </row>
    <row r="460" spans="1:3" x14ac:dyDescent="0.25">
      <c r="A460" t="s">
        <v>1209</v>
      </c>
      <c r="B460" t="s">
        <v>152</v>
      </c>
      <c r="C460" t="s">
        <v>390</v>
      </c>
    </row>
    <row r="461" spans="1:3" x14ac:dyDescent="0.25">
      <c r="A461" t="s">
        <v>1209</v>
      </c>
      <c r="B461" t="s">
        <v>154</v>
      </c>
      <c r="C461" t="s">
        <v>371</v>
      </c>
    </row>
    <row r="462" spans="1:3" x14ac:dyDescent="0.25">
      <c r="A462" t="s">
        <v>1209</v>
      </c>
      <c r="B462" t="s">
        <v>27</v>
      </c>
      <c r="C462" t="s">
        <v>391</v>
      </c>
    </row>
    <row r="463" spans="1:3" x14ac:dyDescent="0.25">
      <c r="A463" t="s">
        <v>1209</v>
      </c>
      <c r="B463" t="s">
        <v>157</v>
      </c>
      <c r="C463" t="s">
        <v>392</v>
      </c>
    </row>
    <row r="464" spans="1:3" x14ac:dyDescent="0.25">
      <c r="A464" t="s">
        <v>1209</v>
      </c>
      <c r="B464" t="s">
        <v>159</v>
      </c>
      <c r="C464" t="s">
        <v>175</v>
      </c>
    </row>
    <row r="465" spans="1:3" x14ac:dyDescent="0.25">
      <c r="A465" t="s">
        <v>1209</v>
      </c>
      <c r="B465" t="s">
        <v>161</v>
      </c>
      <c r="C465" t="s">
        <v>393</v>
      </c>
    </row>
    <row r="466" spans="1:3" x14ac:dyDescent="0.25">
      <c r="A466" t="s">
        <v>1210</v>
      </c>
      <c r="B466" t="s">
        <v>3</v>
      </c>
      <c r="C466" t="s">
        <v>394</v>
      </c>
    </row>
    <row r="467" spans="1:3" x14ac:dyDescent="0.25">
      <c r="A467" t="s">
        <v>1210</v>
      </c>
      <c r="B467" t="s">
        <v>5</v>
      </c>
      <c r="C467" t="s">
        <v>395</v>
      </c>
    </row>
    <row r="468" spans="1:3" x14ac:dyDescent="0.25">
      <c r="A468" t="s">
        <v>1210</v>
      </c>
      <c r="B468" t="s">
        <v>7</v>
      </c>
      <c r="C468" t="s">
        <v>396</v>
      </c>
    </row>
    <row r="469" spans="1:3" x14ac:dyDescent="0.25">
      <c r="A469" t="s">
        <v>1210</v>
      </c>
      <c r="B469" t="s">
        <v>9</v>
      </c>
      <c r="C469" t="s">
        <v>50</v>
      </c>
    </row>
    <row r="470" spans="1:3" x14ac:dyDescent="0.25">
      <c r="A470" t="s">
        <v>1210</v>
      </c>
      <c r="B470" t="s">
        <v>11</v>
      </c>
      <c r="C470" t="s">
        <v>124</v>
      </c>
    </row>
    <row r="471" spans="1:3" x14ac:dyDescent="0.25">
      <c r="A471" t="s">
        <v>1210</v>
      </c>
      <c r="B471" t="s">
        <v>13</v>
      </c>
      <c r="C471" t="s">
        <v>52</v>
      </c>
    </row>
    <row r="472" spans="1:3" x14ac:dyDescent="0.25">
      <c r="A472" t="s">
        <v>1210</v>
      </c>
      <c r="B472" t="s">
        <v>15</v>
      </c>
      <c r="C472" t="s">
        <v>397</v>
      </c>
    </row>
    <row r="473" spans="1:3" x14ac:dyDescent="0.25">
      <c r="A473" t="s">
        <v>1210</v>
      </c>
      <c r="B473" t="s">
        <v>17</v>
      </c>
      <c r="C473" t="s">
        <v>398</v>
      </c>
    </row>
    <row r="474" spans="1:3" x14ac:dyDescent="0.25">
      <c r="A474" t="s">
        <v>1210</v>
      </c>
      <c r="B474" t="s">
        <v>19</v>
      </c>
      <c r="C474" t="s">
        <v>399</v>
      </c>
    </row>
    <row r="475" spans="1:3" x14ac:dyDescent="0.25">
      <c r="A475" t="s">
        <v>1210</v>
      </c>
      <c r="B475" t="s">
        <v>21</v>
      </c>
      <c r="C475" t="s">
        <v>400</v>
      </c>
    </row>
    <row r="476" spans="1:3" x14ac:dyDescent="0.25">
      <c r="A476" t="s">
        <v>1210</v>
      </c>
      <c r="B476" t="s">
        <v>23</v>
      </c>
      <c r="C476" t="s">
        <v>185</v>
      </c>
    </row>
    <row r="477" spans="1:3" x14ac:dyDescent="0.25">
      <c r="A477" t="s">
        <v>1210</v>
      </c>
      <c r="B477" t="s">
        <v>25</v>
      </c>
      <c r="C477" t="s">
        <v>401</v>
      </c>
    </row>
    <row r="478" spans="1:3" x14ac:dyDescent="0.25">
      <c r="A478" t="s">
        <v>1210</v>
      </c>
      <c r="B478" t="s">
        <v>27</v>
      </c>
      <c r="C478" t="s">
        <v>402</v>
      </c>
    </row>
    <row r="479" spans="1:3" x14ac:dyDescent="0.25">
      <c r="A479" t="s">
        <v>1210</v>
      </c>
      <c r="B479" t="s">
        <v>29</v>
      </c>
      <c r="C479" t="s">
        <v>188</v>
      </c>
    </row>
    <row r="480" spans="1:3" x14ac:dyDescent="0.25">
      <c r="A480" t="s">
        <v>1210</v>
      </c>
      <c r="B480" t="s">
        <v>31</v>
      </c>
      <c r="C480" t="s">
        <v>403</v>
      </c>
    </row>
    <row r="481" spans="1:3" x14ac:dyDescent="0.25">
      <c r="A481" t="s">
        <v>1210</v>
      </c>
      <c r="B481" t="s">
        <v>33</v>
      </c>
      <c r="C481" t="s">
        <v>404</v>
      </c>
    </row>
    <row r="482" spans="1:3" x14ac:dyDescent="0.25">
      <c r="A482" t="s">
        <v>1211</v>
      </c>
      <c r="B482" t="s">
        <v>3</v>
      </c>
      <c r="C482" t="s">
        <v>405</v>
      </c>
    </row>
    <row r="483" spans="1:3" x14ac:dyDescent="0.25">
      <c r="A483" t="s">
        <v>1211</v>
      </c>
      <c r="B483" t="s">
        <v>5</v>
      </c>
      <c r="C483" t="s">
        <v>406</v>
      </c>
    </row>
    <row r="484" spans="1:3" x14ac:dyDescent="0.25">
      <c r="A484" t="s">
        <v>1211</v>
      </c>
      <c r="B484" t="s">
        <v>7</v>
      </c>
      <c r="C484" t="s">
        <v>407</v>
      </c>
    </row>
    <row r="485" spans="1:3" x14ac:dyDescent="0.25">
      <c r="A485" t="s">
        <v>1211</v>
      </c>
      <c r="B485" t="s">
        <v>9</v>
      </c>
      <c r="C485" t="s">
        <v>408</v>
      </c>
    </row>
    <row r="486" spans="1:3" x14ac:dyDescent="0.25">
      <c r="A486" t="s">
        <v>1211</v>
      </c>
      <c r="B486" t="s">
        <v>11</v>
      </c>
      <c r="C486" t="s">
        <v>124</v>
      </c>
    </row>
    <row r="487" spans="1:3" x14ac:dyDescent="0.25">
      <c r="A487" t="s">
        <v>1211</v>
      </c>
      <c r="B487" t="s">
        <v>13</v>
      </c>
      <c r="C487" t="s">
        <v>14</v>
      </c>
    </row>
    <row r="488" spans="1:3" x14ac:dyDescent="0.25">
      <c r="A488" t="s">
        <v>1211</v>
      </c>
      <c r="B488" t="s">
        <v>15</v>
      </c>
      <c r="C488" t="s">
        <v>168</v>
      </c>
    </row>
    <row r="489" spans="1:3" x14ac:dyDescent="0.25">
      <c r="A489" t="s">
        <v>1211</v>
      </c>
      <c r="B489" t="s">
        <v>17</v>
      </c>
      <c r="C489" t="s">
        <v>409</v>
      </c>
    </row>
    <row r="490" spans="1:3" x14ac:dyDescent="0.25">
      <c r="A490" t="s">
        <v>1211</v>
      </c>
      <c r="B490" t="s">
        <v>19</v>
      </c>
      <c r="C490" t="s">
        <v>410</v>
      </c>
    </row>
    <row r="491" spans="1:3" x14ac:dyDescent="0.25">
      <c r="A491" t="s">
        <v>1211</v>
      </c>
      <c r="B491" t="s">
        <v>21</v>
      </c>
      <c r="C491" t="s">
        <v>411</v>
      </c>
    </row>
    <row r="492" spans="1:3" x14ac:dyDescent="0.25">
      <c r="A492" t="s">
        <v>1211</v>
      </c>
      <c r="B492" t="s">
        <v>23</v>
      </c>
      <c r="C492" t="s">
        <v>412</v>
      </c>
    </row>
    <row r="493" spans="1:3" x14ac:dyDescent="0.25">
      <c r="A493" t="s">
        <v>1211</v>
      </c>
      <c r="B493" t="s">
        <v>25</v>
      </c>
      <c r="C493" t="s">
        <v>115</v>
      </c>
    </row>
    <row r="494" spans="1:3" x14ac:dyDescent="0.25">
      <c r="A494" t="s">
        <v>1211</v>
      </c>
      <c r="B494" t="s">
        <v>27</v>
      </c>
      <c r="C494" t="s">
        <v>413</v>
      </c>
    </row>
    <row r="495" spans="1:3" x14ac:dyDescent="0.25">
      <c r="A495" t="s">
        <v>1211</v>
      </c>
      <c r="B495" t="s">
        <v>29</v>
      </c>
      <c r="C495" t="s">
        <v>414</v>
      </c>
    </row>
    <row r="496" spans="1:3" x14ac:dyDescent="0.25">
      <c r="A496" t="s">
        <v>1211</v>
      </c>
      <c r="B496" t="s">
        <v>31</v>
      </c>
      <c r="C496" t="s">
        <v>415</v>
      </c>
    </row>
    <row r="497" spans="1:3" x14ac:dyDescent="0.25">
      <c r="A497" t="s">
        <v>1211</v>
      </c>
      <c r="B497" t="s">
        <v>33</v>
      </c>
      <c r="C497" t="s">
        <v>416</v>
      </c>
    </row>
    <row r="498" spans="1:3" x14ac:dyDescent="0.25">
      <c r="A498" t="s">
        <v>1212</v>
      </c>
      <c r="B498" t="s">
        <v>3</v>
      </c>
      <c r="C498" t="s">
        <v>417</v>
      </c>
    </row>
    <row r="499" spans="1:3" x14ac:dyDescent="0.25">
      <c r="A499" t="s">
        <v>1212</v>
      </c>
      <c r="B499" t="s">
        <v>5</v>
      </c>
      <c r="C499" t="s">
        <v>343</v>
      </c>
    </row>
    <row r="500" spans="1:3" x14ac:dyDescent="0.25">
      <c r="A500" t="s">
        <v>1212</v>
      </c>
      <c r="B500" t="s">
        <v>7</v>
      </c>
      <c r="C500" t="s">
        <v>418</v>
      </c>
    </row>
    <row r="501" spans="1:3" x14ac:dyDescent="0.25">
      <c r="A501" t="s">
        <v>1212</v>
      </c>
      <c r="B501" t="s">
        <v>9</v>
      </c>
      <c r="C501" t="s">
        <v>419</v>
      </c>
    </row>
    <row r="502" spans="1:3" x14ac:dyDescent="0.25">
      <c r="A502" t="s">
        <v>1212</v>
      </c>
      <c r="B502" t="s">
        <v>11</v>
      </c>
      <c r="C502" t="s">
        <v>14</v>
      </c>
    </row>
    <row r="503" spans="1:3" x14ac:dyDescent="0.25">
      <c r="A503" t="s">
        <v>1212</v>
      </c>
      <c r="B503" t="s">
        <v>13</v>
      </c>
      <c r="C503" t="s">
        <v>51</v>
      </c>
    </row>
    <row r="504" spans="1:3" x14ac:dyDescent="0.25">
      <c r="A504" t="s">
        <v>1212</v>
      </c>
      <c r="B504" t="s">
        <v>15</v>
      </c>
      <c r="C504" t="s">
        <v>420</v>
      </c>
    </row>
    <row r="505" spans="1:3" x14ac:dyDescent="0.25">
      <c r="A505" t="s">
        <v>1212</v>
      </c>
      <c r="B505" t="s">
        <v>17</v>
      </c>
      <c r="C505" t="s">
        <v>421</v>
      </c>
    </row>
    <row r="506" spans="1:3" x14ac:dyDescent="0.25">
      <c r="A506" t="s">
        <v>1212</v>
      </c>
      <c r="B506" t="s">
        <v>19</v>
      </c>
      <c r="C506" t="s">
        <v>422</v>
      </c>
    </row>
    <row r="507" spans="1:3" x14ac:dyDescent="0.25">
      <c r="A507" t="s">
        <v>1212</v>
      </c>
      <c r="B507" t="s">
        <v>21</v>
      </c>
      <c r="C507" t="s">
        <v>423</v>
      </c>
    </row>
    <row r="508" spans="1:3" x14ac:dyDescent="0.25">
      <c r="A508" t="s">
        <v>1212</v>
      </c>
      <c r="B508" t="s">
        <v>23</v>
      </c>
      <c r="C508" t="s">
        <v>424</v>
      </c>
    </row>
    <row r="509" spans="1:3" x14ac:dyDescent="0.25">
      <c r="A509" t="s">
        <v>1212</v>
      </c>
      <c r="B509" t="s">
        <v>25</v>
      </c>
      <c r="C509" t="s">
        <v>425</v>
      </c>
    </row>
    <row r="510" spans="1:3" x14ac:dyDescent="0.25">
      <c r="A510" t="s">
        <v>1212</v>
      </c>
      <c r="B510" t="s">
        <v>27</v>
      </c>
      <c r="C510" t="s">
        <v>426</v>
      </c>
    </row>
    <row r="511" spans="1:3" x14ac:dyDescent="0.25">
      <c r="A511" t="s">
        <v>1212</v>
      </c>
      <c r="B511" t="s">
        <v>29</v>
      </c>
      <c r="C511" t="s">
        <v>292</v>
      </c>
    </row>
    <row r="512" spans="1:3" x14ac:dyDescent="0.25">
      <c r="A512" t="s">
        <v>1212</v>
      </c>
      <c r="B512" t="s">
        <v>31</v>
      </c>
      <c r="C512" t="s">
        <v>427</v>
      </c>
    </row>
    <row r="513" spans="1:3" x14ac:dyDescent="0.25">
      <c r="A513" t="s">
        <v>1212</v>
      </c>
      <c r="B513" t="s">
        <v>33</v>
      </c>
      <c r="C513" t="s">
        <v>428</v>
      </c>
    </row>
    <row r="514" spans="1:3" x14ac:dyDescent="0.25">
      <c r="A514" t="s">
        <v>1213</v>
      </c>
      <c r="B514" t="s">
        <v>3</v>
      </c>
      <c r="C514" t="s">
        <v>429</v>
      </c>
    </row>
    <row r="515" spans="1:3" x14ac:dyDescent="0.25">
      <c r="A515" t="s">
        <v>1213</v>
      </c>
      <c r="B515" t="s">
        <v>5</v>
      </c>
      <c r="C515" t="s">
        <v>430</v>
      </c>
    </row>
    <row r="516" spans="1:3" x14ac:dyDescent="0.25">
      <c r="A516" t="s">
        <v>1213</v>
      </c>
      <c r="B516" t="s">
        <v>7</v>
      </c>
      <c r="C516" t="s">
        <v>352</v>
      </c>
    </row>
    <row r="517" spans="1:3" x14ac:dyDescent="0.25">
      <c r="A517" t="s">
        <v>1213</v>
      </c>
      <c r="B517" t="s">
        <v>9</v>
      </c>
      <c r="C517" t="s">
        <v>431</v>
      </c>
    </row>
    <row r="518" spans="1:3" x14ac:dyDescent="0.25">
      <c r="A518" t="s">
        <v>1213</v>
      </c>
      <c r="B518" t="s">
        <v>11</v>
      </c>
      <c r="C518" t="s">
        <v>354</v>
      </c>
    </row>
    <row r="519" spans="1:3" x14ac:dyDescent="0.25">
      <c r="A519" t="s">
        <v>1213</v>
      </c>
      <c r="B519" t="s">
        <v>13</v>
      </c>
      <c r="C519" t="s">
        <v>167</v>
      </c>
    </row>
    <row r="520" spans="1:3" x14ac:dyDescent="0.25">
      <c r="A520" t="s">
        <v>1213</v>
      </c>
      <c r="B520" t="s">
        <v>15</v>
      </c>
      <c r="C520" t="s">
        <v>432</v>
      </c>
    </row>
    <row r="521" spans="1:3" x14ac:dyDescent="0.25">
      <c r="A521" t="s">
        <v>1213</v>
      </c>
      <c r="B521" t="s">
        <v>17</v>
      </c>
      <c r="C521" t="s">
        <v>433</v>
      </c>
    </row>
    <row r="522" spans="1:3" x14ac:dyDescent="0.25">
      <c r="A522" t="s">
        <v>1213</v>
      </c>
      <c r="B522" t="s">
        <v>19</v>
      </c>
      <c r="C522" t="s">
        <v>434</v>
      </c>
    </row>
    <row r="523" spans="1:3" x14ac:dyDescent="0.25">
      <c r="A523" t="s">
        <v>1213</v>
      </c>
      <c r="B523" t="s">
        <v>21</v>
      </c>
      <c r="C523" t="s">
        <v>211</v>
      </c>
    </row>
    <row r="524" spans="1:3" x14ac:dyDescent="0.25">
      <c r="A524" t="s">
        <v>1213</v>
      </c>
      <c r="B524" t="s">
        <v>23</v>
      </c>
      <c r="C524" t="s">
        <v>435</v>
      </c>
    </row>
    <row r="525" spans="1:3" x14ac:dyDescent="0.25">
      <c r="A525" t="s">
        <v>1213</v>
      </c>
      <c r="B525" t="s">
        <v>25</v>
      </c>
      <c r="C525" t="s">
        <v>290</v>
      </c>
    </row>
    <row r="526" spans="1:3" x14ac:dyDescent="0.25">
      <c r="A526" t="s">
        <v>1213</v>
      </c>
      <c r="B526" t="s">
        <v>27</v>
      </c>
      <c r="C526" t="s">
        <v>436</v>
      </c>
    </row>
    <row r="527" spans="1:3" x14ac:dyDescent="0.25">
      <c r="A527" t="s">
        <v>1213</v>
      </c>
      <c r="B527" t="s">
        <v>29</v>
      </c>
      <c r="C527" t="s">
        <v>341</v>
      </c>
    </row>
    <row r="528" spans="1:3" x14ac:dyDescent="0.25">
      <c r="A528" t="s">
        <v>1213</v>
      </c>
      <c r="B528" t="s">
        <v>31</v>
      </c>
      <c r="C528" t="s">
        <v>437</v>
      </c>
    </row>
    <row r="529" spans="1:3" x14ac:dyDescent="0.25">
      <c r="A529" t="s">
        <v>1213</v>
      </c>
      <c r="B529" t="s">
        <v>33</v>
      </c>
      <c r="C529" t="s">
        <v>119</v>
      </c>
    </row>
    <row r="530" spans="1:3" x14ac:dyDescent="0.25">
      <c r="A530" t="s">
        <v>1214</v>
      </c>
      <c r="B530" t="s">
        <v>134</v>
      </c>
      <c r="C530" t="s">
        <v>438</v>
      </c>
    </row>
    <row r="531" spans="1:3" x14ac:dyDescent="0.25">
      <c r="A531" t="s">
        <v>1214</v>
      </c>
      <c r="B531" t="s">
        <v>136</v>
      </c>
      <c r="C531" t="s">
        <v>37</v>
      </c>
    </row>
    <row r="532" spans="1:3" x14ac:dyDescent="0.25">
      <c r="A532" t="s">
        <v>1214</v>
      </c>
      <c r="B532" t="s">
        <v>7</v>
      </c>
      <c r="C532" t="s">
        <v>439</v>
      </c>
    </row>
    <row r="533" spans="1:3" x14ac:dyDescent="0.25">
      <c r="A533" t="s">
        <v>1214</v>
      </c>
      <c r="B533" t="s">
        <v>139</v>
      </c>
      <c r="C533" t="s">
        <v>283</v>
      </c>
    </row>
    <row r="534" spans="1:3" x14ac:dyDescent="0.25">
      <c r="A534" t="s">
        <v>1214</v>
      </c>
      <c r="B534" t="s">
        <v>141</v>
      </c>
      <c r="C534" t="s">
        <v>246</v>
      </c>
    </row>
    <row r="535" spans="1:3" x14ac:dyDescent="0.25">
      <c r="A535" t="s">
        <v>1214</v>
      </c>
      <c r="B535" t="s">
        <v>143</v>
      </c>
      <c r="C535" t="s">
        <v>145</v>
      </c>
    </row>
    <row r="536" spans="1:3" x14ac:dyDescent="0.25">
      <c r="A536" t="s">
        <v>1214</v>
      </c>
      <c r="B536" t="s">
        <v>144</v>
      </c>
      <c r="C536" t="s">
        <v>440</v>
      </c>
    </row>
    <row r="537" spans="1:3" x14ac:dyDescent="0.25">
      <c r="A537" t="s">
        <v>1214</v>
      </c>
      <c r="B537" t="s">
        <v>146</v>
      </c>
      <c r="C537" t="s">
        <v>441</v>
      </c>
    </row>
    <row r="538" spans="1:3" x14ac:dyDescent="0.25">
      <c r="A538" t="s">
        <v>1214</v>
      </c>
      <c r="B538" t="s">
        <v>148</v>
      </c>
      <c r="C538" t="s">
        <v>273</v>
      </c>
    </row>
    <row r="539" spans="1:3" x14ac:dyDescent="0.25">
      <c r="A539" t="s">
        <v>1214</v>
      </c>
      <c r="B539" t="s">
        <v>150</v>
      </c>
      <c r="C539" t="s">
        <v>442</v>
      </c>
    </row>
    <row r="540" spans="1:3" x14ac:dyDescent="0.25">
      <c r="A540" t="s">
        <v>1214</v>
      </c>
      <c r="B540" t="s">
        <v>152</v>
      </c>
      <c r="C540" t="s">
        <v>443</v>
      </c>
    </row>
    <row r="541" spans="1:3" x14ac:dyDescent="0.25">
      <c r="A541" t="s">
        <v>1214</v>
      </c>
      <c r="B541" t="s">
        <v>154</v>
      </c>
      <c r="C541" t="s">
        <v>349</v>
      </c>
    </row>
    <row r="542" spans="1:3" x14ac:dyDescent="0.25">
      <c r="A542" t="s">
        <v>1214</v>
      </c>
      <c r="B542" t="s">
        <v>27</v>
      </c>
      <c r="C542" t="s">
        <v>444</v>
      </c>
    </row>
    <row r="543" spans="1:3" x14ac:dyDescent="0.25">
      <c r="A543" t="s">
        <v>1214</v>
      </c>
      <c r="B543" t="s">
        <v>157</v>
      </c>
      <c r="C543" t="s">
        <v>383</v>
      </c>
    </row>
    <row r="544" spans="1:3" x14ac:dyDescent="0.25">
      <c r="A544" t="s">
        <v>1214</v>
      </c>
      <c r="B544" t="s">
        <v>159</v>
      </c>
      <c r="C544" t="s">
        <v>98</v>
      </c>
    </row>
    <row r="545" spans="1:3" x14ac:dyDescent="0.25">
      <c r="A545" t="s">
        <v>1214</v>
      </c>
      <c r="B545" t="s">
        <v>161</v>
      </c>
      <c r="C545" t="s">
        <v>307</v>
      </c>
    </row>
    <row r="546" spans="1:3" x14ac:dyDescent="0.25">
      <c r="A546" t="s">
        <v>1215</v>
      </c>
      <c r="B546" t="s">
        <v>3</v>
      </c>
      <c r="C546" t="s">
        <v>445</v>
      </c>
    </row>
    <row r="547" spans="1:3" x14ac:dyDescent="0.25">
      <c r="A547" t="s">
        <v>1215</v>
      </c>
      <c r="B547" t="s">
        <v>5</v>
      </c>
      <c r="C547" t="s">
        <v>218</v>
      </c>
    </row>
    <row r="548" spans="1:3" x14ac:dyDescent="0.25">
      <c r="A548" t="s">
        <v>1215</v>
      </c>
      <c r="B548" t="s">
        <v>7</v>
      </c>
      <c r="C548" t="s">
        <v>373</v>
      </c>
    </row>
    <row r="549" spans="1:3" x14ac:dyDescent="0.25">
      <c r="A549" t="s">
        <v>1215</v>
      </c>
      <c r="B549" t="s">
        <v>9</v>
      </c>
      <c r="C549" t="s">
        <v>446</v>
      </c>
    </row>
    <row r="550" spans="1:3" x14ac:dyDescent="0.25">
      <c r="A550" t="s">
        <v>1215</v>
      </c>
      <c r="B550" t="s">
        <v>11</v>
      </c>
      <c r="C550" t="s">
        <v>335</v>
      </c>
    </row>
    <row r="551" spans="1:3" x14ac:dyDescent="0.25">
      <c r="A551" t="s">
        <v>1215</v>
      </c>
      <c r="B551" t="s">
        <v>13</v>
      </c>
      <c r="C551" t="s">
        <v>12</v>
      </c>
    </row>
    <row r="552" spans="1:3" x14ac:dyDescent="0.25">
      <c r="A552" t="s">
        <v>1215</v>
      </c>
      <c r="B552" t="s">
        <v>15</v>
      </c>
      <c r="C552" t="s">
        <v>432</v>
      </c>
    </row>
    <row r="553" spans="1:3" x14ac:dyDescent="0.25">
      <c r="A553" t="s">
        <v>1215</v>
      </c>
      <c r="B553" t="s">
        <v>17</v>
      </c>
      <c r="C553" t="s">
        <v>447</v>
      </c>
    </row>
    <row r="554" spans="1:3" x14ac:dyDescent="0.25">
      <c r="A554" t="s">
        <v>1215</v>
      </c>
      <c r="B554" t="s">
        <v>19</v>
      </c>
      <c r="C554" t="s">
        <v>388</v>
      </c>
    </row>
    <row r="555" spans="1:3" x14ac:dyDescent="0.25">
      <c r="A555" t="s">
        <v>1215</v>
      </c>
      <c r="B555" t="s">
        <v>21</v>
      </c>
      <c r="C555" t="s">
        <v>448</v>
      </c>
    </row>
    <row r="556" spans="1:3" x14ac:dyDescent="0.25">
      <c r="A556" t="s">
        <v>1215</v>
      </c>
      <c r="B556" t="s">
        <v>23</v>
      </c>
      <c r="C556" t="s">
        <v>449</v>
      </c>
    </row>
    <row r="557" spans="1:3" x14ac:dyDescent="0.25">
      <c r="A557" t="s">
        <v>1215</v>
      </c>
      <c r="B557" t="s">
        <v>25</v>
      </c>
      <c r="C557" t="s">
        <v>450</v>
      </c>
    </row>
    <row r="558" spans="1:3" x14ac:dyDescent="0.25">
      <c r="A558" t="s">
        <v>1215</v>
      </c>
      <c r="B558" t="s">
        <v>27</v>
      </c>
      <c r="C558" t="s">
        <v>291</v>
      </c>
    </row>
    <row r="559" spans="1:3" x14ac:dyDescent="0.25">
      <c r="A559" t="s">
        <v>1215</v>
      </c>
      <c r="B559" t="s">
        <v>29</v>
      </c>
      <c r="C559" t="s">
        <v>327</v>
      </c>
    </row>
    <row r="560" spans="1:3" x14ac:dyDescent="0.25">
      <c r="A560" t="s">
        <v>1215</v>
      </c>
      <c r="B560" t="s">
        <v>31</v>
      </c>
      <c r="C560" t="s">
        <v>451</v>
      </c>
    </row>
    <row r="561" spans="1:3" x14ac:dyDescent="0.25">
      <c r="A561" t="s">
        <v>1215</v>
      </c>
      <c r="B561" t="s">
        <v>33</v>
      </c>
      <c r="C561" t="s">
        <v>416</v>
      </c>
    </row>
    <row r="562" spans="1:3" x14ac:dyDescent="0.25">
      <c r="A562" t="s">
        <v>1216</v>
      </c>
      <c r="B562" t="s">
        <v>134</v>
      </c>
      <c r="C562" t="s">
        <v>452</v>
      </c>
    </row>
    <row r="563" spans="1:3" x14ac:dyDescent="0.25">
      <c r="A563" t="s">
        <v>1216</v>
      </c>
      <c r="B563" t="s">
        <v>136</v>
      </c>
      <c r="C563" t="s">
        <v>351</v>
      </c>
    </row>
    <row r="564" spans="1:3" x14ac:dyDescent="0.25">
      <c r="A564" t="s">
        <v>1216</v>
      </c>
      <c r="B564" t="s">
        <v>7</v>
      </c>
      <c r="C564" t="s">
        <v>453</v>
      </c>
    </row>
    <row r="565" spans="1:3" x14ac:dyDescent="0.25">
      <c r="A565" t="s">
        <v>1216</v>
      </c>
      <c r="B565" t="s">
        <v>139</v>
      </c>
      <c r="C565" t="s">
        <v>454</v>
      </c>
    </row>
    <row r="566" spans="1:3" x14ac:dyDescent="0.25">
      <c r="A566" t="s">
        <v>1216</v>
      </c>
      <c r="B566" t="s">
        <v>141</v>
      </c>
      <c r="C566" t="s">
        <v>41</v>
      </c>
    </row>
    <row r="567" spans="1:3" x14ac:dyDescent="0.25">
      <c r="A567" t="s">
        <v>1216</v>
      </c>
      <c r="B567" t="s">
        <v>143</v>
      </c>
      <c r="C567" t="s">
        <v>51</v>
      </c>
    </row>
    <row r="568" spans="1:3" x14ac:dyDescent="0.25">
      <c r="A568" t="s">
        <v>1216</v>
      </c>
      <c r="B568" t="s">
        <v>144</v>
      </c>
      <c r="C568" t="s">
        <v>246</v>
      </c>
    </row>
    <row r="569" spans="1:3" x14ac:dyDescent="0.25">
      <c r="A569" t="s">
        <v>1216</v>
      </c>
      <c r="B569" t="s">
        <v>146</v>
      </c>
      <c r="C569" t="s">
        <v>455</v>
      </c>
    </row>
    <row r="570" spans="1:3" x14ac:dyDescent="0.25">
      <c r="A570" t="s">
        <v>1216</v>
      </c>
      <c r="B570" t="s">
        <v>148</v>
      </c>
      <c r="C570" t="s">
        <v>456</v>
      </c>
    </row>
    <row r="571" spans="1:3" x14ac:dyDescent="0.25">
      <c r="A571" t="s">
        <v>1216</v>
      </c>
      <c r="B571" t="s">
        <v>150</v>
      </c>
      <c r="C571" t="s">
        <v>457</v>
      </c>
    </row>
    <row r="572" spans="1:3" x14ac:dyDescent="0.25">
      <c r="A572" t="s">
        <v>1216</v>
      </c>
      <c r="B572" t="s">
        <v>152</v>
      </c>
      <c r="C572" t="s">
        <v>458</v>
      </c>
    </row>
    <row r="573" spans="1:3" x14ac:dyDescent="0.25">
      <c r="A573" t="s">
        <v>1216</v>
      </c>
      <c r="B573" t="s">
        <v>154</v>
      </c>
      <c r="C573" t="s">
        <v>459</v>
      </c>
    </row>
    <row r="574" spans="1:3" x14ac:dyDescent="0.25">
      <c r="A574" t="s">
        <v>1216</v>
      </c>
      <c r="B574" t="s">
        <v>27</v>
      </c>
      <c r="C574" t="s">
        <v>460</v>
      </c>
    </row>
    <row r="575" spans="1:3" x14ac:dyDescent="0.25">
      <c r="A575" t="s">
        <v>1216</v>
      </c>
      <c r="B575" t="s">
        <v>157</v>
      </c>
      <c r="C575" t="s">
        <v>461</v>
      </c>
    </row>
    <row r="576" spans="1:3" x14ac:dyDescent="0.25">
      <c r="A576" t="s">
        <v>1216</v>
      </c>
      <c r="B576" t="s">
        <v>159</v>
      </c>
      <c r="C576" t="s">
        <v>462</v>
      </c>
    </row>
    <row r="577" spans="1:3" x14ac:dyDescent="0.25">
      <c r="A577" t="s">
        <v>1216</v>
      </c>
      <c r="B577" t="s">
        <v>161</v>
      </c>
      <c r="C577" t="s">
        <v>463</v>
      </c>
    </row>
    <row r="578" spans="1:3" x14ac:dyDescent="0.25">
      <c r="A578" t="s">
        <v>1217</v>
      </c>
      <c r="B578" t="s">
        <v>3</v>
      </c>
      <c r="C578" t="s">
        <v>257</v>
      </c>
    </row>
    <row r="579" spans="1:3" x14ac:dyDescent="0.25">
      <c r="A579" t="s">
        <v>1217</v>
      </c>
      <c r="B579" t="s">
        <v>5</v>
      </c>
      <c r="C579" t="s">
        <v>464</v>
      </c>
    </row>
    <row r="580" spans="1:3" x14ac:dyDescent="0.25">
      <c r="A580" t="s">
        <v>1217</v>
      </c>
      <c r="B580" t="s">
        <v>7</v>
      </c>
      <c r="C580" t="s">
        <v>465</v>
      </c>
    </row>
    <row r="581" spans="1:3" x14ac:dyDescent="0.25">
      <c r="A581" t="s">
        <v>1217</v>
      </c>
      <c r="B581" t="s">
        <v>9</v>
      </c>
      <c r="C581" t="s">
        <v>466</v>
      </c>
    </row>
    <row r="582" spans="1:3" x14ac:dyDescent="0.25">
      <c r="A582" t="s">
        <v>1217</v>
      </c>
      <c r="B582" t="s">
        <v>11</v>
      </c>
      <c r="C582" t="s">
        <v>39</v>
      </c>
    </row>
    <row r="583" spans="1:3" x14ac:dyDescent="0.25">
      <c r="A583" t="s">
        <v>1217</v>
      </c>
      <c r="B583" t="s">
        <v>13</v>
      </c>
      <c r="C583" t="s">
        <v>14</v>
      </c>
    </row>
    <row r="584" spans="1:3" x14ac:dyDescent="0.25">
      <c r="A584" t="s">
        <v>1217</v>
      </c>
      <c r="B584" t="s">
        <v>15</v>
      </c>
      <c r="C584" t="s">
        <v>467</v>
      </c>
    </row>
    <row r="585" spans="1:3" x14ac:dyDescent="0.25">
      <c r="A585" t="s">
        <v>1217</v>
      </c>
      <c r="B585" t="s">
        <v>17</v>
      </c>
      <c r="C585" t="s">
        <v>63</v>
      </c>
    </row>
    <row r="586" spans="1:3" x14ac:dyDescent="0.25">
      <c r="A586" t="s">
        <v>1217</v>
      </c>
      <c r="B586" t="s">
        <v>19</v>
      </c>
      <c r="C586" t="s">
        <v>112</v>
      </c>
    </row>
    <row r="587" spans="1:3" x14ac:dyDescent="0.25">
      <c r="A587" t="s">
        <v>1217</v>
      </c>
      <c r="B587" t="s">
        <v>21</v>
      </c>
      <c r="C587" t="s">
        <v>468</v>
      </c>
    </row>
    <row r="588" spans="1:3" x14ac:dyDescent="0.25">
      <c r="A588" t="s">
        <v>1217</v>
      </c>
      <c r="B588" t="s">
        <v>23</v>
      </c>
      <c r="C588" t="s">
        <v>469</v>
      </c>
    </row>
    <row r="589" spans="1:3" x14ac:dyDescent="0.25">
      <c r="A589" t="s">
        <v>1217</v>
      </c>
      <c r="B589" t="s">
        <v>25</v>
      </c>
      <c r="C589" t="s">
        <v>450</v>
      </c>
    </row>
    <row r="590" spans="1:3" x14ac:dyDescent="0.25">
      <c r="A590" t="s">
        <v>1217</v>
      </c>
      <c r="B590" t="s">
        <v>27</v>
      </c>
      <c r="C590" t="s">
        <v>470</v>
      </c>
    </row>
    <row r="591" spans="1:3" x14ac:dyDescent="0.25">
      <c r="A591" t="s">
        <v>1217</v>
      </c>
      <c r="B591" t="s">
        <v>29</v>
      </c>
      <c r="C591" t="s">
        <v>471</v>
      </c>
    </row>
    <row r="592" spans="1:3" x14ac:dyDescent="0.25">
      <c r="A592" t="s">
        <v>1217</v>
      </c>
      <c r="B592" t="s">
        <v>31</v>
      </c>
      <c r="C592" t="s">
        <v>472</v>
      </c>
    </row>
    <row r="593" spans="1:3" x14ac:dyDescent="0.25">
      <c r="A593" t="s">
        <v>1217</v>
      </c>
      <c r="B593" t="s">
        <v>33</v>
      </c>
      <c r="C593" t="s">
        <v>404</v>
      </c>
    </row>
    <row r="594" spans="1:3" x14ac:dyDescent="0.25">
      <c r="A594" t="s">
        <v>1218</v>
      </c>
      <c r="B594" t="s">
        <v>134</v>
      </c>
      <c r="C594" t="s">
        <v>473</v>
      </c>
    </row>
    <row r="595" spans="1:3" x14ac:dyDescent="0.25">
      <c r="A595" t="s">
        <v>1218</v>
      </c>
      <c r="B595" t="s">
        <v>136</v>
      </c>
      <c r="C595" t="s">
        <v>137</v>
      </c>
    </row>
    <row r="596" spans="1:3" x14ac:dyDescent="0.25">
      <c r="A596" t="s">
        <v>1218</v>
      </c>
      <c r="B596" t="s">
        <v>7</v>
      </c>
      <c r="C596" t="s">
        <v>474</v>
      </c>
    </row>
    <row r="597" spans="1:3" x14ac:dyDescent="0.25">
      <c r="A597" t="s">
        <v>1218</v>
      </c>
      <c r="B597" t="s">
        <v>139</v>
      </c>
      <c r="C597" t="s">
        <v>475</v>
      </c>
    </row>
    <row r="598" spans="1:3" x14ac:dyDescent="0.25">
      <c r="A598" t="s">
        <v>1218</v>
      </c>
      <c r="B598" t="s">
        <v>141</v>
      </c>
      <c r="C598" t="s">
        <v>386</v>
      </c>
    </row>
    <row r="599" spans="1:3" x14ac:dyDescent="0.25">
      <c r="A599" t="s">
        <v>1218</v>
      </c>
      <c r="B599" t="s">
        <v>143</v>
      </c>
      <c r="C599" t="s">
        <v>476</v>
      </c>
    </row>
    <row r="600" spans="1:3" x14ac:dyDescent="0.25">
      <c r="A600" t="s">
        <v>1218</v>
      </c>
      <c r="B600" t="s">
        <v>144</v>
      </c>
      <c r="C600" t="s">
        <v>477</v>
      </c>
    </row>
    <row r="601" spans="1:3" x14ac:dyDescent="0.25">
      <c r="A601" t="s">
        <v>1218</v>
      </c>
      <c r="B601" t="s">
        <v>146</v>
      </c>
      <c r="C601" t="s">
        <v>478</v>
      </c>
    </row>
    <row r="602" spans="1:3" x14ac:dyDescent="0.25">
      <c r="A602" t="s">
        <v>1218</v>
      </c>
      <c r="B602" t="s">
        <v>148</v>
      </c>
      <c r="C602" t="s">
        <v>479</v>
      </c>
    </row>
    <row r="603" spans="1:3" x14ac:dyDescent="0.25">
      <c r="A603" t="s">
        <v>1218</v>
      </c>
      <c r="B603" t="s">
        <v>150</v>
      </c>
      <c r="C603" t="s">
        <v>480</v>
      </c>
    </row>
    <row r="604" spans="1:3" x14ac:dyDescent="0.25">
      <c r="A604" t="s">
        <v>1218</v>
      </c>
      <c r="B604" t="s">
        <v>152</v>
      </c>
      <c r="C604" t="s">
        <v>481</v>
      </c>
    </row>
    <row r="605" spans="1:3" x14ac:dyDescent="0.25">
      <c r="A605" t="s">
        <v>1218</v>
      </c>
      <c r="B605" t="s">
        <v>154</v>
      </c>
      <c r="C605" t="s">
        <v>482</v>
      </c>
    </row>
    <row r="606" spans="1:3" x14ac:dyDescent="0.25">
      <c r="A606" t="s">
        <v>1218</v>
      </c>
      <c r="B606" t="s">
        <v>27</v>
      </c>
      <c r="C606" t="s">
        <v>483</v>
      </c>
    </row>
    <row r="607" spans="1:3" x14ac:dyDescent="0.25">
      <c r="A607" t="s">
        <v>1218</v>
      </c>
      <c r="B607" t="s">
        <v>157</v>
      </c>
      <c r="C607" t="s">
        <v>131</v>
      </c>
    </row>
    <row r="608" spans="1:3" x14ac:dyDescent="0.25">
      <c r="A608" t="s">
        <v>1218</v>
      </c>
      <c r="B608" t="s">
        <v>159</v>
      </c>
      <c r="C608" t="s">
        <v>484</v>
      </c>
    </row>
    <row r="609" spans="1:3" x14ac:dyDescent="0.25">
      <c r="A609" t="s">
        <v>1218</v>
      </c>
      <c r="B609" t="s">
        <v>161</v>
      </c>
      <c r="C609" t="s">
        <v>393</v>
      </c>
    </row>
    <row r="610" spans="1:3" x14ac:dyDescent="0.25">
      <c r="A610" t="s">
        <v>1219</v>
      </c>
      <c r="B610" t="s">
        <v>3</v>
      </c>
      <c r="C610" t="s">
        <v>296</v>
      </c>
    </row>
    <row r="611" spans="1:3" x14ac:dyDescent="0.25">
      <c r="A611" t="s">
        <v>1219</v>
      </c>
      <c r="B611" t="s">
        <v>5</v>
      </c>
      <c r="C611" t="s">
        <v>485</v>
      </c>
    </row>
    <row r="612" spans="1:3" x14ac:dyDescent="0.25">
      <c r="A612" t="s">
        <v>1219</v>
      </c>
      <c r="B612" t="s">
        <v>7</v>
      </c>
      <c r="C612" t="s">
        <v>486</v>
      </c>
    </row>
    <row r="613" spans="1:3" x14ac:dyDescent="0.25">
      <c r="A613" t="s">
        <v>1219</v>
      </c>
      <c r="B613" t="s">
        <v>9</v>
      </c>
      <c r="C613" t="s">
        <v>487</v>
      </c>
    </row>
    <row r="614" spans="1:3" x14ac:dyDescent="0.25">
      <c r="A614" t="s">
        <v>1219</v>
      </c>
      <c r="B614" t="s">
        <v>11</v>
      </c>
      <c r="C614" t="s">
        <v>41</v>
      </c>
    </row>
    <row r="615" spans="1:3" x14ac:dyDescent="0.25">
      <c r="A615" t="s">
        <v>1219</v>
      </c>
      <c r="B615" t="s">
        <v>13</v>
      </c>
      <c r="C615" t="s">
        <v>167</v>
      </c>
    </row>
    <row r="616" spans="1:3" x14ac:dyDescent="0.25">
      <c r="A616" t="s">
        <v>1219</v>
      </c>
      <c r="B616" t="s">
        <v>15</v>
      </c>
      <c r="C616" t="s">
        <v>488</v>
      </c>
    </row>
    <row r="617" spans="1:3" x14ac:dyDescent="0.25">
      <c r="A617" t="s">
        <v>1219</v>
      </c>
      <c r="B617" t="s">
        <v>17</v>
      </c>
      <c r="C617" t="s">
        <v>489</v>
      </c>
    </row>
    <row r="618" spans="1:3" x14ac:dyDescent="0.25">
      <c r="A618" t="s">
        <v>1219</v>
      </c>
      <c r="B618" t="s">
        <v>19</v>
      </c>
      <c r="C618" t="s">
        <v>490</v>
      </c>
    </row>
    <row r="619" spans="1:3" x14ac:dyDescent="0.25">
      <c r="A619" t="s">
        <v>1219</v>
      </c>
      <c r="B619" t="s">
        <v>21</v>
      </c>
      <c r="C619" t="s">
        <v>491</v>
      </c>
    </row>
    <row r="620" spans="1:3" x14ac:dyDescent="0.25">
      <c r="A620" t="s">
        <v>1219</v>
      </c>
      <c r="B620" t="s">
        <v>23</v>
      </c>
      <c r="C620" t="s">
        <v>492</v>
      </c>
    </row>
    <row r="621" spans="1:3" x14ac:dyDescent="0.25">
      <c r="A621" t="s">
        <v>1219</v>
      </c>
      <c r="B621" t="s">
        <v>25</v>
      </c>
      <c r="C621" t="s">
        <v>493</v>
      </c>
    </row>
    <row r="622" spans="1:3" x14ac:dyDescent="0.25">
      <c r="A622" t="s">
        <v>1219</v>
      </c>
      <c r="B622" t="s">
        <v>27</v>
      </c>
      <c r="C622" t="s">
        <v>214</v>
      </c>
    </row>
    <row r="623" spans="1:3" x14ac:dyDescent="0.25">
      <c r="A623" t="s">
        <v>1219</v>
      </c>
      <c r="B623" t="s">
        <v>29</v>
      </c>
      <c r="C623" t="s">
        <v>494</v>
      </c>
    </row>
    <row r="624" spans="1:3" x14ac:dyDescent="0.25">
      <c r="A624" t="s">
        <v>1219</v>
      </c>
      <c r="B624" t="s">
        <v>31</v>
      </c>
      <c r="C624" t="s">
        <v>495</v>
      </c>
    </row>
    <row r="625" spans="1:3" x14ac:dyDescent="0.25">
      <c r="A625" t="s">
        <v>1219</v>
      </c>
      <c r="B625" t="s">
        <v>33</v>
      </c>
      <c r="C625" t="s">
        <v>496</v>
      </c>
    </row>
    <row r="626" spans="1:3" x14ac:dyDescent="0.25">
      <c r="A626" t="s">
        <v>1220</v>
      </c>
      <c r="B626" t="s">
        <v>134</v>
      </c>
      <c r="C626" t="s">
        <v>497</v>
      </c>
    </row>
    <row r="627" spans="1:3" x14ac:dyDescent="0.25">
      <c r="A627" t="s">
        <v>1220</v>
      </c>
      <c r="B627" t="s">
        <v>136</v>
      </c>
      <c r="C627" t="s">
        <v>64</v>
      </c>
    </row>
    <row r="628" spans="1:3" x14ac:dyDescent="0.25">
      <c r="A628" t="s">
        <v>1220</v>
      </c>
      <c r="B628" t="s">
        <v>7</v>
      </c>
      <c r="C628" t="s">
        <v>498</v>
      </c>
    </row>
    <row r="629" spans="1:3" x14ac:dyDescent="0.25">
      <c r="A629" t="s">
        <v>1220</v>
      </c>
      <c r="B629" t="s">
        <v>139</v>
      </c>
      <c r="C629" t="s">
        <v>499</v>
      </c>
    </row>
    <row r="630" spans="1:3" x14ac:dyDescent="0.25">
      <c r="A630" t="s">
        <v>1220</v>
      </c>
      <c r="B630" t="s">
        <v>141</v>
      </c>
      <c r="C630" t="s">
        <v>500</v>
      </c>
    </row>
    <row r="631" spans="1:3" x14ac:dyDescent="0.25">
      <c r="A631" t="s">
        <v>1220</v>
      </c>
      <c r="B631" t="s">
        <v>143</v>
      </c>
      <c r="C631" t="s">
        <v>53</v>
      </c>
    </row>
    <row r="632" spans="1:3" x14ac:dyDescent="0.25">
      <c r="A632" t="s">
        <v>1220</v>
      </c>
      <c r="B632" t="s">
        <v>144</v>
      </c>
      <c r="C632" t="s">
        <v>501</v>
      </c>
    </row>
    <row r="633" spans="1:3" x14ac:dyDescent="0.25">
      <c r="A633" t="s">
        <v>1220</v>
      </c>
      <c r="B633" t="s">
        <v>146</v>
      </c>
      <c r="C633" t="s">
        <v>502</v>
      </c>
    </row>
    <row r="634" spans="1:3" x14ac:dyDescent="0.25">
      <c r="A634" t="s">
        <v>1220</v>
      </c>
      <c r="B634" t="s">
        <v>148</v>
      </c>
      <c r="C634" t="s">
        <v>503</v>
      </c>
    </row>
    <row r="635" spans="1:3" x14ac:dyDescent="0.25">
      <c r="A635" t="s">
        <v>1220</v>
      </c>
      <c r="B635" t="s">
        <v>150</v>
      </c>
      <c r="C635" t="s">
        <v>231</v>
      </c>
    </row>
    <row r="636" spans="1:3" x14ac:dyDescent="0.25">
      <c r="A636" t="s">
        <v>1220</v>
      </c>
      <c r="B636" t="s">
        <v>152</v>
      </c>
      <c r="C636" t="s">
        <v>504</v>
      </c>
    </row>
    <row r="637" spans="1:3" x14ac:dyDescent="0.25">
      <c r="A637" t="s">
        <v>1220</v>
      </c>
      <c r="B637" t="s">
        <v>154</v>
      </c>
      <c r="C637" t="s">
        <v>200</v>
      </c>
    </row>
    <row r="638" spans="1:3" x14ac:dyDescent="0.25">
      <c r="A638" t="s">
        <v>1220</v>
      </c>
      <c r="B638" t="s">
        <v>27</v>
      </c>
      <c r="C638" t="s">
        <v>505</v>
      </c>
    </row>
    <row r="639" spans="1:3" x14ac:dyDescent="0.25">
      <c r="A639" t="s">
        <v>1220</v>
      </c>
      <c r="B639" t="s">
        <v>157</v>
      </c>
      <c r="C639" t="s">
        <v>506</v>
      </c>
    </row>
    <row r="640" spans="1:3" x14ac:dyDescent="0.25">
      <c r="A640" t="s">
        <v>1220</v>
      </c>
      <c r="B640" t="s">
        <v>159</v>
      </c>
      <c r="C640" t="s">
        <v>507</v>
      </c>
    </row>
    <row r="641" spans="1:3" x14ac:dyDescent="0.25">
      <c r="A641" t="s">
        <v>1220</v>
      </c>
      <c r="B641" t="s">
        <v>161</v>
      </c>
      <c r="C641" t="s">
        <v>255</v>
      </c>
    </row>
    <row r="642" spans="1:3" x14ac:dyDescent="0.25">
      <c r="A642" t="s">
        <v>1221</v>
      </c>
      <c r="B642" t="s">
        <v>3</v>
      </c>
      <c r="C642" t="s">
        <v>64</v>
      </c>
    </row>
    <row r="643" spans="1:3" x14ac:dyDescent="0.25">
      <c r="A643" t="s">
        <v>1221</v>
      </c>
      <c r="B643" t="s">
        <v>5</v>
      </c>
      <c r="C643" t="s">
        <v>508</v>
      </c>
    </row>
    <row r="644" spans="1:3" x14ac:dyDescent="0.25">
      <c r="A644" t="s">
        <v>1221</v>
      </c>
      <c r="B644" t="s">
        <v>7</v>
      </c>
      <c r="C644" t="s">
        <v>453</v>
      </c>
    </row>
    <row r="645" spans="1:3" x14ac:dyDescent="0.25">
      <c r="A645" t="s">
        <v>1221</v>
      </c>
      <c r="B645" t="s">
        <v>9</v>
      </c>
      <c r="C645" t="s">
        <v>509</v>
      </c>
    </row>
    <row r="646" spans="1:3" x14ac:dyDescent="0.25">
      <c r="A646" t="s">
        <v>1221</v>
      </c>
      <c r="B646" t="s">
        <v>11</v>
      </c>
      <c r="C646" t="s">
        <v>259</v>
      </c>
    </row>
    <row r="647" spans="1:3" x14ac:dyDescent="0.25">
      <c r="A647" t="s">
        <v>1221</v>
      </c>
      <c r="B647" t="s">
        <v>13</v>
      </c>
      <c r="C647" t="s">
        <v>109</v>
      </c>
    </row>
    <row r="648" spans="1:3" x14ac:dyDescent="0.25">
      <c r="A648" t="s">
        <v>1221</v>
      </c>
      <c r="B648" t="s">
        <v>15</v>
      </c>
      <c r="C648" t="s">
        <v>260</v>
      </c>
    </row>
    <row r="649" spans="1:3" x14ac:dyDescent="0.25">
      <c r="A649" t="s">
        <v>1221</v>
      </c>
      <c r="B649" t="s">
        <v>17</v>
      </c>
      <c r="C649" t="s">
        <v>510</v>
      </c>
    </row>
    <row r="650" spans="1:3" x14ac:dyDescent="0.25">
      <c r="A650" t="s">
        <v>1221</v>
      </c>
      <c r="B650" t="s">
        <v>19</v>
      </c>
      <c r="C650" t="s">
        <v>225</v>
      </c>
    </row>
    <row r="651" spans="1:3" x14ac:dyDescent="0.25">
      <c r="A651" t="s">
        <v>1221</v>
      </c>
      <c r="B651" t="s">
        <v>21</v>
      </c>
      <c r="C651" t="s">
        <v>511</v>
      </c>
    </row>
    <row r="652" spans="1:3" x14ac:dyDescent="0.25">
      <c r="A652" t="s">
        <v>1221</v>
      </c>
      <c r="B652" t="s">
        <v>23</v>
      </c>
      <c r="C652" t="s">
        <v>458</v>
      </c>
    </row>
    <row r="653" spans="1:3" x14ac:dyDescent="0.25">
      <c r="A653" t="s">
        <v>1221</v>
      </c>
      <c r="B653" t="s">
        <v>25</v>
      </c>
      <c r="C653" t="s">
        <v>512</v>
      </c>
    </row>
    <row r="654" spans="1:3" x14ac:dyDescent="0.25">
      <c r="A654" t="s">
        <v>1221</v>
      </c>
      <c r="B654" t="s">
        <v>27</v>
      </c>
      <c r="C654" t="s">
        <v>59</v>
      </c>
    </row>
    <row r="655" spans="1:3" x14ac:dyDescent="0.25">
      <c r="A655" t="s">
        <v>1221</v>
      </c>
      <c r="B655" t="s">
        <v>29</v>
      </c>
      <c r="C655" t="s">
        <v>513</v>
      </c>
    </row>
    <row r="656" spans="1:3" x14ac:dyDescent="0.25">
      <c r="A656" t="s">
        <v>1221</v>
      </c>
      <c r="B656" t="s">
        <v>31</v>
      </c>
      <c r="C656" t="s">
        <v>514</v>
      </c>
    </row>
    <row r="657" spans="1:3" x14ac:dyDescent="0.25">
      <c r="A657" t="s">
        <v>1221</v>
      </c>
      <c r="B657" t="s">
        <v>33</v>
      </c>
      <c r="C657" t="s">
        <v>515</v>
      </c>
    </row>
    <row r="658" spans="1:3" x14ac:dyDescent="0.25">
      <c r="A658" t="s">
        <v>1222</v>
      </c>
      <c r="B658" t="s">
        <v>3</v>
      </c>
      <c r="C658" t="s">
        <v>516</v>
      </c>
    </row>
    <row r="659" spans="1:3" x14ac:dyDescent="0.25">
      <c r="A659" t="s">
        <v>1222</v>
      </c>
      <c r="B659" t="s">
        <v>5</v>
      </c>
      <c r="C659" t="s">
        <v>517</v>
      </c>
    </row>
    <row r="660" spans="1:3" x14ac:dyDescent="0.25">
      <c r="A660" t="s">
        <v>1222</v>
      </c>
      <c r="B660" t="s">
        <v>7</v>
      </c>
      <c r="C660" t="s">
        <v>106</v>
      </c>
    </row>
    <row r="661" spans="1:3" x14ac:dyDescent="0.25">
      <c r="A661" t="s">
        <v>1222</v>
      </c>
      <c r="B661" t="s">
        <v>9</v>
      </c>
      <c r="C661" t="s">
        <v>518</v>
      </c>
    </row>
    <row r="662" spans="1:3" x14ac:dyDescent="0.25">
      <c r="A662" t="s">
        <v>1222</v>
      </c>
      <c r="B662" t="s">
        <v>11</v>
      </c>
      <c r="C662" t="s">
        <v>52</v>
      </c>
    </row>
    <row r="663" spans="1:3" x14ac:dyDescent="0.25">
      <c r="A663" t="s">
        <v>1222</v>
      </c>
      <c r="B663" t="s">
        <v>13</v>
      </c>
      <c r="C663" t="s">
        <v>12</v>
      </c>
    </row>
    <row r="664" spans="1:3" x14ac:dyDescent="0.25">
      <c r="A664" t="s">
        <v>1222</v>
      </c>
      <c r="B664" t="s">
        <v>15</v>
      </c>
      <c r="C664" t="s">
        <v>519</v>
      </c>
    </row>
    <row r="665" spans="1:3" x14ac:dyDescent="0.25">
      <c r="A665" t="s">
        <v>1222</v>
      </c>
      <c r="B665" t="s">
        <v>17</v>
      </c>
      <c r="C665" t="s">
        <v>520</v>
      </c>
    </row>
    <row r="666" spans="1:3" x14ac:dyDescent="0.25">
      <c r="A666" t="s">
        <v>1222</v>
      </c>
      <c r="B666" t="s">
        <v>19</v>
      </c>
      <c r="C666" t="s">
        <v>521</v>
      </c>
    </row>
    <row r="667" spans="1:3" x14ac:dyDescent="0.25">
      <c r="A667" t="s">
        <v>1222</v>
      </c>
      <c r="B667" t="s">
        <v>21</v>
      </c>
      <c r="C667" t="s">
        <v>522</v>
      </c>
    </row>
    <row r="668" spans="1:3" x14ac:dyDescent="0.25">
      <c r="A668" t="s">
        <v>1222</v>
      </c>
      <c r="B668" t="s">
        <v>23</v>
      </c>
      <c r="C668" t="s">
        <v>523</v>
      </c>
    </row>
    <row r="669" spans="1:3" x14ac:dyDescent="0.25">
      <c r="A669" t="s">
        <v>1222</v>
      </c>
      <c r="B669" t="s">
        <v>25</v>
      </c>
      <c r="C669" t="s">
        <v>524</v>
      </c>
    </row>
    <row r="670" spans="1:3" x14ac:dyDescent="0.25">
      <c r="A670" t="s">
        <v>1222</v>
      </c>
      <c r="B670" t="s">
        <v>27</v>
      </c>
      <c r="C670" t="s">
        <v>116</v>
      </c>
    </row>
    <row r="671" spans="1:3" x14ac:dyDescent="0.25">
      <c r="A671" t="s">
        <v>1222</v>
      </c>
      <c r="B671" t="s">
        <v>29</v>
      </c>
      <c r="C671" t="s">
        <v>525</v>
      </c>
    </row>
    <row r="672" spans="1:3" x14ac:dyDescent="0.25">
      <c r="A672" t="s">
        <v>1222</v>
      </c>
      <c r="B672" t="s">
        <v>31</v>
      </c>
      <c r="C672" t="s">
        <v>526</v>
      </c>
    </row>
    <row r="673" spans="1:3" x14ac:dyDescent="0.25">
      <c r="A673" t="s">
        <v>1222</v>
      </c>
      <c r="B673" t="s">
        <v>33</v>
      </c>
      <c r="C673" t="s">
        <v>428</v>
      </c>
    </row>
    <row r="674" spans="1:3" x14ac:dyDescent="0.25">
      <c r="A674" t="s">
        <v>1223</v>
      </c>
      <c r="B674" t="s">
        <v>134</v>
      </c>
      <c r="C674" t="s">
        <v>527</v>
      </c>
    </row>
    <row r="675" spans="1:3" x14ac:dyDescent="0.25">
      <c r="A675" t="s">
        <v>1223</v>
      </c>
      <c r="B675" t="s">
        <v>136</v>
      </c>
      <c r="C675" t="s">
        <v>528</v>
      </c>
    </row>
    <row r="676" spans="1:3" x14ac:dyDescent="0.25">
      <c r="A676" t="s">
        <v>1223</v>
      </c>
      <c r="B676" t="s">
        <v>7</v>
      </c>
      <c r="C676" t="s">
        <v>320</v>
      </c>
    </row>
    <row r="677" spans="1:3" x14ac:dyDescent="0.25">
      <c r="A677" t="s">
        <v>1223</v>
      </c>
      <c r="B677" t="s">
        <v>139</v>
      </c>
      <c r="C677" t="s">
        <v>529</v>
      </c>
    </row>
    <row r="678" spans="1:3" x14ac:dyDescent="0.25">
      <c r="A678" t="s">
        <v>1223</v>
      </c>
      <c r="B678" t="s">
        <v>141</v>
      </c>
      <c r="C678" t="s">
        <v>335</v>
      </c>
    </row>
    <row r="679" spans="1:3" x14ac:dyDescent="0.25">
      <c r="A679" t="s">
        <v>1223</v>
      </c>
      <c r="B679" t="s">
        <v>143</v>
      </c>
      <c r="C679" t="s">
        <v>41</v>
      </c>
    </row>
    <row r="680" spans="1:3" x14ac:dyDescent="0.25">
      <c r="A680" t="s">
        <v>1223</v>
      </c>
      <c r="B680" t="s">
        <v>144</v>
      </c>
      <c r="C680" t="s">
        <v>530</v>
      </c>
    </row>
    <row r="681" spans="1:3" x14ac:dyDescent="0.25">
      <c r="A681" t="s">
        <v>1223</v>
      </c>
      <c r="B681" t="s">
        <v>146</v>
      </c>
      <c r="C681" t="s">
        <v>147</v>
      </c>
    </row>
    <row r="682" spans="1:3" x14ac:dyDescent="0.25">
      <c r="A682" t="s">
        <v>1223</v>
      </c>
      <c r="B682" t="s">
        <v>148</v>
      </c>
      <c r="C682" t="s">
        <v>531</v>
      </c>
    </row>
    <row r="683" spans="1:3" x14ac:dyDescent="0.25">
      <c r="A683" t="s">
        <v>1223</v>
      </c>
      <c r="B683" t="s">
        <v>150</v>
      </c>
      <c r="C683" t="s">
        <v>532</v>
      </c>
    </row>
    <row r="684" spans="1:3" x14ac:dyDescent="0.25">
      <c r="A684" t="s">
        <v>1223</v>
      </c>
      <c r="B684" t="s">
        <v>152</v>
      </c>
      <c r="C684" t="s">
        <v>533</v>
      </c>
    </row>
    <row r="685" spans="1:3" x14ac:dyDescent="0.25">
      <c r="A685" t="s">
        <v>1223</v>
      </c>
      <c r="B685" t="s">
        <v>154</v>
      </c>
      <c r="C685" t="s">
        <v>88</v>
      </c>
    </row>
    <row r="686" spans="1:3" x14ac:dyDescent="0.25">
      <c r="A686" t="s">
        <v>1223</v>
      </c>
      <c r="B686" t="s">
        <v>27</v>
      </c>
      <c r="C686" t="s">
        <v>534</v>
      </c>
    </row>
    <row r="687" spans="1:3" x14ac:dyDescent="0.25">
      <c r="A687" t="s">
        <v>1223</v>
      </c>
      <c r="B687" t="s">
        <v>157</v>
      </c>
      <c r="C687" t="s">
        <v>535</v>
      </c>
    </row>
    <row r="688" spans="1:3" x14ac:dyDescent="0.25">
      <c r="A688" t="s">
        <v>1223</v>
      </c>
      <c r="B688" t="s">
        <v>159</v>
      </c>
      <c r="C688" t="s">
        <v>536</v>
      </c>
    </row>
    <row r="689" spans="1:3" x14ac:dyDescent="0.25">
      <c r="A689" t="s">
        <v>1223</v>
      </c>
      <c r="B689" t="s">
        <v>161</v>
      </c>
      <c r="C689" t="s">
        <v>537</v>
      </c>
    </row>
    <row r="690" spans="1:3" x14ac:dyDescent="0.25">
      <c r="A690" t="s">
        <v>1224</v>
      </c>
      <c r="B690" t="s">
        <v>3</v>
      </c>
      <c r="C690" t="s">
        <v>429</v>
      </c>
    </row>
    <row r="691" spans="1:3" x14ac:dyDescent="0.25">
      <c r="A691" t="s">
        <v>1224</v>
      </c>
      <c r="B691" t="s">
        <v>5</v>
      </c>
      <c r="C691" t="s">
        <v>4</v>
      </c>
    </row>
    <row r="692" spans="1:3" x14ac:dyDescent="0.25">
      <c r="A692" t="s">
        <v>1224</v>
      </c>
      <c r="B692" t="s">
        <v>7</v>
      </c>
      <c r="C692" t="s">
        <v>538</v>
      </c>
    </row>
    <row r="693" spans="1:3" x14ac:dyDescent="0.25">
      <c r="A693" t="s">
        <v>1224</v>
      </c>
      <c r="B693" t="s">
        <v>9</v>
      </c>
      <c r="C693" t="s">
        <v>50</v>
      </c>
    </row>
    <row r="694" spans="1:3" x14ac:dyDescent="0.25">
      <c r="A694" t="s">
        <v>1224</v>
      </c>
      <c r="B694" t="s">
        <v>11</v>
      </c>
      <c r="C694" t="s">
        <v>476</v>
      </c>
    </row>
    <row r="695" spans="1:3" x14ac:dyDescent="0.25">
      <c r="A695" t="s">
        <v>1224</v>
      </c>
      <c r="B695" t="s">
        <v>13</v>
      </c>
      <c r="C695" t="s">
        <v>52</v>
      </c>
    </row>
    <row r="696" spans="1:3" x14ac:dyDescent="0.25">
      <c r="A696" t="s">
        <v>1224</v>
      </c>
      <c r="B696" t="s">
        <v>15</v>
      </c>
      <c r="C696" t="s">
        <v>260</v>
      </c>
    </row>
    <row r="697" spans="1:3" x14ac:dyDescent="0.25">
      <c r="A697" t="s">
        <v>1224</v>
      </c>
      <c r="B697" t="s">
        <v>17</v>
      </c>
      <c r="C697" t="s">
        <v>539</v>
      </c>
    </row>
    <row r="698" spans="1:3" x14ac:dyDescent="0.25">
      <c r="A698" t="s">
        <v>1224</v>
      </c>
      <c r="B698" t="s">
        <v>19</v>
      </c>
      <c r="C698" t="s">
        <v>540</v>
      </c>
    </row>
    <row r="699" spans="1:3" x14ac:dyDescent="0.25">
      <c r="A699" t="s">
        <v>1224</v>
      </c>
      <c r="B699" t="s">
        <v>21</v>
      </c>
      <c r="C699" t="s">
        <v>541</v>
      </c>
    </row>
    <row r="700" spans="1:3" x14ac:dyDescent="0.25">
      <c r="A700" t="s">
        <v>1224</v>
      </c>
      <c r="B700" t="s">
        <v>23</v>
      </c>
      <c r="C700" t="s">
        <v>542</v>
      </c>
    </row>
    <row r="701" spans="1:3" x14ac:dyDescent="0.25">
      <c r="A701" t="s">
        <v>1224</v>
      </c>
      <c r="B701" t="s">
        <v>25</v>
      </c>
      <c r="C701" t="s">
        <v>543</v>
      </c>
    </row>
    <row r="702" spans="1:3" x14ac:dyDescent="0.25">
      <c r="A702" t="s">
        <v>1224</v>
      </c>
      <c r="B702" t="s">
        <v>27</v>
      </c>
      <c r="C702" t="s">
        <v>291</v>
      </c>
    </row>
    <row r="703" spans="1:3" x14ac:dyDescent="0.25">
      <c r="A703" t="s">
        <v>1224</v>
      </c>
      <c r="B703" t="s">
        <v>29</v>
      </c>
      <c r="C703" t="s">
        <v>414</v>
      </c>
    </row>
    <row r="704" spans="1:3" x14ac:dyDescent="0.25">
      <c r="A704" t="s">
        <v>1224</v>
      </c>
      <c r="B704" t="s">
        <v>31</v>
      </c>
      <c r="C704" t="s">
        <v>544</v>
      </c>
    </row>
    <row r="705" spans="1:3" x14ac:dyDescent="0.25">
      <c r="A705" t="s">
        <v>1224</v>
      </c>
      <c r="B705" t="s">
        <v>33</v>
      </c>
      <c r="C705" t="s">
        <v>231</v>
      </c>
    </row>
    <row r="706" spans="1:3" x14ac:dyDescent="0.25">
      <c r="A706" t="s">
        <v>1225</v>
      </c>
      <c r="B706" t="s">
        <v>3</v>
      </c>
      <c r="C706" t="s">
        <v>545</v>
      </c>
    </row>
    <row r="707" spans="1:3" x14ac:dyDescent="0.25">
      <c r="A707" t="s">
        <v>1225</v>
      </c>
      <c r="B707" t="s">
        <v>5</v>
      </c>
      <c r="C707" t="s">
        <v>546</v>
      </c>
    </row>
    <row r="708" spans="1:3" x14ac:dyDescent="0.25">
      <c r="A708" t="s">
        <v>1225</v>
      </c>
      <c r="B708" t="s">
        <v>7</v>
      </c>
      <c r="C708" t="s">
        <v>48</v>
      </c>
    </row>
    <row r="709" spans="1:3" x14ac:dyDescent="0.25">
      <c r="A709" t="s">
        <v>1225</v>
      </c>
      <c r="B709" t="s">
        <v>9</v>
      </c>
      <c r="C709" t="s">
        <v>547</v>
      </c>
    </row>
    <row r="710" spans="1:3" x14ac:dyDescent="0.25">
      <c r="A710" t="s">
        <v>1225</v>
      </c>
      <c r="B710" t="s">
        <v>11</v>
      </c>
      <c r="C710" t="s">
        <v>476</v>
      </c>
    </row>
    <row r="711" spans="1:3" x14ac:dyDescent="0.25">
      <c r="A711" t="s">
        <v>1225</v>
      </c>
      <c r="B711" t="s">
        <v>13</v>
      </c>
      <c r="C711" t="s">
        <v>167</v>
      </c>
    </row>
    <row r="712" spans="1:3" x14ac:dyDescent="0.25">
      <c r="A712" t="s">
        <v>1225</v>
      </c>
      <c r="B712" t="s">
        <v>15</v>
      </c>
      <c r="C712" t="s">
        <v>260</v>
      </c>
    </row>
    <row r="713" spans="1:3" x14ac:dyDescent="0.25">
      <c r="A713" t="s">
        <v>1225</v>
      </c>
      <c r="B713" t="s">
        <v>17</v>
      </c>
      <c r="C713" t="s">
        <v>548</v>
      </c>
    </row>
    <row r="714" spans="1:3" x14ac:dyDescent="0.25">
      <c r="A714" t="s">
        <v>1225</v>
      </c>
      <c r="B714" t="s">
        <v>19</v>
      </c>
      <c r="C714" t="s">
        <v>83</v>
      </c>
    </row>
    <row r="715" spans="1:3" x14ac:dyDescent="0.25">
      <c r="A715" t="s">
        <v>1225</v>
      </c>
      <c r="B715" t="s">
        <v>21</v>
      </c>
      <c r="C715" t="s">
        <v>549</v>
      </c>
    </row>
    <row r="716" spans="1:3" x14ac:dyDescent="0.25">
      <c r="A716" t="s">
        <v>1225</v>
      </c>
      <c r="B716" t="s">
        <v>23</v>
      </c>
      <c r="C716" t="s">
        <v>550</v>
      </c>
    </row>
    <row r="717" spans="1:3" x14ac:dyDescent="0.25">
      <c r="A717" t="s">
        <v>1225</v>
      </c>
      <c r="B717" t="s">
        <v>25</v>
      </c>
      <c r="C717" t="s">
        <v>551</v>
      </c>
    </row>
    <row r="718" spans="1:3" x14ac:dyDescent="0.25">
      <c r="A718" t="s">
        <v>1225</v>
      </c>
      <c r="B718" t="s">
        <v>27</v>
      </c>
      <c r="C718" t="s">
        <v>552</v>
      </c>
    </row>
    <row r="719" spans="1:3" x14ac:dyDescent="0.25">
      <c r="A719" t="s">
        <v>1225</v>
      </c>
      <c r="B719" t="s">
        <v>29</v>
      </c>
      <c r="C719" t="s">
        <v>292</v>
      </c>
    </row>
    <row r="720" spans="1:3" x14ac:dyDescent="0.25">
      <c r="A720" t="s">
        <v>1225</v>
      </c>
      <c r="B720" t="s">
        <v>31</v>
      </c>
      <c r="C720" t="s">
        <v>553</v>
      </c>
    </row>
    <row r="721" spans="1:3" x14ac:dyDescent="0.25">
      <c r="A721" t="s">
        <v>1225</v>
      </c>
      <c r="B721" t="s">
        <v>33</v>
      </c>
      <c r="C721" t="s">
        <v>119</v>
      </c>
    </row>
    <row r="722" spans="1:3" x14ac:dyDescent="0.25">
      <c r="A722" t="s">
        <v>1226</v>
      </c>
      <c r="B722" t="s">
        <v>3</v>
      </c>
      <c r="C722" t="s">
        <v>42</v>
      </c>
    </row>
    <row r="723" spans="1:3" x14ac:dyDescent="0.25">
      <c r="A723" t="s">
        <v>1226</v>
      </c>
      <c r="B723" t="s">
        <v>5</v>
      </c>
      <c r="C723" t="s">
        <v>42</v>
      </c>
    </row>
    <row r="724" spans="1:3" x14ac:dyDescent="0.25">
      <c r="A724" t="s">
        <v>1226</v>
      </c>
      <c r="B724" t="s">
        <v>7</v>
      </c>
      <c r="C724" t="s">
        <v>42</v>
      </c>
    </row>
    <row r="725" spans="1:3" x14ac:dyDescent="0.25">
      <c r="A725" t="s">
        <v>1226</v>
      </c>
      <c r="B725" t="s">
        <v>9</v>
      </c>
      <c r="C725" t="s">
        <v>42</v>
      </c>
    </row>
    <row r="726" spans="1:3" x14ac:dyDescent="0.25">
      <c r="A726" t="s">
        <v>1226</v>
      </c>
      <c r="B726" t="s">
        <v>11</v>
      </c>
      <c r="C726" t="s">
        <v>39</v>
      </c>
    </row>
    <row r="727" spans="1:3" x14ac:dyDescent="0.25">
      <c r="A727" t="s">
        <v>1226</v>
      </c>
      <c r="B727" t="s">
        <v>13</v>
      </c>
      <c r="C727" t="s">
        <v>39</v>
      </c>
    </row>
    <row r="728" spans="1:3" x14ac:dyDescent="0.25">
      <c r="A728" t="s">
        <v>1226</v>
      </c>
      <c r="B728" t="s">
        <v>15</v>
      </c>
      <c r="C728" t="s">
        <v>39</v>
      </c>
    </row>
    <row r="729" spans="1:3" x14ac:dyDescent="0.25">
      <c r="A729" t="s">
        <v>1226</v>
      </c>
      <c r="B729" t="s">
        <v>17</v>
      </c>
      <c r="C729" t="s">
        <v>42</v>
      </c>
    </row>
    <row r="730" spans="1:3" x14ac:dyDescent="0.25">
      <c r="A730" t="s">
        <v>1226</v>
      </c>
      <c r="B730" t="s">
        <v>19</v>
      </c>
      <c r="C730" t="s">
        <v>43</v>
      </c>
    </row>
    <row r="731" spans="1:3" x14ac:dyDescent="0.25">
      <c r="A731" t="s">
        <v>1226</v>
      </c>
      <c r="B731" t="s">
        <v>21</v>
      </c>
      <c r="C731" t="s">
        <v>44</v>
      </c>
    </row>
    <row r="732" spans="1:3" x14ac:dyDescent="0.25">
      <c r="A732" t="s">
        <v>1226</v>
      </c>
      <c r="B732" t="s">
        <v>23</v>
      </c>
      <c r="C732" t="s">
        <v>45</v>
      </c>
    </row>
    <row r="733" spans="1:3" x14ac:dyDescent="0.25">
      <c r="A733" t="s">
        <v>1226</v>
      </c>
      <c r="B733" t="s">
        <v>25</v>
      </c>
      <c r="C733" t="s">
        <v>45</v>
      </c>
    </row>
    <row r="734" spans="1:3" x14ac:dyDescent="0.25">
      <c r="A734" t="s">
        <v>1226</v>
      </c>
      <c r="B734" t="s">
        <v>27</v>
      </c>
      <c r="C734" t="s">
        <v>45</v>
      </c>
    </row>
    <row r="735" spans="1:3" x14ac:dyDescent="0.25">
      <c r="A735" t="s">
        <v>1226</v>
      </c>
      <c r="B735" t="s">
        <v>29</v>
      </c>
      <c r="C735" t="s">
        <v>45</v>
      </c>
    </row>
    <row r="736" spans="1:3" x14ac:dyDescent="0.25">
      <c r="A736" t="s">
        <v>1226</v>
      </c>
      <c r="B736" t="s">
        <v>31</v>
      </c>
      <c r="C736" t="s">
        <v>43</v>
      </c>
    </row>
    <row r="737" spans="1:3" x14ac:dyDescent="0.25">
      <c r="A737" t="s">
        <v>1226</v>
      </c>
      <c r="B737" t="s">
        <v>33</v>
      </c>
      <c r="C737" t="s">
        <v>45</v>
      </c>
    </row>
    <row r="738" spans="1:3" x14ac:dyDescent="0.25">
      <c r="A738" t="s">
        <v>1182</v>
      </c>
      <c r="B738" t="s">
        <v>3</v>
      </c>
      <c r="C738" t="s">
        <v>554</v>
      </c>
    </row>
    <row r="739" spans="1:3" x14ac:dyDescent="0.25">
      <c r="A739" t="s">
        <v>1182</v>
      </c>
      <c r="B739" t="s">
        <v>5</v>
      </c>
      <c r="C739" t="s">
        <v>555</v>
      </c>
    </row>
    <row r="740" spans="1:3" x14ac:dyDescent="0.25">
      <c r="A740" t="s">
        <v>1182</v>
      </c>
      <c r="B740" t="s">
        <v>7</v>
      </c>
      <c r="C740" t="s">
        <v>373</v>
      </c>
    </row>
    <row r="741" spans="1:3" x14ac:dyDescent="0.25">
      <c r="A741" t="s">
        <v>1182</v>
      </c>
      <c r="B741" t="s">
        <v>9</v>
      </c>
      <c r="C741" t="s">
        <v>556</v>
      </c>
    </row>
    <row r="742" spans="1:3" x14ac:dyDescent="0.25">
      <c r="A742" t="s">
        <v>1182</v>
      </c>
      <c r="B742" t="s">
        <v>11</v>
      </c>
      <c r="C742" t="s">
        <v>259</v>
      </c>
    </row>
    <row r="743" spans="1:3" x14ac:dyDescent="0.25">
      <c r="A743" t="s">
        <v>1182</v>
      </c>
      <c r="B743" t="s">
        <v>13</v>
      </c>
      <c r="C743" t="s">
        <v>41</v>
      </c>
    </row>
    <row r="744" spans="1:3" x14ac:dyDescent="0.25">
      <c r="A744" t="s">
        <v>1182</v>
      </c>
      <c r="B744" t="s">
        <v>15</v>
      </c>
      <c r="C744" t="s">
        <v>557</v>
      </c>
    </row>
    <row r="745" spans="1:3" x14ac:dyDescent="0.25">
      <c r="A745" t="s">
        <v>1182</v>
      </c>
      <c r="B745" t="s">
        <v>17</v>
      </c>
      <c r="C745" t="s">
        <v>558</v>
      </c>
    </row>
    <row r="746" spans="1:3" x14ac:dyDescent="0.25">
      <c r="A746" t="s">
        <v>1182</v>
      </c>
      <c r="B746" t="s">
        <v>19</v>
      </c>
      <c r="C746" t="s">
        <v>559</v>
      </c>
    </row>
    <row r="747" spans="1:3" x14ac:dyDescent="0.25">
      <c r="A747" t="s">
        <v>1182</v>
      </c>
      <c r="B747" t="s">
        <v>21</v>
      </c>
      <c r="C747" t="s">
        <v>560</v>
      </c>
    </row>
    <row r="748" spans="1:3" x14ac:dyDescent="0.25">
      <c r="A748" t="s">
        <v>1182</v>
      </c>
      <c r="B748" t="s">
        <v>23</v>
      </c>
      <c r="C748" t="s">
        <v>561</v>
      </c>
    </row>
    <row r="749" spans="1:3" x14ac:dyDescent="0.25">
      <c r="A749" t="s">
        <v>1182</v>
      </c>
      <c r="B749" t="s">
        <v>25</v>
      </c>
      <c r="C749" t="s">
        <v>562</v>
      </c>
    </row>
    <row r="750" spans="1:3" x14ac:dyDescent="0.25">
      <c r="A750" t="s">
        <v>1182</v>
      </c>
      <c r="B750" t="s">
        <v>27</v>
      </c>
      <c r="C750" t="s">
        <v>28</v>
      </c>
    </row>
    <row r="751" spans="1:3" x14ac:dyDescent="0.25">
      <c r="A751" t="s">
        <v>1182</v>
      </c>
      <c r="B751" t="s">
        <v>29</v>
      </c>
      <c r="C751" t="s">
        <v>188</v>
      </c>
    </row>
    <row r="752" spans="1:3" x14ac:dyDescent="0.25">
      <c r="A752" t="s">
        <v>1182</v>
      </c>
      <c r="B752" t="s">
        <v>31</v>
      </c>
      <c r="C752" t="s">
        <v>563</v>
      </c>
    </row>
    <row r="753" spans="1:3" x14ac:dyDescent="0.25">
      <c r="A753" t="s">
        <v>1182</v>
      </c>
      <c r="B753" t="s">
        <v>33</v>
      </c>
      <c r="C753" t="s">
        <v>564</v>
      </c>
    </row>
    <row r="754" spans="1:3" x14ac:dyDescent="0.25">
      <c r="A754" t="s">
        <v>1227</v>
      </c>
      <c r="B754" t="s">
        <v>3</v>
      </c>
      <c r="C754" t="s">
        <v>473</v>
      </c>
    </row>
    <row r="755" spans="1:3" x14ac:dyDescent="0.25">
      <c r="A755" t="s">
        <v>1227</v>
      </c>
      <c r="B755" t="s">
        <v>5</v>
      </c>
      <c r="C755" t="s">
        <v>565</v>
      </c>
    </row>
    <row r="756" spans="1:3" x14ac:dyDescent="0.25">
      <c r="A756" t="s">
        <v>1227</v>
      </c>
      <c r="B756" t="s">
        <v>7</v>
      </c>
      <c r="C756" t="s">
        <v>106</v>
      </c>
    </row>
    <row r="757" spans="1:3" x14ac:dyDescent="0.25">
      <c r="A757" t="s">
        <v>1227</v>
      </c>
      <c r="B757" t="s">
        <v>9</v>
      </c>
      <c r="C757" t="s">
        <v>566</v>
      </c>
    </row>
    <row r="758" spans="1:3" x14ac:dyDescent="0.25">
      <c r="A758" t="s">
        <v>1227</v>
      </c>
      <c r="B758" t="s">
        <v>11</v>
      </c>
      <c r="C758" t="s">
        <v>108</v>
      </c>
    </row>
    <row r="759" spans="1:3" x14ac:dyDescent="0.25">
      <c r="A759" t="s">
        <v>1227</v>
      </c>
      <c r="B759" t="s">
        <v>13</v>
      </c>
      <c r="C759" t="s">
        <v>12</v>
      </c>
    </row>
    <row r="760" spans="1:3" x14ac:dyDescent="0.25">
      <c r="A760" t="s">
        <v>1227</v>
      </c>
      <c r="B760" t="s">
        <v>15</v>
      </c>
      <c r="C760" t="s">
        <v>567</v>
      </c>
    </row>
    <row r="761" spans="1:3" x14ac:dyDescent="0.25">
      <c r="A761" t="s">
        <v>1227</v>
      </c>
      <c r="B761" t="s">
        <v>17</v>
      </c>
      <c r="C761" t="s">
        <v>568</v>
      </c>
    </row>
    <row r="762" spans="1:3" x14ac:dyDescent="0.25">
      <c r="A762" t="s">
        <v>1227</v>
      </c>
      <c r="B762" t="s">
        <v>19</v>
      </c>
      <c r="C762" t="s">
        <v>569</v>
      </c>
    </row>
    <row r="763" spans="1:3" x14ac:dyDescent="0.25">
      <c r="A763" t="s">
        <v>1227</v>
      </c>
      <c r="B763" t="s">
        <v>21</v>
      </c>
      <c r="C763" t="s">
        <v>570</v>
      </c>
    </row>
    <row r="764" spans="1:3" x14ac:dyDescent="0.25">
      <c r="A764" t="s">
        <v>1227</v>
      </c>
      <c r="B764" t="s">
        <v>23</v>
      </c>
      <c r="C764" t="s">
        <v>571</v>
      </c>
    </row>
    <row r="765" spans="1:3" x14ac:dyDescent="0.25">
      <c r="A765" t="s">
        <v>1227</v>
      </c>
      <c r="B765" t="s">
        <v>25</v>
      </c>
      <c r="C765" t="s">
        <v>572</v>
      </c>
    </row>
    <row r="766" spans="1:3" x14ac:dyDescent="0.25">
      <c r="A766" t="s">
        <v>1227</v>
      </c>
      <c r="B766" t="s">
        <v>27</v>
      </c>
      <c r="C766" t="s">
        <v>87</v>
      </c>
    </row>
    <row r="767" spans="1:3" x14ac:dyDescent="0.25">
      <c r="A767" t="s">
        <v>1227</v>
      </c>
      <c r="B767" t="s">
        <v>29</v>
      </c>
      <c r="C767" t="s">
        <v>371</v>
      </c>
    </row>
    <row r="768" spans="1:3" x14ac:dyDescent="0.25">
      <c r="A768" t="s">
        <v>1227</v>
      </c>
      <c r="B768" t="s">
        <v>31</v>
      </c>
      <c r="C768" t="s">
        <v>573</v>
      </c>
    </row>
    <row r="769" spans="1:3" x14ac:dyDescent="0.25">
      <c r="A769" t="s">
        <v>1227</v>
      </c>
      <c r="B769" t="s">
        <v>33</v>
      </c>
      <c r="C769" t="s">
        <v>119</v>
      </c>
    </row>
    <row r="770" spans="1:3" x14ac:dyDescent="0.25">
      <c r="A770" t="s">
        <v>1228</v>
      </c>
      <c r="B770" t="s">
        <v>134</v>
      </c>
      <c r="C770" t="s">
        <v>574</v>
      </c>
    </row>
    <row r="771" spans="1:3" x14ac:dyDescent="0.25">
      <c r="A771" t="s">
        <v>1228</v>
      </c>
      <c r="B771" t="s">
        <v>136</v>
      </c>
      <c r="C771" t="s">
        <v>575</v>
      </c>
    </row>
    <row r="772" spans="1:3" x14ac:dyDescent="0.25">
      <c r="A772" t="s">
        <v>1228</v>
      </c>
      <c r="B772" t="s">
        <v>7</v>
      </c>
      <c r="C772" t="s">
        <v>576</v>
      </c>
    </row>
    <row r="773" spans="1:3" x14ac:dyDescent="0.25">
      <c r="A773" t="s">
        <v>1228</v>
      </c>
      <c r="B773" t="s">
        <v>139</v>
      </c>
      <c r="C773" t="s">
        <v>577</v>
      </c>
    </row>
    <row r="774" spans="1:3" x14ac:dyDescent="0.25">
      <c r="A774" t="s">
        <v>1228</v>
      </c>
      <c r="B774" t="s">
        <v>141</v>
      </c>
      <c r="C774" t="s">
        <v>578</v>
      </c>
    </row>
    <row r="775" spans="1:3" x14ac:dyDescent="0.25">
      <c r="A775" t="s">
        <v>1228</v>
      </c>
      <c r="B775" t="s">
        <v>143</v>
      </c>
      <c r="C775" t="s">
        <v>579</v>
      </c>
    </row>
    <row r="776" spans="1:3" x14ac:dyDescent="0.25">
      <c r="A776" t="s">
        <v>1228</v>
      </c>
      <c r="B776" t="s">
        <v>144</v>
      </c>
      <c r="C776" t="s">
        <v>580</v>
      </c>
    </row>
    <row r="777" spans="1:3" x14ac:dyDescent="0.25">
      <c r="A777" t="s">
        <v>1228</v>
      </c>
      <c r="B777" t="s">
        <v>146</v>
      </c>
      <c r="C777" t="s">
        <v>581</v>
      </c>
    </row>
    <row r="778" spans="1:3" x14ac:dyDescent="0.25">
      <c r="A778" t="s">
        <v>1228</v>
      </c>
      <c r="B778" t="s">
        <v>148</v>
      </c>
      <c r="C778" t="s">
        <v>582</v>
      </c>
    </row>
    <row r="779" spans="1:3" x14ac:dyDescent="0.25">
      <c r="A779" t="s">
        <v>1228</v>
      </c>
      <c r="B779" t="s">
        <v>150</v>
      </c>
      <c r="C779" t="s">
        <v>583</v>
      </c>
    </row>
    <row r="780" spans="1:3" x14ac:dyDescent="0.25">
      <c r="A780" t="s">
        <v>1228</v>
      </c>
      <c r="B780" t="s">
        <v>152</v>
      </c>
      <c r="C780" t="s">
        <v>584</v>
      </c>
    </row>
    <row r="781" spans="1:3" x14ac:dyDescent="0.25">
      <c r="A781" t="s">
        <v>1228</v>
      </c>
      <c r="B781" t="s">
        <v>154</v>
      </c>
      <c r="C781" t="s">
        <v>255</v>
      </c>
    </row>
    <row r="782" spans="1:3" x14ac:dyDescent="0.25">
      <c r="A782" t="s">
        <v>1228</v>
      </c>
      <c r="B782" t="s">
        <v>27</v>
      </c>
      <c r="C782" t="s">
        <v>460</v>
      </c>
    </row>
    <row r="783" spans="1:3" x14ac:dyDescent="0.25">
      <c r="A783" t="s">
        <v>1228</v>
      </c>
      <c r="B783" t="s">
        <v>157</v>
      </c>
      <c r="C783" t="s">
        <v>585</v>
      </c>
    </row>
    <row r="784" spans="1:3" x14ac:dyDescent="0.25">
      <c r="A784" t="s">
        <v>1228</v>
      </c>
      <c r="B784" t="s">
        <v>159</v>
      </c>
      <c r="C784" t="s">
        <v>586</v>
      </c>
    </row>
    <row r="785" spans="1:3" x14ac:dyDescent="0.25">
      <c r="A785" t="s">
        <v>1228</v>
      </c>
      <c r="B785" t="s">
        <v>161</v>
      </c>
      <c r="C785" t="s">
        <v>327</v>
      </c>
    </row>
    <row r="786" spans="1:3" x14ac:dyDescent="0.25">
      <c r="A786" t="s">
        <v>1229</v>
      </c>
      <c r="B786" t="s">
        <v>3</v>
      </c>
      <c r="C786" t="s">
        <v>587</v>
      </c>
    </row>
    <row r="787" spans="1:3" x14ac:dyDescent="0.25">
      <c r="A787" t="s">
        <v>1229</v>
      </c>
      <c r="B787" t="s">
        <v>5</v>
      </c>
      <c r="C787" t="s">
        <v>219</v>
      </c>
    </row>
    <row r="788" spans="1:3" x14ac:dyDescent="0.25">
      <c r="A788" t="s">
        <v>1229</v>
      </c>
      <c r="B788" t="s">
        <v>7</v>
      </c>
      <c r="C788" t="s">
        <v>49</v>
      </c>
    </row>
    <row r="789" spans="1:3" x14ac:dyDescent="0.25">
      <c r="A789" t="s">
        <v>1229</v>
      </c>
      <c r="B789" t="s">
        <v>9</v>
      </c>
      <c r="C789" t="s">
        <v>588</v>
      </c>
    </row>
    <row r="790" spans="1:3" x14ac:dyDescent="0.25">
      <c r="A790" t="s">
        <v>1229</v>
      </c>
      <c r="B790" t="s">
        <v>11</v>
      </c>
      <c r="C790" t="s">
        <v>12</v>
      </c>
    </row>
    <row r="791" spans="1:3" x14ac:dyDescent="0.25">
      <c r="A791" t="s">
        <v>1229</v>
      </c>
      <c r="B791" t="s">
        <v>13</v>
      </c>
      <c r="C791" t="s">
        <v>354</v>
      </c>
    </row>
    <row r="792" spans="1:3" x14ac:dyDescent="0.25">
      <c r="A792" t="s">
        <v>1229</v>
      </c>
      <c r="B792" t="s">
        <v>15</v>
      </c>
      <c r="C792" t="s">
        <v>589</v>
      </c>
    </row>
    <row r="793" spans="1:3" x14ac:dyDescent="0.25">
      <c r="A793" t="s">
        <v>1229</v>
      </c>
      <c r="B793" t="s">
        <v>17</v>
      </c>
      <c r="C793" t="s">
        <v>82</v>
      </c>
    </row>
    <row r="794" spans="1:3" x14ac:dyDescent="0.25">
      <c r="A794" t="s">
        <v>1229</v>
      </c>
      <c r="B794" t="s">
        <v>19</v>
      </c>
      <c r="C794" t="s">
        <v>590</v>
      </c>
    </row>
    <row r="795" spans="1:3" x14ac:dyDescent="0.25">
      <c r="A795" t="s">
        <v>1229</v>
      </c>
      <c r="B795" t="s">
        <v>21</v>
      </c>
      <c r="C795" t="s">
        <v>491</v>
      </c>
    </row>
    <row r="796" spans="1:3" x14ac:dyDescent="0.25">
      <c r="A796" t="s">
        <v>1229</v>
      </c>
      <c r="B796" t="s">
        <v>23</v>
      </c>
      <c r="C796" t="s">
        <v>591</v>
      </c>
    </row>
    <row r="797" spans="1:3" x14ac:dyDescent="0.25">
      <c r="A797" t="s">
        <v>1229</v>
      </c>
      <c r="B797" t="s">
        <v>25</v>
      </c>
      <c r="C797" t="s">
        <v>186</v>
      </c>
    </row>
    <row r="798" spans="1:3" x14ac:dyDescent="0.25">
      <c r="A798" t="s">
        <v>1229</v>
      </c>
      <c r="B798" t="s">
        <v>27</v>
      </c>
      <c r="C798" t="s">
        <v>592</v>
      </c>
    </row>
    <row r="799" spans="1:3" x14ac:dyDescent="0.25">
      <c r="A799" t="s">
        <v>1229</v>
      </c>
      <c r="B799" t="s">
        <v>29</v>
      </c>
      <c r="C799" t="s">
        <v>512</v>
      </c>
    </row>
    <row r="800" spans="1:3" x14ac:dyDescent="0.25">
      <c r="A800" t="s">
        <v>1229</v>
      </c>
      <c r="B800" t="s">
        <v>31</v>
      </c>
      <c r="C800" t="s">
        <v>73</v>
      </c>
    </row>
    <row r="801" spans="1:3" x14ac:dyDescent="0.25">
      <c r="A801" t="s">
        <v>1229</v>
      </c>
      <c r="B801" t="s">
        <v>33</v>
      </c>
      <c r="C801" t="s">
        <v>463</v>
      </c>
    </row>
    <row r="802" spans="1:3" x14ac:dyDescent="0.25">
      <c r="A802" t="s">
        <v>1230</v>
      </c>
      <c r="B802" t="s">
        <v>134</v>
      </c>
      <c r="C802" t="s">
        <v>445</v>
      </c>
    </row>
    <row r="803" spans="1:3" x14ac:dyDescent="0.25">
      <c r="A803" t="s">
        <v>1230</v>
      </c>
      <c r="B803" t="s">
        <v>136</v>
      </c>
      <c r="C803" t="s">
        <v>593</v>
      </c>
    </row>
    <row r="804" spans="1:3" x14ac:dyDescent="0.25">
      <c r="A804" t="s">
        <v>1230</v>
      </c>
      <c r="B804" t="s">
        <v>7</v>
      </c>
      <c r="C804" t="s">
        <v>474</v>
      </c>
    </row>
    <row r="805" spans="1:3" x14ac:dyDescent="0.25">
      <c r="A805" t="s">
        <v>1230</v>
      </c>
      <c r="B805" t="s">
        <v>139</v>
      </c>
      <c r="C805" t="s">
        <v>123</v>
      </c>
    </row>
    <row r="806" spans="1:3" x14ac:dyDescent="0.25">
      <c r="A806" t="s">
        <v>1230</v>
      </c>
      <c r="B806" t="s">
        <v>141</v>
      </c>
      <c r="C806" t="s">
        <v>167</v>
      </c>
    </row>
    <row r="807" spans="1:3" x14ac:dyDescent="0.25">
      <c r="A807" t="s">
        <v>1230</v>
      </c>
      <c r="B807" t="s">
        <v>143</v>
      </c>
      <c r="C807" t="s">
        <v>12</v>
      </c>
    </row>
    <row r="808" spans="1:3" x14ac:dyDescent="0.25">
      <c r="A808" t="s">
        <v>1230</v>
      </c>
      <c r="B808" t="s">
        <v>144</v>
      </c>
      <c r="C808" t="s">
        <v>594</v>
      </c>
    </row>
    <row r="809" spans="1:3" x14ac:dyDescent="0.25">
      <c r="A809" t="s">
        <v>1230</v>
      </c>
      <c r="B809" t="s">
        <v>146</v>
      </c>
      <c r="C809" t="s">
        <v>595</v>
      </c>
    </row>
    <row r="810" spans="1:3" x14ac:dyDescent="0.25">
      <c r="A810" t="s">
        <v>1230</v>
      </c>
      <c r="B810" t="s">
        <v>148</v>
      </c>
      <c r="C810" t="s">
        <v>325</v>
      </c>
    </row>
    <row r="811" spans="1:3" x14ac:dyDescent="0.25">
      <c r="A811" t="s">
        <v>1230</v>
      </c>
      <c r="B811" t="s">
        <v>150</v>
      </c>
      <c r="C811" t="s">
        <v>596</v>
      </c>
    </row>
    <row r="812" spans="1:3" x14ac:dyDescent="0.25">
      <c r="A812" t="s">
        <v>1230</v>
      </c>
      <c r="B812" t="s">
        <v>152</v>
      </c>
      <c r="C812" t="s">
        <v>597</v>
      </c>
    </row>
    <row r="813" spans="1:3" x14ac:dyDescent="0.25">
      <c r="A813" t="s">
        <v>1230</v>
      </c>
      <c r="B813" t="s">
        <v>154</v>
      </c>
      <c r="C813" t="s">
        <v>506</v>
      </c>
    </row>
    <row r="814" spans="1:3" x14ac:dyDescent="0.25">
      <c r="A814" t="s">
        <v>1230</v>
      </c>
      <c r="B814" t="s">
        <v>27</v>
      </c>
      <c r="C814" t="s">
        <v>160</v>
      </c>
    </row>
    <row r="815" spans="1:3" x14ac:dyDescent="0.25">
      <c r="A815" t="s">
        <v>1230</v>
      </c>
      <c r="B815" t="s">
        <v>157</v>
      </c>
      <c r="C815" t="s">
        <v>277</v>
      </c>
    </row>
    <row r="816" spans="1:3" x14ac:dyDescent="0.25">
      <c r="A816" t="s">
        <v>1230</v>
      </c>
      <c r="B816" t="s">
        <v>159</v>
      </c>
      <c r="C816" t="s">
        <v>598</v>
      </c>
    </row>
    <row r="817" spans="1:3" x14ac:dyDescent="0.25">
      <c r="A817" t="s">
        <v>1230</v>
      </c>
      <c r="B817" t="s">
        <v>161</v>
      </c>
      <c r="C817" t="s">
        <v>307</v>
      </c>
    </row>
    <row r="818" spans="1:3" x14ac:dyDescent="0.25">
      <c r="A818" t="s">
        <v>1231</v>
      </c>
      <c r="B818" t="s">
        <v>3</v>
      </c>
      <c r="C818" t="s">
        <v>545</v>
      </c>
    </row>
    <row r="819" spans="1:3" x14ac:dyDescent="0.25">
      <c r="A819" t="s">
        <v>1231</v>
      </c>
      <c r="B819" t="s">
        <v>5</v>
      </c>
      <c r="C819" t="s">
        <v>396</v>
      </c>
    </row>
    <row r="820" spans="1:3" x14ac:dyDescent="0.25">
      <c r="A820" t="s">
        <v>1231</v>
      </c>
      <c r="B820" t="s">
        <v>7</v>
      </c>
      <c r="C820" t="s">
        <v>179</v>
      </c>
    </row>
    <row r="821" spans="1:3" x14ac:dyDescent="0.25">
      <c r="A821" t="s">
        <v>1231</v>
      </c>
      <c r="B821" t="s">
        <v>9</v>
      </c>
      <c r="C821" t="s">
        <v>599</v>
      </c>
    </row>
    <row r="822" spans="1:3" x14ac:dyDescent="0.25">
      <c r="A822" t="s">
        <v>1231</v>
      </c>
      <c r="B822" t="s">
        <v>11</v>
      </c>
      <c r="C822" t="s">
        <v>167</v>
      </c>
    </row>
    <row r="823" spans="1:3" x14ac:dyDescent="0.25">
      <c r="A823" t="s">
        <v>1231</v>
      </c>
      <c r="B823" t="s">
        <v>13</v>
      </c>
      <c r="C823" t="s">
        <v>12</v>
      </c>
    </row>
    <row r="824" spans="1:3" x14ac:dyDescent="0.25">
      <c r="A824" t="s">
        <v>1231</v>
      </c>
      <c r="B824" t="s">
        <v>15</v>
      </c>
      <c r="C824" t="s">
        <v>600</v>
      </c>
    </row>
    <row r="825" spans="1:3" x14ac:dyDescent="0.25">
      <c r="A825" t="s">
        <v>1231</v>
      </c>
      <c r="B825" t="s">
        <v>17</v>
      </c>
      <c r="C825" t="s">
        <v>601</v>
      </c>
    </row>
    <row r="826" spans="1:3" x14ac:dyDescent="0.25">
      <c r="A826" t="s">
        <v>1231</v>
      </c>
      <c r="B826" t="s">
        <v>19</v>
      </c>
      <c r="C826" t="s">
        <v>602</v>
      </c>
    </row>
    <row r="827" spans="1:3" x14ac:dyDescent="0.25">
      <c r="A827" t="s">
        <v>1231</v>
      </c>
      <c r="B827" t="s">
        <v>21</v>
      </c>
      <c r="C827" t="s">
        <v>603</v>
      </c>
    </row>
    <row r="828" spans="1:3" x14ac:dyDescent="0.25">
      <c r="A828" t="s">
        <v>1231</v>
      </c>
      <c r="B828" t="s">
        <v>23</v>
      </c>
      <c r="C828" t="s">
        <v>185</v>
      </c>
    </row>
    <row r="829" spans="1:3" x14ac:dyDescent="0.25">
      <c r="A829" t="s">
        <v>1231</v>
      </c>
      <c r="B829" t="s">
        <v>25</v>
      </c>
      <c r="C829" t="s">
        <v>562</v>
      </c>
    </row>
    <row r="830" spans="1:3" x14ac:dyDescent="0.25">
      <c r="A830" t="s">
        <v>1231</v>
      </c>
      <c r="B830" t="s">
        <v>27</v>
      </c>
      <c r="C830" t="s">
        <v>28</v>
      </c>
    </row>
    <row r="831" spans="1:3" x14ac:dyDescent="0.25">
      <c r="A831" t="s">
        <v>1231</v>
      </c>
      <c r="B831" t="s">
        <v>29</v>
      </c>
      <c r="C831" t="s">
        <v>327</v>
      </c>
    </row>
    <row r="832" spans="1:3" x14ac:dyDescent="0.25">
      <c r="A832" t="s">
        <v>1231</v>
      </c>
      <c r="B832" t="s">
        <v>31</v>
      </c>
      <c r="C832" t="s">
        <v>604</v>
      </c>
    </row>
    <row r="833" spans="1:3" x14ac:dyDescent="0.25">
      <c r="A833" t="s">
        <v>1231</v>
      </c>
      <c r="B833" t="s">
        <v>33</v>
      </c>
      <c r="C833" t="s">
        <v>176</v>
      </c>
    </row>
    <row r="834" spans="1:3" x14ac:dyDescent="0.25">
      <c r="A834" t="s">
        <v>1201</v>
      </c>
      <c r="B834" t="s">
        <v>3</v>
      </c>
      <c r="C834" t="s">
        <v>48</v>
      </c>
    </row>
    <row r="835" spans="1:3" x14ac:dyDescent="0.25">
      <c r="A835" t="s">
        <v>1201</v>
      </c>
      <c r="B835" t="s">
        <v>5</v>
      </c>
      <c r="C835" t="s">
        <v>605</v>
      </c>
    </row>
    <row r="836" spans="1:3" x14ac:dyDescent="0.25">
      <c r="A836" t="s">
        <v>1201</v>
      </c>
      <c r="B836" t="s">
        <v>7</v>
      </c>
      <c r="C836" t="s">
        <v>453</v>
      </c>
    </row>
    <row r="837" spans="1:3" x14ac:dyDescent="0.25">
      <c r="A837" t="s">
        <v>1201</v>
      </c>
      <c r="B837" t="s">
        <v>9</v>
      </c>
      <c r="C837" t="s">
        <v>606</v>
      </c>
    </row>
    <row r="838" spans="1:3" x14ac:dyDescent="0.25">
      <c r="A838" t="s">
        <v>1201</v>
      </c>
      <c r="B838" t="s">
        <v>11</v>
      </c>
      <c r="C838" t="s">
        <v>167</v>
      </c>
    </row>
    <row r="839" spans="1:3" x14ac:dyDescent="0.25">
      <c r="A839" t="s">
        <v>1201</v>
      </c>
      <c r="B839" t="s">
        <v>13</v>
      </c>
      <c r="C839" t="s">
        <v>51</v>
      </c>
    </row>
    <row r="840" spans="1:3" x14ac:dyDescent="0.25">
      <c r="A840" t="s">
        <v>1201</v>
      </c>
      <c r="B840" t="s">
        <v>15</v>
      </c>
      <c r="C840" t="s">
        <v>607</v>
      </c>
    </row>
    <row r="841" spans="1:3" x14ac:dyDescent="0.25">
      <c r="A841" t="s">
        <v>1201</v>
      </c>
      <c r="B841" t="s">
        <v>17</v>
      </c>
      <c r="C841" t="s">
        <v>608</v>
      </c>
    </row>
    <row r="842" spans="1:3" x14ac:dyDescent="0.25">
      <c r="A842" t="s">
        <v>1201</v>
      </c>
      <c r="B842" t="s">
        <v>19</v>
      </c>
      <c r="C842" t="s">
        <v>609</v>
      </c>
    </row>
    <row r="843" spans="1:3" x14ac:dyDescent="0.25">
      <c r="A843" t="s">
        <v>1201</v>
      </c>
      <c r="B843" t="s">
        <v>21</v>
      </c>
      <c r="C843" t="s">
        <v>610</v>
      </c>
    </row>
    <row r="844" spans="1:3" x14ac:dyDescent="0.25">
      <c r="A844" t="s">
        <v>1201</v>
      </c>
      <c r="B844" t="s">
        <v>23</v>
      </c>
      <c r="C844" t="s">
        <v>611</v>
      </c>
    </row>
    <row r="845" spans="1:3" x14ac:dyDescent="0.25">
      <c r="A845" t="s">
        <v>1201</v>
      </c>
      <c r="B845" t="s">
        <v>25</v>
      </c>
      <c r="C845" t="s">
        <v>572</v>
      </c>
    </row>
    <row r="846" spans="1:3" x14ac:dyDescent="0.25">
      <c r="A846" t="s">
        <v>1201</v>
      </c>
      <c r="B846" t="s">
        <v>27</v>
      </c>
      <c r="C846" t="s">
        <v>612</v>
      </c>
    </row>
    <row r="847" spans="1:3" x14ac:dyDescent="0.25">
      <c r="A847" t="s">
        <v>1201</v>
      </c>
      <c r="B847" t="s">
        <v>29</v>
      </c>
      <c r="C847" t="s">
        <v>58</v>
      </c>
    </row>
    <row r="848" spans="1:3" x14ac:dyDescent="0.25">
      <c r="A848" t="s">
        <v>1201</v>
      </c>
      <c r="B848" t="s">
        <v>31</v>
      </c>
      <c r="C848" t="s">
        <v>613</v>
      </c>
    </row>
    <row r="849" spans="1:3" x14ac:dyDescent="0.25">
      <c r="A849" t="s">
        <v>1201</v>
      </c>
      <c r="B849" t="s">
        <v>33</v>
      </c>
      <c r="C849" t="s">
        <v>255</v>
      </c>
    </row>
    <row r="850" spans="1:3" x14ac:dyDescent="0.25">
      <c r="A850" t="s">
        <v>1231</v>
      </c>
      <c r="B850" t="s">
        <v>134</v>
      </c>
      <c r="C850" t="s">
        <v>614</v>
      </c>
    </row>
    <row r="851" spans="1:3" x14ac:dyDescent="0.25">
      <c r="A851" t="s">
        <v>1231</v>
      </c>
      <c r="B851" t="s">
        <v>136</v>
      </c>
      <c r="C851" t="s">
        <v>498</v>
      </c>
    </row>
    <row r="852" spans="1:3" x14ac:dyDescent="0.25">
      <c r="A852" t="s">
        <v>1231</v>
      </c>
      <c r="B852" t="s">
        <v>7</v>
      </c>
      <c r="C852" t="s">
        <v>63</v>
      </c>
    </row>
    <row r="853" spans="1:3" x14ac:dyDescent="0.25">
      <c r="A853" t="s">
        <v>1231</v>
      </c>
      <c r="B853" t="s">
        <v>139</v>
      </c>
      <c r="C853" t="s">
        <v>615</v>
      </c>
    </row>
    <row r="854" spans="1:3" x14ac:dyDescent="0.25">
      <c r="A854" t="s">
        <v>1231</v>
      </c>
      <c r="B854" t="s">
        <v>141</v>
      </c>
      <c r="C854" t="s">
        <v>616</v>
      </c>
    </row>
    <row r="855" spans="1:3" x14ac:dyDescent="0.25">
      <c r="A855" t="s">
        <v>1231</v>
      </c>
      <c r="B855" t="s">
        <v>143</v>
      </c>
      <c r="C855" t="s">
        <v>41</v>
      </c>
    </row>
    <row r="856" spans="1:3" x14ac:dyDescent="0.25">
      <c r="A856" t="s">
        <v>1231</v>
      </c>
      <c r="B856" t="s">
        <v>144</v>
      </c>
      <c r="C856" t="s">
        <v>182</v>
      </c>
    </row>
    <row r="857" spans="1:3" x14ac:dyDescent="0.25">
      <c r="A857" t="s">
        <v>1231</v>
      </c>
      <c r="B857" t="s">
        <v>146</v>
      </c>
      <c r="C857" t="s">
        <v>617</v>
      </c>
    </row>
    <row r="858" spans="1:3" x14ac:dyDescent="0.25">
      <c r="A858" t="s">
        <v>1231</v>
      </c>
      <c r="B858" t="s">
        <v>148</v>
      </c>
      <c r="C858" t="s">
        <v>422</v>
      </c>
    </row>
    <row r="859" spans="1:3" x14ac:dyDescent="0.25">
      <c r="A859" t="s">
        <v>1231</v>
      </c>
      <c r="B859" t="s">
        <v>150</v>
      </c>
      <c r="C859" t="s">
        <v>618</v>
      </c>
    </row>
    <row r="860" spans="1:3" x14ac:dyDescent="0.25">
      <c r="A860" t="s">
        <v>1231</v>
      </c>
      <c r="B860" t="s">
        <v>152</v>
      </c>
      <c r="C860" t="s">
        <v>619</v>
      </c>
    </row>
    <row r="861" spans="1:3" x14ac:dyDescent="0.25">
      <c r="A861" t="s">
        <v>1231</v>
      </c>
      <c r="B861" t="s">
        <v>154</v>
      </c>
      <c r="C861" t="s">
        <v>414</v>
      </c>
    </row>
    <row r="862" spans="1:3" x14ac:dyDescent="0.25">
      <c r="A862" t="s">
        <v>1231</v>
      </c>
      <c r="B862" t="s">
        <v>27</v>
      </c>
      <c r="C862" t="s">
        <v>276</v>
      </c>
    </row>
    <row r="863" spans="1:3" x14ac:dyDescent="0.25">
      <c r="A863" t="s">
        <v>1231</v>
      </c>
      <c r="B863" t="s">
        <v>157</v>
      </c>
      <c r="C863" t="s">
        <v>620</v>
      </c>
    </row>
    <row r="864" spans="1:3" x14ac:dyDescent="0.25">
      <c r="A864" t="s">
        <v>1231</v>
      </c>
      <c r="B864" t="s">
        <v>159</v>
      </c>
      <c r="C864" t="s">
        <v>621</v>
      </c>
    </row>
    <row r="865" spans="1:3" x14ac:dyDescent="0.25">
      <c r="A865" t="s">
        <v>1231</v>
      </c>
      <c r="B865" t="s">
        <v>161</v>
      </c>
      <c r="C865" t="s">
        <v>341</v>
      </c>
    </row>
    <row r="866" spans="1:3" x14ac:dyDescent="0.25">
      <c r="A866" t="s">
        <v>1232</v>
      </c>
      <c r="B866" t="s">
        <v>3</v>
      </c>
      <c r="C866" t="s">
        <v>622</v>
      </c>
    </row>
    <row r="867" spans="1:3" x14ac:dyDescent="0.25">
      <c r="A867" t="s">
        <v>1232</v>
      </c>
      <c r="B867" t="s">
        <v>5</v>
      </c>
      <c r="C867" t="s">
        <v>257</v>
      </c>
    </row>
    <row r="868" spans="1:3" x14ac:dyDescent="0.25">
      <c r="A868" t="s">
        <v>1232</v>
      </c>
      <c r="B868" t="s">
        <v>7</v>
      </c>
      <c r="C868" t="s">
        <v>205</v>
      </c>
    </row>
    <row r="869" spans="1:3" x14ac:dyDescent="0.25">
      <c r="A869" t="s">
        <v>1232</v>
      </c>
      <c r="B869" t="s">
        <v>9</v>
      </c>
      <c r="C869" t="s">
        <v>623</v>
      </c>
    </row>
    <row r="870" spans="1:3" x14ac:dyDescent="0.25">
      <c r="A870" t="s">
        <v>1232</v>
      </c>
      <c r="B870" t="s">
        <v>11</v>
      </c>
      <c r="C870" t="s">
        <v>124</v>
      </c>
    </row>
    <row r="871" spans="1:3" x14ac:dyDescent="0.25">
      <c r="A871" t="s">
        <v>1232</v>
      </c>
      <c r="B871" t="s">
        <v>13</v>
      </c>
      <c r="C871" t="s">
        <v>476</v>
      </c>
    </row>
    <row r="872" spans="1:3" x14ac:dyDescent="0.25">
      <c r="A872" t="s">
        <v>1232</v>
      </c>
      <c r="B872" t="s">
        <v>15</v>
      </c>
      <c r="C872" t="s">
        <v>624</v>
      </c>
    </row>
    <row r="873" spans="1:3" x14ac:dyDescent="0.25">
      <c r="A873" t="s">
        <v>1232</v>
      </c>
      <c r="B873" t="s">
        <v>17</v>
      </c>
      <c r="C873" t="s">
        <v>625</v>
      </c>
    </row>
    <row r="874" spans="1:3" x14ac:dyDescent="0.25">
      <c r="A874" t="s">
        <v>1232</v>
      </c>
      <c r="B874" t="s">
        <v>19</v>
      </c>
      <c r="C874" t="s">
        <v>626</v>
      </c>
    </row>
    <row r="875" spans="1:3" x14ac:dyDescent="0.25">
      <c r="A875" t="s">
        <v>1232</v>
      </c>
      <c r="B875" t="s">
        <v>21</v>
      </c>
      <c r="C875" t="s">
        <v>627</v>
      </c>
    </row>
    <row r="876" spans="1:3" x14ac:dyDescent="0.25">
      <c r="A876" t="s">
        <v>1232</v>
      </c>
      <c r="B876" t="s">
        <v>23</v>
      </c>
      <c r="C876" t="s">
        <v>628</v>
      </c>
    </row>
    <row r="877" spans="1:3" x14ac:dyDescent="0.25">
      <c r="A877" t="s">
        <v>1232</v>
      </c>
      <c r="B877" t="s">
        <v>25</v>
      </c>
      <c r="C877" t="s">
        <v>115</v>
      </c>
    </row>
    <row r="878" spans="1:3" x14ac:dyDescent="0.25">
      <c r="A878" t="s">
        <v>1232</v>
      </c>
      <c r="B878" t="s">
        <v>27</v>
      </c>
      <c r="C878" t="s">
        <v>629</v>
      </c>
    </row>
    <row r="879" spans="1:3" x14ac:dyDescent="0.25">
      <c r="A879" t="s">
        <v>1232</v>
      </c>
      <c r="B879" t="s">
        <v>29</v>
      </c>
      <c r="C879" t="s">
        <v>360</v>
      </c>
    </row>
    <row r="880" spans="1:3" x14ac:dyDescent="0.25">
      <c r="A880" t="s">
        <v>1232</v>
      </c>
      <c r="B880" t="s">
        <v>31</v>
      </c>
      <c r="C880" t="s">
        <v>444</v>
      </c>
    </row>
    <row r="881" spans="1:3" x14ac:dyDescent="0.25">
      <c r="A881" t="s">
        <v>1232</v>
      </c>
      <c r="B881" t="s">
        <v>33</v>
      </c>
      <c r="C881" t="s">
        <v>279</v>
      </c>
    </row>
    <row r="882" spans="1:3" x14ac:dyDescent="0.25">
      <c r="A882" t="s">
        <v>1233</v>
      </c>
      <c r="B882" t="s">
        <v>134</v>
      </c>
      <c r="C882" t="s">
        <v>630</v>
      </c>
    </row>
    <row r="883" spans="1:3" x14ac:dyDescent="0.25">
      <c r="A883" t="s">
        <v>1233</v>
      </c>
      <c r="B883" t="s">
        <v>136</v>
      </c>
      <c r="C883" t="s">
        <v>605</v>
      </c>
    </row>
    <row r="884" spans="1:3" x14ac:dyDescent="0.25">
      <c r="A884" t="s">
        <v>1233</v>
      </c>
      <c r="B884" t="s">
        <v>7</v>
      </c>
      <c r="C884" t="s">
        <v>631</v>
      </c>
    </row>
    <row r="885" spans="1:3" x14ac:dyDescent="0.25">
      <c r="A885" t="s">
        <v>1233</v>
      </c>
      <c r="B885" t="s">
        <v>139</v>
      </c>
      <c r="C885" t="s">
        <v>632</v>
      </c>
    </row>
    <row r="886" spans="1:3" x14ac:dyDescent="0.25">
      <c r="A886" t="s">
        <v>1233</v>
      </c>
      <c r="B886" t="s">
        <v>141</v>
      </c>
      <c r="C886" t="s">
        <v>323</v>
      </c>
    </row>
    <row r="887" spans="1:3" x14ac:dyDescent="0.25">
      <c r="A887" t="s">
        <v>1233</v>
      </c>
      <c r="B887" t="s">
        <v>143</v>
      </c>
      <c r="C887" t="s">
        <v>633</v>
      </c>
    </row>
    <row r="888" spans="1:3" x14ac:dyDescent="0.25">
      <c r="A888" t="s">
        <v>1233</v>
      </c>
      <c r="B888" t="s">
        <v>144</v>
      </c>
      <c r="C888" t="s">
        <v>634</v>
      </c>
    </row>
    <row r="889" spans="1:3" x14ac:dyDescent="0.25">
      <c r="A889" t="s">
        <v>1233</v>
      </c>
      <c r="B889" t="s">
        <v>146</v>
      </c>
      <c r="C889" t="s">
        <v>635</v>
      </c>
    </row>
    <row r="890" spans="1:3" x14ac:dyDescent="0.25">
      <c r="A890" t="s">
        <v>1233</v>
      </c>
      <c r="B890" t="s">
        <v>148</v>
      </c>
      <c r="C890" t="s">
        <v>636</v>
      </c>
    </row>
    <row r="891" spans="1:3" x14ac:dyDescent="0.25">
      <c r="A891" t="s">
        <v>1233</v>
      </c>
      <c r="B891" t="s">
        <v>150</v>
      </c>
      <c r="C891" t="s">
        <v>99</v>
      </c>
    </row>
    <row r="892" spans="1:3" x14ac:dyDescent="0.25">
      <c r="A892" t="s">
        <v>1233</v>
      </c>
      <c r="B892" t="s">
        <v>152</v>
      </c>
      <c r="C892" t="s">
        <v>637</v>
      </c>
    </row>
    <row r="893" spans="1:3" x14ac:dyDescent="0.25">
      <c r="A893" t="s">
        <v>1233</v>
      </c>
      <c r="B893" t="s">
        <v>154</v>
      </c>
      <c r="C893" t="s">
        <v>393</v>
      </c>
    </row>
    <row r="894" spans="1:3" x14ac:dyDescent="0.25">
      <c r="A894" t="s">
        <v>1233</v>
      </c>
      <c r="B894" t="s">
        <v>27</v>
      </c>
      <c r="C894" t="s">
        <v>638</v>
      </c>
    </row>
    <row r="895" spans="1:3" x14ac:dyDescent="0.25">
      <c r="A895" t="s">
        <v>1233</v>
      </c>
      <c r="B895" t="s">
        <v>157</v>
      </c>
      <c r="C895" t="s">
        <v>620</v>
      </c>
    </row>
    <row r="896" spans="1:3" x14ac:dyDescent="0.25">
      <c r="A896" t="s">
        <v>1233</v>
      </c>
      <c r="B896" t="s">
        <v>159</v>
      </c>
      <c r="C896" t="s">
        <v>639</v>
      </c>
    </row>
    <row r="897" spans="1:3" x14ac:dyDescent="0.25">
      <c r="A897" t="s">
        <v>1233</v>
      </c>
      <c r="B897" t="s">
        <v>161</v>
      </c>
      <c r="C897" t="s">
        <v>640</v>
      </c>
    </row>
    <row r="898" spans="1:3" x14ac:dyDescent="0.25">
      <c r="A898" t="s">
        <v>1234</v>
      </c>
      <c r="B898" t="s">
        <v>3</v>
      </c>
      <c r="C898" t="s">
        <v>641</v>
      </c>
    </row>
    <row r="899" spans="1:3" x14ac:dyDescent="0.25">
      <c r="A899" t="s">
        <v>1234</v>
      </c>
      <c r="B899" t="s">
        <v>5</v>
      </c>
      <c r="C899" t="s">
        <v>642</v>
      </c>
    </row>
    <row r="900" spans="1:3" x14ac:dyDescent="0.25">
      <c r="A900" t="s">
        <v>1234</v>
      </c>
      <c r="B900" t="s">
        <v>7</v>
      </c>
      <c r="C900" t="s">
        <v>138</v>
      </c>
    </row>
    <row r="901" spans="1:3" x14ac:dyDescent="0.25">
      <c r="A901" t="s">
        <v>1234</v>
      </c>
      <c r="B901" t="s">
        <v>9</v>
      </c>
      <c r="C901" t="s">
        <v>91</v>
      </c>
    </row>
    <row r="902" spans="1:3" x14ac:dyDescent="0.25">
      <c r="A902" t="s">
        <v>1234</v>
      </c>
      <c r="B902" t="s">
        <v>11</v>
      </c>
      <c r="C902" t="s">
        <v>14</v>
      </c>
    </row>
    <row r="903" spans="1:3" x14ac:dyDescent="0.25">
      <c r="A903" t="s">
        <v>1234</v>
      </c>
      <c r="B903" t="s">
        <v>13</v>
      </c>
      <c r="C903" t="s">
        <v>39</v>
      </c>
    </row>
    <row r="904" spans="1:3" x14ac:dyDescent="0.25">
      <c r="A904" t="s">
        <v>1234</v>
      </c>
      <c r="B904" t="s">
        <v>15</v>
      </c>
      <c r="C904" t="s">
        <v>14</v>
      </c>
    </row>
    <row r="905" spans="1:3" x14ac:dyDescent="0.25">
      <c r="A905" t="s">
        <v>1234</v>
      </c>
      <c r="B905" t="s">
        <v>17</v>
      </c>
      <c r="C905" t="s">
        <v>643</v>
      </c>
    </row>
    <row r="906" spans="1:3" x14ac:dyDescent="0.25">
      <c r="A906" t="s">
        <v>1234</v>
      </c>
      <c r="B906" t="s">
        <v>19</v>
      </c>
      <c r="C906" t="s">
        <v>644</v>
      </c>
    </row>
    <row r="907" spans="1:3" x14ac:dyDescent="0.25">
      <c r="A907" t="s">
        <v>1234</v>
      </c>
      <c r="B907" t="s">
        <v>21</v>
      </c>
      <c r="C907" t="s">
        <v>645</v>
      </c>
    </row>
    <row r="908" spans="1:3" x14ac:dyDescent="0.25">
      <c r="A908" t="s">
        <v>1234</v>
      </c>
      <c r="B908" t="s">
        <v>23</v>
      </c>
      <c r="C908" t="s">
        <v>628</v>
      </c>
    </row>
    <row r="909" spans="1:3" x14ac:dyDescent="0.25">
      <c r="A909" t="s">
        <v>1234</v>
      </c>
      <c r="B909" t="s">
        <v>25</v>
      </c>
      <c r="C909" t="s">
        <v>228</v>
      </c>
    </row>
    <row r="910" spans="1:3" x14ac:dyDescent="0.25">
      <c r="A910" t="s">
        <v>1234</v>
      </c>
      <c r="B910" t="s">
        <v>27</v>
      </c>
      <c r="C910" t="s">
        <v>646</v>
      </c>
    </row>
    <row r="911" spans="1:3" x14ac:dyDescent="0.25">
      <c r="A911" t="s">
        <v>1234</v>
      </c>
      <c r="B911" t="s">
        <v>29</v>
      </c>
      <c r="C911" t="s">
        <v>392</v>
      </c>
    </row>
    <row r="912" spans="1:3" x14ac:dyDescent="0.25">
      <c r="A912" t="s">
        <v>1234</v>
      </c>
      <c r="B912" t="s">
        <v>31</v>
      </c>
      <c r="C912" t="s">
        <v>647</v>
      </c>
    </row>
    <row r="913" spans="1:3" x14ac:dyDescent="0.25">
      <c r="A913" t="s">
        <v>1234</v>
      </c>
      <c r="B913" t="s">
        <v>33</v>
      </c>
      <c r="C913" t="s">
        <v>45</v>
      </c>
    </row>
    <row r="914" spans="1:3" x14ac:dyDescent="0.25">
      <c r="A914" t="s">
        <v>1235</v>
      </c>
      <c r="B914" t="s">
        <v>3</v>
      </c>
      <c r="C914" t="s">
        <v>648</v>
      </c>
    </row>
    <row r="915" spans="1:3" x14ac:dyDescent="0.25">
      <c r="A915" t="s">
        <v>1235</v>
      </c>
      <c r="B915" t="s">
        <v>5</v>
      </c>
      <c r="C915" t="s">
        <v>649</v>
      </c>
    </row>
    <row r="916" spans="1:3" x14ac:dyDescent="0.25">
      <c r="A916" t="s">
        <v>1235</v>
      </c>
      <c r="B916" t="s">
        <v>7</v>
      </c>
      <c r="C916" t="s">
        <v>407</v>
      </c>
    </row>
    <row r="917" spans="1:3" x14ac:dyDescent="0.25">
      <c r="A917" t="s">
        <v>1235</v>
      </c>
      <c r="B917" t="s">
        <v>9</v>
      </c>
      <c r="C917" t="s">
        <v>650</v>
      </c>
    </row>
    <row r="918" spans="1:3" x14ac:dyDescent="0.25">
      <c r="A918" t="s">
        <v>1235</v>
      </c>
      <c r="B918" t="s">
        <v>11</v>
      </c>
      <c r="C918" t="s">
        <v>52</v>
      </c>
    </row>
    <row r="919" spans="1:3" x14ac:dyDescent="0.25">
      <c r="A919" t="s">
        <v>1235</v>
      </c>
      <c r="B919" t="s">
        <v>13</v>
      </c>
      <c r="C919" t="s">
        <v>51</v>
      </c>
    </row>
    <row r="920" spans="1:3" x14ac:dyDescent="0.25">
      <c r="A920" t="s">
        <v>1235</v>
      </c>
      <c r="B920" t="s">
        <v>15</v>
      </c>
      <c r="C920" t="s">
        <v>651</v>
      </c>
    </row>
    <row r="921" spans="1:3" x14ac:dyDescent="0.25">
      <c r="A921" t="s">
        <v>1235</v>
      </c>
      <c r="B921" t="s">
        <v>17</v>
      </c>
      <c r="C921" t="s">
        <v>652</v>
      </c>
    </row>
    <row r="922" spans="1:3" x14ac:dyDescent="0.25">
      <c r="A922" t="s">
        <v>1235</v>
      </c>
      <c r="B922" t="s">
        <v>19</v>
      </c>
      <c r="C922" t="s">
        <v>273</v>
      </c>
    </row>
    <row r="923" spans="1:3" x14ac:dyDescent="0.25">
      <c r="A923" t="s">
        <v>1235</v>
      </c>
      <c r="B923" t="s">
        <v>21</v>
      </c>
      <c r="C923" t="s">
        <v>653</v>
      </c>
    </row>
    <row r="924" spans="1:3" x14ac:dyDescent="0.25">
      <c r="A924" t="s">
        <v>1235</v>
      </c>
      <c r="B924" t="s">
        <v>23</v>
      </c>
      <c r="C924" t="s">
        <v>654</v>
      </c>
    </row>
    <row r="925" spans="1:3" x14ac:dyDescent="0.25">
      <c r="A925" t="s">
        <v>1235</v>
      </c>
      <c r="B925" t="s">
        <v>25</v>
      </c>
      <c r="C925" t="s">
        <v>655</v>
      </c>
    </row>
    <row r="926" spans="1:3" x14ac:dyDescent="0.25">
      <c r="A926" t="s">
        <v>1235</v>
      </c>
      <c r="B926" t="s">
        <v>27</v>
      </c>
      <c r="C926" t="s">
        <v>656</v>
      </c>
    </row>
    <row r="927" spans="1:3" x14ac:dyDescent="0.25">
      <c r="A927" t="s">
        <v>1235</v>
      </c>
      <c r="B927" t="s">
        <v>29</v>
      </c>
      <c r="C927" t="s">
        <v>657</v>
      </c>
    </row>
    <row r="928" spans="1:3" x14ac:dyDescent="0.25">
      <c r="A928" t="s">
        <v>1235</v>
      </c>
      <c r="B928" t="s">
        <v>31</v>
      </c>
      <c r="C928" t="s">
        <v>293</v>
      </c>
    </row>
    <row r="929" spans="1:3" x14ac:dyDescent="0.25">
      <c r="A929" t="s">
        <v>1235</v>
      </c>
      <c r="B929" t="s">
        <v>33</v>
      </c>
      <c r="C929" t="s">
        <v>428</v>
      </c>
    </row>
    <row r="930" spans="1:3" x14ac:dyDescent="0.25">
      <c r="A930" t="s">
        <v>1208</v>
      </c>
      <c r="B930" t="s">
        <v>3</v>
      </c>
      <c r="C930" t="s">
        <v>179</v>
      </c>
    </row>
    <row r="931" spans="1:3" x14ac:dyDescent="0.25">
      <c r="A931" t="s">
        <v>1208</v>
      </c>
      <c r="B931" t="s">
        <v>5</v>
      </c>
      <c r="C931" t="s">
        <v>658</v>
      </c>
    </row>
    <row r="932" spans="1:3" x14ac:dyDescent="0.25">
      <c r="A932" t="s">
        <v>1208</v>
      </c>
      <c r="B932" t="s">
        <v>7</v>
      </c>
      <c r="C932" t="s">
        <v>352</v>
      </c>
    </row>
    <row r="933" spans="1:3" x14ac:dyDescent="0.25">
      <c r="A933" t="s">
        <v>1208</v>
      </c>
      <c r="B933" t="s">
        <v>9</v>
      </c>
      <c r="C933" t="s">
        <v>659</v>
      </c>
    </row>
    <row r="934" spans="1:3" x14ac:dyDescent="0.25">
      <c r="A934" t="s">
        <v>1208</v>
      </c>
      <c r="B934" t="s">
        <v>11</v>
      </c>
      <c r="C934" t="s">
        <v>41</v>
      </c>
    </row>
    <row r="935" spans="1:3" x14ac:dyDescent="0.25">
      <c r="A935" t="s">
        <v>1208</v>
      </c>
      <c r="B935" t="s">
        <v>13</v>
      </c>
      <c r="C935" t="s">
        <v>14</v>
      </c>
    </row>
    <row r="936" spans="1:3" x14ac:dyDescent="0.25">
      <c r="A936" t="s">
        <v>1208</v>
      </c>
      <c r="B936" t="s">
        <v>15</v>
      </c>
      <c r="C936" t="s">
        <v>477</v>
      </c>
    </row>
    <row r="937" spans="1:3" x14ac:dyDescent="0.25">
      <c r="A937" t="s">
        <v>1208</v>
      </c>
      <c r="B937" t="s">
        <v>17</v>
      </c>
      <c r="C937" t="s">
        <v>660</v>
      </c>
    </row>
    <row r="938" spans="1:3" x14ac:dyDescent="0.25">
      <c r="A938" t="s">
        <v>1208</v>
      </c>
      <c r="B938" t="s">
        <v>19</v>
      </c>
      <c r="C938" t="s">
        <v>32</v>
      </c>
    </row>
    <row r="939" spans="1:3" x14ac:dyDescent="0.25">
      <c r="A939" t="s">
        <v>1208</v>
      </c>
      <c r="B939" t="s">
        <v>21</v>
      </c>
      <c r="C939" t="s">
        <v>661</v>
      </c>
    </row>
    <row r="940" spans="1:3" x14ac:dyDescent="0.25">
      <c r="A940" t="s">
        <v>1208</v>
      </c>
      <c r="B940" t="s">
        <v>23</v>
      </c>
      <c r="C940" t="s">
        <v>85</v>
      </c>
    </row>
    <row r="941" spans="1:3" x14ac:dyDescent="0.25">
      <c r="A941" t="s">
        <v>1208</v>
      </c>
      <c r="B941" t="s">
        <v>25</v>
      </c>
      <c r="C941" t="s">
        <v>101</v>
      </c>
    </row>
    <row r="942" spans="1:3" x14ac:dyDescent="0.25">
      <c r="A942" t="s">
        <v>1208</v>
      </c>
      <c r="B942" t="s">
        <v>27</v>
      </c>
      <c r="C942" t="s">
        <v>612</v>
      </c>
    </row>
    <row r="943" spans="1:3" x14ac:dyDescent="0.25">
      <c r="A943" t="s">
        <v>1208</v>
      </c>
      <c r="B943" t="s">
        <v>29</v>
      </c>
      <c r="C943" t="s">
        <v>103</v>
      </c>
    </row>
    <row r="944" spans="1:3" x14ac:dyDescent="0.25">
      <c r="A944" t="s">
        <v>1208</v>
      </c>
      <c r="B944" t="s">
        <v>31</v>
      </c>
      <c r="C944" t="s">
        <v>662</v>
      </c>
    </row>
    <row r="945" spans="1:3" x14ac:dyDescent="0.25">
      <c r="A945" t="s">
        <v>1208</v>
      </c>
      <c r="B945" t="s">
        <v>33</v>
      </c>
      <c r="C945" t="s">
        <v>34</v>
      </c>
    </row>
    <row r="946" spans="1:3" x14ac:dyDescent="0.25">
      <c r="A946" t="s">
        <v>1236</v>
      </c>
      <c r="B946" t="s">
        <v>3</v>
      </c>
      <c r="C946" t="s">
        <v>430</v>
      </c>
    </row>
    <row r="947" spans="1:3" x14ac:dyDescent="0.25">
      <c r="A947" t="s">
        <v>1236</v>
      </c>
      <c r="B947" t="s">
        <v>5</v>
      </c>
      <c r="C947" t="s">
        <v>663</v>
      </c>
    </row>
    <row r="948" spans="1:3" x14ac:dyDescent="0.25">
      <c r="A948" t="s">
        <v>1236</v>
      </c>
      <c r="B948" t="s">
        <v>7</v>
      </c>
      <c r="C948" t="s">
        <v>631</v>
      </c>
    </row>
    <row r="949" spans="1:3" x14ac:dyDescent="0.25">
      <c r="A949" t="s">
        <v>1236</v>
      </c>
      <c r="B949" t="s">
        <v>9</v>
      </c>
      <c r="C949" t="s">
        <v>664</v>
      </c>
    </row>
    <row r="950" spans="1:3" x14ac:dyDescent="0.25">
      <c r="A950" t="s">
        <v>1236</v>
      </c>
      <c r="B950" t="s">
        <v>11</v>
      </c>
      <c r="C950" t="s">
        <v>665</v>
      </c>
    </row>
    <row r="951" spans="1:3" x14ac:dyDescent="0.25">
      <c r="A951" t="s">
        <v>1236</v>
      </c>
      <c r="B951" t="s">
        <v>13</v>
      </c>
      <c r="C951" t="s">
        <v>12</v>
      </c>
    </row>
    <row r="952" spans="1:3" x14ac:dyDescent="0.25">
      <c r="A952" t="s">
        <v>1236</v>
      </c>
      <c r="B952" t="s">
        <v>15</v>
      </c>
      <c r="C952" t="s">
        <v>589</v>
      </c>
    </row>
    <row r="953" spans="1:3" x14ac:dyDescent="0.25">
      <c r="A953" t="s">
        <v>1236</v>
      </c>
      <c r="B953" t="s">
        <v>17</v>
      </c>
      <c r="C953" t="s">
        <v>666</v>
      </c>
    </row>
    <row r="954" spans="1:3" x14ac:dyDescent="0.25">
      <c r="A954" t="s">
        <v>1236</v>
      </c>
      <c r="B954" t="s">
        <v>19</v>
      </c>
      <c r="C954" t="s">
        <v>189</v>
      </c>
    </row>
    <row r="955" spans="1:3" x14ac:dyDescent="0.25">
      <c r="A955" t="s">
        <v>1236</v>
      </c>
      <c r="B955" t="s">
        <v>21</v>
      </c>
      <c r="C955" t="s">
        <v>667</v>
      </c>
    </row>
    <row r="956" spans="1:3" x14ac:dyDescent="0.25">
      <c r="A956" t="s">
        <v>1236</v>
      </c>
      <c r="B956" t="s">
        <v>23</v>
      </c>
      <c r="C956" t="s">
        <v>668</v>
      </c>
    </row>
    <row r="957" spans="1:3" x14ac:dyDescent="0.25">
      <c r="A957" t="s">
        <v>1236</v>
      </c>
      <c r="B957" t="s">
        <v>25</v>
      </c>
      <c r="C957" t="s">
        <v>669</v>
      </c>
    </row>
    <row r="958" spans="1:3" x14ac:dyDescent="0.25">
      <c r="A958" t="s">
        <v>1236</v>
      </c>
      <c r="B958" t="s">
        <v>27</v>
      </c>
      <c r="C958" t="s">
        <v>670</v>
      </c>
    </row>
    <row r="959" spans="1:3" x14ac:dyDescent="0.25">
      <c r="A959" t="s">
        <v>1236</v>
      </c>
      <c r="B959" t="s">
        <v>29</v>
      </c>
      <c r="C959" t="s">
        <v>671</v>
      </c>
    </row>
    <row r="960" spans="1:3" x14ac:dyDescent="0.25">
      <c r="A960" t="s">
        <v>1236</v>
      </c>
      <c r="B960" t="s">
        <v>31</v>
      </c>
      <c r="C960" t="s">
        <v>262</v>
      </c>
    </row>
    <row r="961" spans="1:3" x14ac:dyDescent="0.25">
      <c r="A961" t="s">
        <v>1236</v>
      </c>
      <c r="B961" t="s">
        <v>33</v>
      </c>
      <c r="C961" t="s">
        <v>645</v>
      </c>
    </row>
    <row r="962" spans="1:3" x14ac:dyDescent="0.25">
      <c r="A962" t="s">
        <v>1237</v>
      </c>
      <c r="B962" t="s">
        <v>3</v>
      </c>
      <c r="C962" t="s">
        <v>169</v>
      </c>
    </row>
    <row r="963" spans="1:3" x14ac:dyDescent="0.25">
      <c r="A963" t="s">
        <v>1237</v>
      </c>
      <c r="B963" t="s">
        <v>5</v>
      </c>
      <c r="C963" t="s">
        <v>363</v>
      </c>
    </row>
    <row r="964" spans="1:3" x14ac:dyDescent="0.25">
      <c r="A964" t="s">
        <v>1237</v>
      </c>
      <c r="B964" t="s">
        <v>7</v>
      </c>
      <c r="C964" t="s">
        <v>65</v>
      </c>
    </row>
    <row r="965" spans="1:3" x14ac:dyDescent="0.25">
      <c r="A965" t="s">
        <v>1237</v>
      </c>
      <c r="B965" t="s">
        <v>9</v>
      </c>
      <c r="C965" t="s">
        <v>672</v>
      </c>
    </row>
    <row r="966" spans="1:3" x14ac:dyDescent="0.25">
      <c r="A966" t="s">
        <v>1237</v>
      </c>
      <c r="B966" t="s">
        <v>11</v>
      </c>
      <c r="C966" t="s">
        <v>41</v>
      </c>
    </row>
    <row r="967" spans="1:3" x14ac:dyDescent="0.25">
      <c r="A967" t="s">
        <v>1237</v>
      </c>
      <c r="B967" t="s">
        <v>13</v>
      </c>
      <c r="C967" t="s">
        <v>14</v>
      </c>
    </row>
    <row r="968" spans="1:3" x14ac:dyDescent="0.25">
      <c r="A968" t="s">
        <v>1237</v>
      </c>
      <c r="B968" t="s">
        <v>15</v>
      </c>
      <c r="C968" t="s">
        <v>110</v>
      </c>
    </row>
    <row r="969" spans="1:3" x14ac:dyDescent="0.25">
      <c r="A969" t="s">
        <v>1237</v>
      </c>
      <c r="B969" t="s">
        <v>17</v>
      </c>
      <c r="C969" t="s">
        <v>673</v>
      </c>
    </row>
    <row r="970" spans="1:3" x14ac:dyDescent="0.25">
      <c r="A970" t="s">
        <v>1237</v>
      </c>
      <c r="B970" t="s">
        <v>19</v>
      </c>
      <c r="C970" t="s">
        <v>674</v>
      </c>
    </row>
    <row r="971" spans="1:3" x14ac:dyDescent="0.25">
      <c r="A971" t="s">
        <v>1237</v>
      </c>
      <c r="B971" t="s">
        <v>21</v>
      </c>
      <c r="C971" t="s">
        <v>675</v>
      </c>
    </row>
    <row r="972" spans="1:3" x14ac:dyDescent="0.25">
      <c r="A972" t="s">
        <v>1237</v>
      </c>
      <c r="B972" t="s">
        <v>23</v>
      </c>
      <c r="C972" t="s">
        <v>654</v>
      </c>
    </row>
    <row r="973" spans="1:3" x14ac:dyDescent="0.25">
      <c r="A973" t="s">
        <v>1237</v>
      </c>
      <c r="B973" t="s">
        <v>25</v>
      </c>
      <c r="C973" t="s">
        <v>173</v>
      </c>
    </row>
    <row r="974" spans="1:3" x14ac:dyDescent="0.25">
      <c r="A974" t="s">
        <v>1237</v>
      </c>
      <c r="B974" t="s">
        <v>27</v>
      </c>
      <c r="C974" t="s">
        <v>612</v>
      </c>
    </row>
    <row r="975" spans="1:3" x14ac:dyDescent="0.25">
      <c r="A975" t="s">
        <v>1237</v>
      </c>
      <c r="B975" t="s">
        <v>29</v>
      </c>
      <c r="C975" t="s">
        <v>30</v>
      </c>
    </row>
    <row r="976" spans="1:3" x14ac:dyDescent="0.25">
      <c r="A976" t="s">
        <v>1237</v>
      </c>
      <c r="B976" t="s">
        <v>31</v>
      </c>
      <c r="C976" t="s">
        <v>676</v>
      </c>
    </row>
    <row r="977" spans="1:3" x14ac:dyDescent="0.25">
      <c r="A977" t="s">
        <v>1237</v>
      </c>
      <c r="B977" t="s">
        <v>33</v>
      </c>
      <c r="C977" t="s">
        <v>241</v>
      </c>
    </row>
    <row r="978" spans="1:3" x14ac:dyDescent="0.25">
      <c r="A978" t="s">
        <v>1238</v>
      </c>
      <c r="B978" t="s">
        <v>3</v>
      </c>
      <c r="C978" t="s">
        <v>219</v>
      </c>
    </row>
    <row r="979" spans="1:3" x14ac:dyDescent="0.25">
      <c r="A979" t="s">
        <v>1238</v>
      </c>
      <c r="B979" t="s">
        <v>5</v>
      </c>
      <c r="C979" t="s">
        <v>135</v>
      </c>
    </row>
    <row r="980" spans="1:3" x14ac:dyDescent="0.25">
      <c r="A980" t="s">
        <v>1238</v>
      </c>
      <c r="B980" t="s">
        <v>7</v>
      </c>
      <c r="C980" t="s">
        <v>257</v>
      </c>
    </row>
    <row r="981" spans="1:3" x14ac:dyDescent="0.25">
      <c r="A981" t="s">
        <v>1238</v>
      </c>
      <c r="B981" t="s">
        <v>9</v>
      </c>
      <c r="C981" t="s">
        <v>677</v>
      </c>
    </row>
    <row r="982" spans="1:3" x14ac:dyDescent="0.25">
      <c r="A982" t="s">
        <v>1238</v>
      </c>
      <c r="B982" t="s">
        <v>11</v>
      </c>
      <c r="C982" t="s">
        <v>51</v>
      </c>
    </row>
    <row r="983" spans="1:3" x14ac:dyDescent="0.25">
      <c r="A983" t="s">
        <v>1238</v>
      </c>
      <c r="B983" t="s">
        <v>13</v>
      </c>
      <c r="C983" t="s">
        <v>14</v>
      </c>
    </row>
    <row r="984" spans="1:3" x14ac:dyDescent="0.25">
      <c r="A984" t="s">
        <v>1238</v>
      </c>
      <c r="B984" t="s">
        <v>15</v>
      </c>
      <c r="C984" t="s">
        <v>678</v>
      </c>
    </row>
    <row r="985" spans="1:3" x14ac:dyDescent="0.25">
      <c r="A985" t="s">
        <v>1238</v>
      </c>
      <c r="B985" t="s">
        <v>17</v>
      </c>
      <c r="C985" t="s">
        <v>679</v>
      </c>
    </row>
    <row r="986" spans="1:3" x14ac:dyDescent="0.25">
      <c r="A986" t="s">
        <v>1238</v>
      </c>
      <c r="B986" t="s">
        <v>19</v>
      </c>
      <c r="C986" t="s">
        <v>680</v>
      </c>
    </row>
    <row r="987" spans="1:3" x14ac:dyDescent="0.25">
      <c r="A987" t="s">
        <v>1238</v>
      </c>
      <c r="B987" t="s">
        <v>21</v>
      </c>
      <c r="C987" t="s">
        <v>610</v>
      </c>
    </row>
    <row r="988" spans="1:3" x14ac:dyDescent="0.25">
      <c r="A988" t="s">
        <v>1238</v>
      </c>
      <c r="B988" t="s">
        <v>23</v>
      </c>
      <c r="C988" t="s">
        <v>681</v>
      </c>
    </row>
    <row r="989" spans="1:3" x14ac:dyDescent="0.25">
      <c r="A989" t="s">
        <v>1238</v>
      </c>
      <c r="B989" t="s">
        <v>25</v>
      </c>
      <c r="C989" t="s">
        <v>682</v>
      </c>
    </row>
    <row r="990" spans="1:3" x14ac:dyDescent="0.25">
      <c r="A990" t="s">
        <v>1238</v>
      </c>
      <c r="B990" t="s">
        <v>27</v>
      </c>
      <c r="C990" t="s">
        <v>265</v>
      </c>
    </row>
    <row r="991" spans="1:3" x14ac:dyDescent="0.25">
      <c r="A991" t="s">
        <v>1238</v>
      </c>
      <c r="B991" t="s">
        <v>29</v>
      </c>
      <c r="C991" t="s">
        <v>117</v>
      </c>
    </row>
    <row r="992" spans="1:3" x14ac:dyDescent="0.25">
      <c r="A992" t="s">
        <v>1238</v>
      </c>
      <c r="B992" t="s">
        <v>31</v>
      </c>
      <c r="C992" t="s">
        <v>683</v>
      </c>
    </row>
    <row r="993" spans="1:3" x14ac:dyDescent="0.25">
      <c r="A993" t="s">
        <v>1238</v>
      </c>
      <c r="B993" t="s">
        <v>33</v>
      </c>
      <c r="C993" t="s">
        <v>90</v>
      </c>
    </row>
    <row r="994" spans="1:3" x14ac:dyDescent="0.25">
      <c r="A994" t="s">
        <v>1239</v>
      </c>
      <c r="B994" t="s">
        <v>3</v>
      </c>
      <c r="C994" t="s">
        <v>587</v>
      </c>
    </row>
    <row r="995" spans="1:3" x14ac:dyDescent="0.25">
      <c r="A995" t="s">
        <v>1239</v>
      </c>
      <c r="B995" t="s">
        <v>5</v>
      </c>
      <c r="C995" t="s">
        <v>587</v>
      </c>
    </row>
    <row r="996" spans="1:3" x14ac:dyDescent="0.25">
      <c r="A996" t="s">
        <v>1239</v>
      </c>
      <c r="B996" t="s">
        <v>7</v>
      </c>
      <c r="C996" t="s">
        <v>684</v>
      </c>
    </row>
    <row r="997" spans="1:3" x14ac:dyDescent="0.25">
      <c r="A997" t="s">
        <v>1239</v>
      </c>
      <c r="B997" t="s">
        <v>9</v>
      </c>
      <c r="C997" t="s">
        <v>685</v>
      </c>
    </row>
    <row r="998" spans="1:3" x14ac:dyDescent="0.25">
      <c r="A998" t="s">
        <v>1239</v>
      </c>
      <c r="B998" t="s">
        <v>11</v>
      </c>
      <c r="C998" t="s">
        <v>270</v>
      </c>
    </row>
    <row r="999" spans="1:3" x14ac:dyDescent="0.25">
      <c r="A999" t="s">
        <v>1239</v>
      </c>
      <c r="B999" t="s">
        <v>13</v>
      </c>
      <c r="C999" t="s">
        <v>14</v>
      </c>
    </row>
    <row r="1000" spans="1:3" x14ac:dyDescent="0.25">
      <c r="A1000" t="s">
        <v>1239</v>
      </c>
      <c r="B1000" t="s">
        <v>15</v>
      </c>
      <c r="C1000" t="s">
        <v>686</v>
      </c>
    </row>
    <row r="1001" spans="1:3" x14ac:dyDescent="0.25">
      <c r="A1001" t="s">
        <v>1239</v>
      </c>
      <c r="B1001" t="s">
        <v>17</v>
      </c>
      <c r="C1001" t="s">
        <v>648</v>
      </c>
    </row>
    <row r="1002" spans="1:3" x14ac:dyDescent="0.25">
      <c r="A1002" t="s">
        <v>1239</v>
      </c>
      <c r="B1002" t="s">
        <v>19</v>
      </c>
      <c r="C1002" t="s">
        <v>687</v>
      </c>
    </row>
    <row r="1003" spans="1:3" x14ac:dyDescent="0.25">
      <c r="A1003" t="s">
        <v>1239</v>
      </c>
      <c r="B1003" t="s">
        <v>21</v>
      </c>
      <c r="C1003" t="s">
        <v>688</v>
      </c>
    </row>
    <row r="1004" spans="1:3" x14ac:dyDescent="0.25">
      <c r="A1004" t="s">
        <v>1239</v>
      </c>
      <c r="B1004" t="s">
        <v>23</v>
      </c>
      <c r="C1004" t="s">
        <v>689</v>
      </c>
    </row>
    <row r="1005" spans="1:3" x14ac:dyDescent="0.25">
      <c r="A1005" t="s">
        <v>1239</v>
      </c>
      <c r="B1005" t="s">
        <v>25</v>
      </c>
      <c r="C1005" t="s">
        <v>524</v>
      </c>
    </row>
    <row r="1006" spans="1:3" x14ac:dyDescent="0.25">
      <c r="A1006" t="s">
        <v>1239</v>
      </c>
      <c r="B1006" t="s">
        <v>27</v>
      </c>
      <c r="C1006" t="s">
        <v>690</v>
      </c>
    </row>
    <row r="1007" spans="1:3" x14ac:dyDescent="0.25">
      <c r="A1007" t="s">
        <v>1239</v>
      </c>
      <c r="B1007" t="s">
        <v>29</v>
      </c>
      <c r="C1007" t="s">
        <v>117</v>
      </c>
    </row>
    <row r="1008" spans="1:3" x14ac:dyDescent="0.25">
      <c r="A1008" t="s">
        <v>1239</v>
      </c>
      <c r="B1008" t="s">
        <v>31</v>
      </c>
      <c r="C1008" t="s">
        <v>278</v>
      </c>
    </row>
    <row r="1009" spans="1:3" x14ac:dyDescent="0.25">
      <c r="A1009" t="s">
        <v>1239</v>
      </c>
      <c r="B1009" t="s">
        <v>33</v>
      </c>
      <c r="C1009" t="s">
        <v>645</v>
      </c>
    </row>
    <row r="1010" spans="1:3" x14ac:dyDescent="0.25">
      <c r="A1010" t="s">
        <v>1240</v>
      </c>
      <c r="B1010" t="s">
        <v>3</v>
      </c>
      <c r="C1010" t="s">
        <v>691</v>
      </c>
    </row>
    <row r="1011" spans="1:3" x14ac:dyDescent="0.25">
      <c r="A1011" t="s">
        <v>1240</v>
      </c>
      <c r="B1011" t="s">
        <v>5</v>
      </c>
      <c r="C1011" t="s">
        <v>692</v>
      </c>
    </row>
    <row r="1012" spans="1:3" x14ac:dyDescent="0.25">
      <c r="A1012" t="s">
        <v>1240</v>
      </c>
      <c r="B1012" t="s">
        <v>7</v>
      </c>
      <c r="C1012" t="s">
        <v>452</v>
      </c>
    </row>
    <row r="1013" spans="1:3" x14ac:dyDescent="0.25">
      <c r="A1013" t="s">
        <v>1240</v>
      </c>
      <c r="B1013" t="s">
        <v>9</v>
      </c>
      <c r="C1013" t="s">
        <v>693</v>
      </c>
    </row>
    <row r="1014" spans="1:3" x14ac:dyDescent="0.25">
      <c r="A1014" t="s">
        <v>1240</v>
      </c>
      <c r="B1014" t="s">
        <v>11</v>
      </c>
      <c r="C1014" t="s">
        <v>142</v>
      </c>
    </row>
    <row r="1015" spans="1:3" x14ac:dyDescent="0.25">
      <c r="A1015" t="s">
        <v>1240</v>
      </c>
      <c r="B1015" t="s">
        <v>13</v>
      </c>
      <c r="C1015" t="s">
        <v>14</v>
      </c>
    </row>
    <row r="1016" spans="1:3" x14ac:dyDescent="0.25">
      <c r="A1016" t="s">
        <v>1240</v>
      </c>
      <c r="B1016" t="s">
        <v>15</v>
      </c>
      <c r="C1016" t="s">
        <v>694</v>
      </c>
    </row>
    <row r="1017" spans="1:3" x14ac:dyDescent="0.25">
      <c r="A1017" t="s">
        <v>1240</v>
      </c>
      <c r="B1017" t="s">
        <v>17</v>
      </c>
      <c r="C1017" t="s">
        <v>695</v>
      </c>
    </row>
    <row r="1018" spans="1:3" x14ac:dyDescent="0.25">
      <c r="A1018" t="s">
        <v>1240</v>
      </c>
      <c r="B1018" t="s">
        <v>19</v>
      </c>
      <c r="C1018" t="s">
        <v>696</v>
      </c>
    </row>
    <row r="1019" spans="1:3" x14ac:dyDescent="0.25">
      <c r="A1019" t="s">
        <v>1240</v>
      </c>
      <c r="B1019" t="s">
        <v>21</v>
      </c>
      <c r="C1019" t="s">
        <v>697</v>
      </c>
    </row>
    <row r="1020" spans="1:3" x14ac:dyDescent="0.25">
      <c r="A1020" t="s">
        <v>1240</v>
      </c>
      <c r="B1020" t="s">
        <v>23</v>
      </c>
      <c r="C1020" t="s">
        <v>698</v>
      </c>
    </row>
    <row r="1021" spans="1:3" x14ac:dyDescent="0.25">
      <c r="A1021" t="s">
        <v>1240</v>
      </c>
      <c r="B1021" t="s">
        <v>25</v>
      </c>
      <c r="C1021" t="s">
        <v>381</v>
      </c>
    </row>
    <row r="1022" spans="1:3" x14ac:dyDescent="0.25">
      <c r="A1022" t="s">
        <v>1240</v>
      </c>
      <c r="B1022" t="s">
        <v>27</v>
      </c>
      <c r="C1022" t="s">
        <v>214</v>
      </c>
    </row>
    <row r="1023" spans="1:3" x14ac:dyDescent="0.25">
      <c r="A1023" t="s">
        <v>1240</v>
      </c>
      <c r="B1023" t="s">
        <v>29</v>
      </c>
      <c r="C1023" t="s">
        <v>699</v>
      </c>
    </row>
    <row r="1024" spans="1:3" x14ac:dyDescent="0.25">
      <c r="A1024" t="s">
        <v>1240</v>
      </c>
      <c r="B1024" t="s">
        <v>31</v>
      </c>
      <c r="C1024" t="s">
        <v>700</v>
      </c>
    </row>
    <row r="1025" spans="1:3" x14ac:dyDescent="0.25">
      <c r="A1025" t="s">
        <v>1240</v>
      </c>
      <c r="B1025" t="s">
        <v>33</v>
      </c>
      <c r="C1025" t="s">
        <v>701</v>
      </c>
    </row>
    <row r="1026" spans="1:3" x14ac:dyDescent="0.25">
      <c r="A1026" t="s">
        <v>1241</v>
      </c>
      <c r="B1026" t="s">
        <v>134</v>
      </c>
      <c r="C1026" t="s">
        <v>702</v>
      </c>
    </row>
    <row r="1027" spans="1:3" x14ac:dyDescent="0.25">
      <c r="A1027" t="s">
        <v>1241</v>
      </c>
      <c r="B1027" t="s">
        <v>136</v>
      </c>
      <c r="C1027" t="s">
        <v>703</v>
      </c>
    </row>
    <row r="1028" spans="1:3" x14ac:dyDescent="0.25">
      <c r="A1028" t="s">
        <v>1241</v>
      </c>
      <c r="B1028" t="s">
        <v>7</v>
      </c>
      <c r="C1028" t="s">
        <v>106</v>
      </c>
    </row>
    <row r="1029" spans="1:3" x14ac:dyDescent="0.25">
      <c r="A1029" t="s">
        <v>1241</v>
      </c>
      <c r="B1029" t="s">
        <v>139</v>
      </c>
      <c r="C1029" t="s">
        <v>704</v>
      </c>
    </row>
    <row r="1030" spans="1:3" x14ac:dyDescent="0.25">
      <c r="A1030" t="s">
        <v>1241</v>
      </c>
      <c r="B1030" t="s">
        <v>141</v>
      </c>
      <c r="C1030" t="s">
        <v>705</v>
      </c>
    </row>
    <row r="1031" spans="1:3" x14ac:dyDescent="0.25">
      <c r="A1031" t="s">
        <v>1241</v>
      </c>
      <c r="B1031" t="s">
        <v>143</v>
      </c>
      <c r="C1031" t="s">
        <v>142</v>
      </c>
    </row>
    <row r="1032" spans="1:3" x14ac:dyDescent="0.25">
      <c r="A1032" t="s">
        <v>1241</v>
      </c>
      <c r="B1032" t="s">
        <v>144</v>
      </c>
      <c r="C1032" t="s">
        <v>706</v>
      </c>
    </row>
    <row r="1033" spans="1:3" x14ac:dyDescent="0.25">
      <c r="A1033" t="s">
        <v>1241</v>
      </c>
      <c r="B1033" t="s">
        <v>146</v>
      </c>
      <c r="C1033" t="s">
        <v>707</v>
      </c>
    </row>
    <row r="1034" spans="1:3" x14ac:dyDescent="0.25">
      <c r="A1034" t="s">
        <v>1241</v>
      </c>
      <c r="B1034" t="s">
        <v>148</v>
      </c>
      <c r="C1034" t="s">
        <v>399</v>
      </c>
    </row>
    <row r="1035" spans="1:3" x14ac:dyDescent="0.25">
      <c r="A1035" t="s">
        <v>1241</v>
      </c>
      <c r="B1035" t="s">
        <v>150</v>
      </c>
      <c r="C1035" t="s">
        <v>708</v>
      </c>
    </row>
    <row r="1036" spans="1:3" x14ac:dyDescent="0.25">
      <c r="A1036" t="s">
        <v>1241</v>
      </c>
      <c r="B1036" t="s">
        <v>152</v>
      </c>
      <c r="C1036" t="s">
        <v>709</v>
      </c>
    </row>
    <row r="1037" spans="1:3" x14ac:dyDescent="0.25">
      <c r="A1037" t="s">
        <v>1241</v>
      </c>
      <c r="B1037" t="s">
        <v>154</v>
      </c>
      <c r="C1037" t="s">
        <v>327</v>
      </c>
    </row>
    <row r="1038" spans="1:3" x14ac:dyDescent="0.25">
      <c r="A1038" t="s">
        <v>1241</v>
      </c>
      <c r="B1038" t="s">
        <v>27</v>
      </c>
      <c r="C1038" t="s">
        <v>304</v>
      </c>
    </row>
    <row r="1039" spans="1:3" x14ac:dyDescent="0.25">
      <c r="A1039" t="s">
        <v>1241</v>
      </c>
      <c r="B1039" t="s">
        <v>157</v>
      </c>
      <c r="C1039" t="s">
        <v>710</v>
      </c>
    </row>
    <row r="1040" spans="1:3" x14ac:dyDescent="0.25">
      <c r="A1040" t="s">
        <v>1241</v>
      </c>
      <c r="B1040" t="s">
        <v>159</v>
      </c>
      <c r="C1040" t="s">
        <v>711</v>
      </c>
    </row>
    <row r="1041" spans="1:3" x14ac:dyDescent="0.25">
      <c r="A1041" t="s">
        <v>1241</v>
      </c>
      <c r="B1041" t="s">
        <v>161</v>
      </c>
      <c r="C1041" t="s">
        <v>307</v>
      </c>
    </row>
    <row r="1042" spans="1:3" x14ac:dyDescent="0.25">
      <c r="A1042" t="s">
        <v>1242</v>
      </c>
      <c r="B1042" t="s">
        <v>134</v>
      </c>
      <c r="C1042" t="s">
        <v>712</v>
      </c>
    </row>
    <row r="1043" spans="1:3" x14ac:dyDescent="0.25">
      <c r="A1043" t="s">
        <v>1242</v>
      </c>
      <c r="B1043" t="s">
        <v>136</v>
      </c>
      <c r="C1043" t="s">
        <v>713</v>
      </c>
    </row>
    <row r="1044" spans="1:3" x14ac:dyDescent="0.25">
      <c r="A1044" t="s">
        <v>1242</v>
      </c>
      <c r="B1044" t="s">
        <v>7</v>
      </c>
      <c r="C1044" t="s">
        <v>106</v>
      </c>
    </row>
    <row r="1045" spans="1:3" x14ac:dyDescent="0.25">
      <c r="A1045" t="s">
        <v>1242</v>
      </c>
      <c r="B1045" t="s">
        <v>139</v>
      </c>
      <c r="C1045" t="s">
        <v>408</v>
      </c>
    </row>
    <row r="1046" spans="1:3" x14ac:dyDescent="0.25">
      <c r="A1046" t="s">
        <v>1242</v>
      </c>
      <c r="B1046" t="s">
        <v>141</v>
      </c>
      <c r="C1046" t="s">
        <v>124</v>
      </c>
    </row>
    <row r="1047" spans="1:3" x14ac:dyDescent="0.25">
      <c r="A1047" t="s">
        <v>1242</v>
      </c>
      <c r="B1047" t="s">
        <v>143</v>
      </c>
      <c r="C1047" t="s">
        <v>476</v>
      </c>
    </row>
    <row r="1048" spans="1:3" x14ac:dyDescent="0.25">
      <c r="A1048" t="s">
        <v>1242</v>
      </c>
      <c r="B1048" t="s">
        <v>144</v>
      </c>
      <c r="C1048" t="s">
        <v>714</v>
      </c>
    </row>
    <row r="1049" spans="1:3" x14ac:dyDescent="0.25">
      <c r="A1049" t="s">
        <v>1242</v>
      </c>
      <c r="B1049" t="s">
        <v>146</v>
      </c>
      <c r="C1049" t="s">
        <v>715</v>
      </c>
    </row>
    <row r="1050" spans="1:3" x14ac:dyDescent="0.25">
      <c r="A1050" t="s">
        <v>1242</v>
      </c>
      <c r="B1050" t="s">
        <v>148</v>
      </c>
      <c r="C1050" t="s">
        <v>716</v>
      </c>
    </row>
    <row r="1051" spans="1:3" x14ac:dyDescent="0.25">
      <c r="A1051" t="s">
        <v>1242</v>
      </c>
      <c r="B1051" t="s">
        <v>150</v>
      </c>
      <c r="C1051" t="s">
        <v>84</v>
      </c>
    </row>
    <row r="1052" spans="1:3" x14ac:dyDescent="0.25">
      <c r="A1052" t="s">
        <v>1242</v>
      </c>
      <c r="B1052" t="s">
        <v>152</v>
      </c>
      <c r="C1052" t="s">
        <v>717</v>
      </c>
    </row>
    <row r="1053" spans="1:3" x14ac:dyDescent="0.25">
      <c r="A1053" t="s">
        <v>1242</v>
      </c>
      <c r="B1053" t="s">
        <v>154</v>
      </c>
      <c r="C1053" t="s">
        <v>371</v>
      </c>
    </row>
    <row r="1054" spans="1:3" x14ac:dyDescent="0.25">
      <c r="A1054" t="s">
        <v>1242</v>
      </c>
      <c r="B1054" t="s">
        <v>27</v>
      </c>
      <c r="C1054" t="s">
        <v>276</v>
      </c>
    </row>
    <row r="1055" spans="1:3" x14ac:dyDescent="0.25">
      <c r="A1055" t="s">
        <v>1242</v>
      </c>
      <c r="B1055" t="s">
        <v>157</v>
      </c>
      <c r="C1055" t="s">
        <v>200</v>
      </c>
    </row>
    <row r="1056" spans="1:3" x14ac:dyDescent="0.25">
      <c r="A1056" t="s">
        <v>1242</v>
      </c>
      <c r="B1056" t="s">
        <v>159</v>
      </c>
      <c r="C1056" t="s">
        <v>479</v>
      </c>
    </row>
    <row r="1057" spans="1:3" x14ac:dyDescent="0.25">
      <c r="A1057" t="s">
        <v>1242</v>
      </c>
      <c r="B1057" t="s">
        <v>161</v>
      </c>
      <c r="C1057" t="s">
        <v>718</v>
      </c>
    </row>
    <row r="1058" spans="1:3" x14ac:dyDescent="0.25">
      <c r="A1058" t="s">
        <v>1243</v>
      </c>
      <c r="B1058" t="s">
        <v>3</v>
      </c>
      <c r="C1058" t="s">
        <v>294</v>
      </c>
    </row>
    <row r="1059" spans="1:3" x14ac:dyDescent="0.25">
      <c r="A1059" t="s">
        <v>1243</v>
      </c>
      <c r="B1059" t="s">
        <v>5</v>
      </c>
      <c r="C1059" t="s">
        <v>658</v>
      </c>
    </row>
    <row r="1060" spans="1:3" x14ac:dyDescent="0.25">
      <c r="A1060" t="s">
        <v>1243</v>
      </c>
      <c r="B1060" t="s">
        <v>7</v>
      </c>
      <c r="C1060" t="s">
        <v>719</v>
      </c>
    </row>
    <row r="1061" spans="1:3" x14ac:dyDescent="0.25">
      <c r="A1061" t="s">
        <v>1243</v>
      </c>
      <c r="B1061" t="s">
        <v>9</v>
      </c>
      <c r="C1061" t="s">
        <v>720</v>
      </c>
    </row>
    <row r="1062" spans="1:3" x14ac:dyDescent="0.25">
      <c r="A1062" t="s">
        <v>1243</v>
      </c>
      <c r="B1062" t="s">
        <v>11</v>
      </c>
      <c r="C1062" t="s">
        <v>222</v>
      </c>
    </row>
    <row r="1063" spans="1:3" x14ac:dyDescent="0.25">
      <c r="A1063" t="s">
        <v>1243</v>
      </c>
      <c r="B1063" t="s">
        <v>13</v>
      </c>
      <c r="C1063" t="s">
        <v>12</v>
      </c>
    </row>
    <row r="1064" spans="1:3" x14ac:dyDescent="0.25">
      <c r="A1064" t="s">
        <v>1243</v>
      </c>
      <c r="B1064" t="s">
        <v>15</v>
      </c>
      <c r="C1064" t="s">
        <v>721</v>
      </c>
    </row>
    <row r="1065" spans="1:3" x14ac:dyDescent="0.25">
      <c r="A1065" t="s">
        <v>1243</v>
      </c>
      <c r="B1065" t="s">
        <v>17</v>
      </c>
      <c r="C1065" t="s">
        <v>722</v>
      </c>
    </row>
    <row r="1066" spans="1:3" x14ac:dyDescent="0.25">
      <c r="A1066" t="s">
        <v>1243</v>
      </c>
      <c r="B1066" t="s">
        <v>19</v>
      </c>
      <c r="C1066" t="s">
        <v>104</v>
      </c>
    </row>
    <row r="1067" spans="1:3" x14ac:dyDescent="0.25">
      <c r="A1067" t="s">
        <v>1243</v>
      </c>
      <c r="B1067" t="s">
        <v>21</v>
      </c>
      <c r="C1067" t="s">
        <v>723</v>
      </c>
    </row>
    <row r="1068" spans="1:3" x14ac:dyDescent="0.25">
      <c r="A1068" t="s">
        <v>1243</v>
      </c>
      <c r="B1068" t="s">
        <v>23</v>
      </c>
      <c r="C1068" t="s">
        <v>619</v>
      </c>
    </row>
    <row r="1069" spans="1:3" x14ac:dyDescent="0.25">
      <c r="A1069" t="s">
        <v>1243</v>
      </c>
      <c r="B1069" t="s">
        <v>25</v>
      </c>
      <c r="C1069" t="s">
        <v>471</v>
      </c>
    </row>
    <row r="1070" spans="1:3" x14ac:dyDescent="0.25">
      <c r="A1070" t="s">
        <v>1243</v>
      </c>
      <c r="B1070" t="s">
        <v>27</v>
      </c>
      <c r="C1070" t="s">
        <v>724</v>
      </c>
    </row>
    <row r="1071" spans="1:3" x14ac:dyDescent="0.25">
      <c r="A1071" t="s">
        <v>1243</v>
      </c>
      <c r="B1071" t="s">
        <v>29</v>
      </c>
      <c r="C1071" t="s">
        <v>482</v>
      </c>
    </row>
    <row r="1072" spans="1:3" x14ac:dyDescent="0.25">
      <c r="A1072" t="s">
        <v>1243</v>
      </c>
      <c r="B1072" t="s">
        <v>31</v>
      </c>
      <c r="C1072" t="s">
        <v>725</v>
      </c>
    </row>
    <row r="1073" spans="1:3" x14ac:dyDescent="0.25">
      <c r="A1073" t="s">
        <v>1243</v>
      </c>
      <c r="B1073" t="s">
        <v>33</v>
      </c>
      <c r="C1073" t="s">
        <v>75</v>
      </c>
    </row>
    <row r="1074" spans="1:3" x14ac:dyDescent="0.25">
      <c r="A1074" t="s">
        <v>1244</v>
      </c>
      <c r="B1074" t="s">
        <v>3</v>
      </c>
      <c r="C1074" t="s">
        <v>726</v>
      </c>
    </row>
    <row r="1075" spans="1:3" x14ac:dyDescent="0.25">
      <c r="A1075" t="s">
        <v>1244</v>
      </c>
      <c r="B1075" t="s">
        <v>5</v>
      </c>
      <c r="C1075" t="s">
        <v>727</v>
      </c>
    </row>
    <row r="1076" spans="1:3" x14ac:dyDescent="0.25">
      <c r="A1076" t="s">
        <v>1244</v>
      </c>
      <c r="B1076" t="s">
        <v>7</v>
      </c>
      <c r="C1076" t="s">
        <v>282</v>
      </c>
    </row>
    <row r="1077" spans="1:3" x14ac:dyDescent="0.25">
      <c r="A1077" t="s">
        <v>1244</v>
      </c>
      <c r="B1077" t="s">
        <v>9</v>
      </c>
      <c r="C1077" t="s">
        <v>728</v>
      </c>
    </row>
    <row r="1078" spans="1:3" x14ac:dyDescent="0.25">
      <c r="A1078" t="s">
        <v>1244</v>
      </c>
      <c r="B1078" t="s">
        <v>11</v>
      </c>
      <c r="C1078" t="s">
        <v>222</v>
      </c>
    </row>
    <row r="1079" spans="1:3" x14ac:dyDescent="0.25">
      <c r="A1079" t="s">
        <v>1244</v>
      </c>
      <c r="B1079" t="s">
        <v>13</v>
      </c>
      <c r="C1079" t="s">
        <v>109</v>
      </c>
    </row>
    <row r="1080" spans="1:3" x14ac:dyDescent="0.25">
      <c r="A1080" t="s">
        <v>1244</v>
      </c>
      <c r="B1080" t="s">
        <v>15</v>
      </c>
      <c r="C1080" t="s">
        <v>285</v>
      </c>
    </row>
    <row r="1081" spans="1:3" x14ac:dyDescent="0.25">
      <c r="A1081" t="s">
        <v>1244</v>
      </c>
      <c r="B1081" t="s">
        <v>17</v>
      </c>
      <c r="C1081" t="s">
        <v>729</v>
      </c>
    </row>
    <row r="1082" spans="1:3" x14ac:dyDescent="0.25">
      <c r="A1082" t="s">
        <v>1244</v>
      </c>
      <c r="B1082" t="s">
        <v>19</v>
      </c>
      <c r="C1082" t="s">
        <v>479</v>
      </c>
    </row>
    <row r="1083" spans="1:3" x14ac:dyDescent="0.25">
      <c r="A1083" t="s">
        <v>1244</v>
      </c>
      <c r="B1083" t="s">
        <v>21</v>
      </c>
      <c r="C1083" t="s">
        <v>468</v>
      </c>
    </row>
    <row r="1084" spans="1:3" x14ac:dyDescent="0.25">
      <c r="A1084" t="s">
        <v>1244</v>
      </c>
      <c r="B1084" t="s">
        <v>23</v>
      </c>
      <c r="C1084" t="s">
        <v>689</v>
      </c>
    </row>
    <row r="1085" spans="1:3" x14ac:dyDescent="0.25">
      <c r="A1085" t="s">
        <v>1244</v>
      </c>
      <c r="B1085" t="s">
        <v>25</v>
      </c>
      <c r="C1085" t="s">
        <v>26</v>
      </c>
    </row>
    <row r="1086" spans="1:3" x14ac:dyDescent="0.25">
      <c r="A1086" t="s">
        <v>1244</v>
      </c>
      <c r="B1086" t="s">
        <v>27</v>
      </c>
      <c r="C1086" t="s">
        <v>370</v>
      </c>
    </row>
    <row r="1087" spans="1:3" x14ac:dyDescent="0.25">
      <c r="A1087" t="s">
        <v>1244</v>
      </c>
      <c r="B1087" t="s">
        <v>29</v>
      </c>
      <c r="C1087" t="s">
        <v>117</v>
      </c>
    </row>
    <row r="1088" spans="1:3" x14ac:dyDescent="0.25">
      <c r="A1088" t="s">
        <v>1244</v>
      </c>
      <c r="B1088" t="s">
        <v>31</v>
      </c>
      <c r="C1088" t="s">
        <v>730</v>
      </c>
    </row>
    <row r="1089" spans="1:3" x14ac:dyDescent="0.25">
      <c r="A1089" t="s">
        <v>1244</v>
      </c>
      <c r="B1089" t="s">
        <v>33</v>
      </c>
      <c r="C1089" t="s">
        <v>34</v>
      </c>
    </row>
    <row r="1090" spans="1:3" x14ac:dyDescent="0.25">
      <c r="A1090" t="s">
        <v>1245</v>
      </c>
      <c r="B1090" t="s">
        <v>3</v>
      </c>
      <c r="C1090" t="s">
        <v>517</v>
      </c>
    </row>
    <row r="1091" spans="1:3" x14ac:dyDescent="0.25">
      <c r="A1091" t="s">
        <v>1245</v>
      </c>
      <c r="B1091" t="s">
        <v>5</v>
      </c>
      <c r="C1091" t="s">
        <v>244</v>
      </c>
    </row>
    <row r="1092" spans="1:3" x14ac:dyDescent="0.25">
      <c r="A1092" t="s">
        <v>1245</v>
      </c>
      <c r="B1092" t="s">
        <v>7</v>
      </c>
      <c r="C1092" t="s">
        <v>268</v>
      </c>
    </row>
    <row r="1093" spans="1:3" x14ac:dyDescent="0.25">
      <c r="A1093" t="s">
        <v>1245</v>
      </c>
      <c r="B1093" t="s">
        <v>9</v>
      </c>
      <c r="C1093" t="s">
        <v>269</v>
      </c>
    </row>
    <row r="1094" spans="1:3" x14ac:dyDescent="0.25">
      <c r="A1094" t="s">
        <v>1245</v>
      </c>
      <c r="B1094" t="s">
        <v>11</v>
      </c>
      <c r="C1094" t="s">
        <v>40</v>
      </c>
    </row>
    <row r="1095" spans="1:3" x14ac:dyDescent="0.25">
      <c r="A1095" t="s">
        <v>1245</v>
      </c>
      <c r="B1095" t="s">
        <v>13</v>
      </c>
      <c r="C1095" t="s">
        <v>14</v>
      </c>
    </row>
    <row r="1096" spans="1:3" x14ac:dyDescent="0.25">
      <c r="A1096" t="s">
        <v>1245</v>
      </c>
      <c r="B1096" t="s">
        <v>15</v>
      </c>
      <c r="C1096" t="s">
        <v>731</v>
      </c>
    </row>
    <row r="1097" spans="1:3" x14ac:dyDescent="0.25">
      <c r="A1097" t="s">
        <v>1245</v>
      </c>
      <c r="B1097" t="s">
        <v>17</v>
      </c>
      <c r="C1097" t="s">
        <v>732</v>
      </c>
    </row>
    <row r="1098" spans="1:3" x14ac:dyDescent="0.25">
      <c r="A1098" t="s">
        <v>1245</v>
      </c>
      <c r="B1098" t="s">
        <v>19</v>
      </c>
      <c r="C1098" t="s">
        <v>733</v>
      </c>
    </row>
    <row r="1099" spans="1:3" x14ac:dyDescent="0.25">
      <c r="A1099" t="s">
        <v>1245</v>
      </c>
      <c r="B1099" t="s">
        <v>21</v>
      </c>
      <c r="C1099" t="s">
        <v>734</v>
      </c>
    </row>
    <row r="1100" spans="1:3" x14ac:dyDescent="0.25">
      <c r="A1100" t="s">
        <v>1245</v>
      </c>
      <c r="B1100" t="s">
        <v>23</v>
      </c>
      <c r="C1100" t="s">
        <v>735</v>
      </c>
    </row>
    <row r="1101" spans="1:3" x14ac:dyDescent="0.25">
      <c r="A1101" t="s">
        <v>1245</v>
      </c>
      <c r="B1101" t="s">
        <v>25</v>
      </c>
      <c r="C1101" t="s">
        <v>736</v>
      </c>
    </row>
    <row r="1102" spans="1:3" x14ac:dyDescent="0.25">
      <c r="A1102" t="s">
        <v>1245</v>
      </c>
      <c r="B1102" t="s">
        <v>27</v>
      </c>
      <c r="C1102" t="s">
        <v>116</v>
      </c>
    </row>
    <row r="1103" spans="1:3" x14ac:dyDescent="0.25">
      <c r="A1103" t="s">
        <v>1245</v>
      </c>
      <c r="B1103" t="s">
        <v>29</v>
      </c>
      <c r="C1103" t="s">
        <v>30</v>
      </c>
    </row>
    <row r="1104" spans="1:3" x14ac:dyDescent="0.25">
      <c r="A1104" t="s">
        <v>1245</v>
      </c>
      <c r="B1104" t="s">
        <v>31</v>
      </c>
      <c r="C1104" t="s">
        <v>737</v>
      </c>
    </row>
    <row r="1105" spans="1:3" x14ac:dyDescent="0.25">
      <c r="A1105" t="s">
        <v>1245</v>
      </c>
      <c r="B1105" t="s">
        <v>33</v>
      </c>
      <c r="C1105" t="s">
        <v>266</v>
      </c>
    </row>
    <row r="1106" spans="1:3" x14ac:dyDescent="0.25">
      <c r="A1106" t="s">
        <v>1246</v>
      </c>
      <c r="B1106" t="s">
        <v>134</v>
      </c>
      <c r="C1106" t="s">
        <v>648</v>
      </c>
    </row>
    <row r="1107" spans="1:3" x14ac:dyDescent="0.25">
      <c r="A1107" t="s">
        <v>1246</v>
      </c>
      <c r="B1107" t="s">
        <v>136</v>
      </c>
      <c r="C1107" t="s">
        <v>738</v>
      </c>
    </row>
    <row r="1108" spans="1:3" x14ac:dyDescent="0.25">
      <c r="A1108" t="s">
        <v>1246</v>
      </c>
      <c r="B1108" t="s">
        <v>7</v>
      </c>
      <c r="C1108" t="s">
        <v>138</v>
      </c>
    </row>
    <row r="1109" spans="1:3" x14ac:dyDescent="0.25">
      <c r="A1109" t="s">
        <v>1246</v>
      </c>
      <c r="B1109" t="s">
        <v>139</v>
      </c>
      <c r="C1109" t="s">
        <v>739</v>
      </c>
    </row>
    <row r="1110" spans="1:3" x14ac:dyDescent="0.25">
      <c r="A1110" t="s">
        <v>1246</v>
      </c>
      <c r="B1110" t="s">
        <v>141</v>
      </c>
      <c r="C1110" t="s">
        <v>259</v>
      </c>
    </row>
    <row r="1111" spans="1:3" x14ac:dyDescent="0.25">
      <c r="A1111" t="s">
        <v>1246</v>
      </c>
      <c r="B1111" t="s">
        <v>143</v>
      </c>
      <c r="C1111" t="s">
        <v>14</v>
      </c>
    </row>
    <row r="1112" spans="1:3" x14ac:dyDescent="0.25">
      <c r="A1112" t="s">
        <v>1246</v>
      </c>
      <c r="B1112" t="s">
        <v>144</v>
      </c>
      <c r="C1112" t="s">
        <v>705</v>
      </c>
    </row>
    <row r="1113" spans="1:3" x14ac:dyDescent="0.25">
      <c r="A1113" t="s">
        <v>1246</v>
      </c>
      <c r="B1113" t="s">
        <v>146</v>
      </c>
      <c r="C1113" t="s">
        <v>740</v>
      </c>
    </row>
    <row r="1114" spans="1:3" x14ac:dyDescent="0.25">
      <c r="A1114" t="s">
        <v>1246</v>
      </c>
      <c r="B1114" t="s">
        <v>148</v>
      </c>
      <c r="C1114" t="s">
        <v>687</v>
      </c>
    </row>
    <row r="1115" spans="1:3" x14ac:dyDescent="0.25">
      <c r="A1115" t="s">
        <v>1246</v>
      </c>
      <c r="B1115" t="s">
        <v>150</v>
      </c>
      <c r="C1115" t="s">
        <v>741</v>
      </c>
    </row>
    <row r="1116" spans="1:3" x14ac:dyDescent="0.25">
      <c r="A1116" t="s">
        <v>1246</v>
      </c>
      <c r="B1116" t="s">
        <v>152</v>
      </c>
      <c r="C1116" t="s">
        <v>742</v>
      </c>
    </row>
    <row r="1117" spans="1:3" x14ac:dyDescent="0.25">
      <c r="A1117" t="s">
        <v>1246</v>
      </c>
      <c r="B1117" t="s">
        <v>154</v>
      </c>
      <c r="C1117" t="s">
        <v>317</v>
      </c>
    </row>
    <row r="1118" spans="1:3" x14ac:dyDescent="0.25">
      <c r="A1118" t="s">
        <v>1246</v>
      </c>
      <c r="B1118" t="s">
        <v>27</v>
      </c>
      <c r="C1118" t="s">
        <v>743</v>
      </c>
    </row>
    <row r="1119" spans="1:3" x14ac:dyDescent="0.25">
      <c r="A1119" t="s">
        <v>1246</v>
      </c>
      <c r="B1119" t="s">
        <v>157</v>
      </c>
      <c r="C1119" t="s">
        <v>744</v>
      </c>
    </row>
    <row r="1120" spans="1:3" x14ac:dyDescent="0.25">
      <c r="A1120" t="s">
        <v>1246</v>
      </c>
      <c r="B1120" t="s">
        <v>159</v>
      </c>
      <c r="C1120" t="s">
        <v>745</v>
      </c>
    </row>
    <row r="1121" spans="1:3" x14ac:dyDescent="0.25">
      <c r="A1121" t="s">
        <v>1246</v>
      </c>
      <c r="B1121" t="s">
        <v>161</v>
      </c>
      <c r="C1121" t="s">
        <v>292</v>
      </c>
    </row>
    <row r="1122" spans="1:3" x14ac:dyDescent="0.25">
      <c r="A1122" t="s">
        <v>1247</v>
      </c>
      <c r="B1122" t="s">
        <v>3</v>
      </c>
      <c r="C1122" t="s">
        <v>746</v>
      </c>
    </row>
    <row r="1123" spans="1:3" x14ac:dyDescent="0.25">
      <c r="A1123" t="s">
        <v>1247</v>
      </c>
      <c r="B1123" t="s">
        <v>5</v>
      </c>
      <c r="C1123" t="s">
        <v>587</v>
      </c>
    </row>
    <row r="1124" spans="1:3" x14ac:dyDescent="0.25">
      <c r="A1124" t="s">
        <v>1247</v>
      </c>
      <c r="B1124" t="s">
        <v>7</v>
      </c>
      <c r="C1124" t="s">
        <v>747</v>
      </c>
    </row>
    <row r="1125" spans="1:3" x14ac:dyDescent="0.25">
      <c r="A1125" t="s">
        <v>1247</v>
      </c>
      <c r="B1125" t="s">
        <v>9</v>
      </c>
      <c r="C1125" t="s">
        <v>748</v>
      </c>
    </row>
    <row r="1126" spans="1:3" x14ac:dyDescent="0.25">
      <c r="A1126" t="s">
        <v>1247</v>
      </c>
      <c r="B1126" t="s">
        <v>11</v>
      </c>
      <c r="C1126" t="s">
        <v>354</v>
      </c>
    </row>
    <row r="1127" spans="1:3" x14ac:dyDescent="0.25">
      <c r="A1127" t="s">
        <v>1247</v>
      </c>
      <c r="B1127" t="s">
        <v>13</v>
      </c>
      <c r="C1127" t="s">
        <v>167</v>
      </c>
    </row>
    <row r="1128" spans="1:3" x14ac:dyDescent="0.25">
      <c r="A1128" t="s">
        <v>1247</v>
      </c>
      <c r="B1128" t="s">
        <v>15</v>
      </c>
      <c r="C1128" t="s">
        <v>749</v>
      </c>
    </row>
    <row r="1129" spans="1:3" x14ac:dyDescent="0.25">
      <c r="A1129" t="s">
        <v>1247</v>
      </c>
      <c r="B1129" t="s">
        <v>17</v>
      </c>
      <c r="C1129" t="s">
        <v>750</v>
      </c>
    </row>
    <row r="1130" spans="1:3" x14ac:dyDescent="0.25">
      <c r="A1130" t="s">
        <v>1247</v>
      </c>
      <c r="B1130" t="s">
        <v>19</v>
      </c>
      <c r="C1130" t="s">
        <v>751</v>
      </c>
    </row>
    <row r="1131" spans="1:3" x14ac:dyDescent="0.25">
      <c r="A1131" t="s">
        <v>1247</v>
      </c>
      <c r="B1131" t="s">
        <v>21</v>
      </c>
      <c r="C1131" t="s">
        <v>752</v>
      </c>
    </row>
    <row r="1132" spans="1:3" x14ac:dyDescent="0.25">
      <c r="A1132" t="s">
        <v>1247</v>
      </c>
      <c r="B1132" t="s">
        <v>23</v>
      </c>
      <c r="C1132" t="s">
        <v>469</v>
      </c>
    </row>
    <row r="1133" spans="1:3" x14ac:dyDescent="0.25">
      <c r="A1133" t="s">
        <v>1247</v>
      </c>
      <c r="B1133" t="s">
        <v>25</v>
      </c>
      <c r="C1133" t="s">
        <v>753</v>
      </c>
    </row>
    <row r="1134" spans="1:3" x14ac:dyDescent="0.25">
      <c r="A1134" t="s">
        <v>1247</v>
      </c>
      <c r="B1134" t="s">
        <v>27</v>
      </c>
      <c r="C1134" t="s">
        <v>28</v>
      </c>
    </row>
    <row r="1135" spans="1:3" x14ac:dyDescent="0.25">
      <c r="A1135" t="s">
        <v>1247</v>
      </c>
      <c r="B1135" t="s">
        <v>29</v>
      </c>
      <c r="C1135" t="s">
        <v>327</v>
      </c>
    </row>
    <row r="1136" spans="1:3" x14ac:dyDescent="0.25">
      <c r="A1136" t="s">
        <v>1247</v>
      </c>
      <c r="B1136" t="s">
        <v>31</v>
      </c>
      <c r="C1136" t="s">
        <v>754</v>
      </c>
    </row>
    <row r="1137" spans="1:3" x14ac:dyDescent="0.25">
      <c r="A1137" t="s">
        <v>1247</v>
      </c>
      <c r="B1137" t="s">
        <v>33</v>
      </c>
      <c r="C1137" t="s">
        <v>266</v>
      </c>
    </row>
    <row r="1138" spans="1:3" x14ac:dyDescent="0.25">
      <c r="A1138" t="s">
        <v>1248</v>
      </c>
      <c r="B1138" t="s">
        <v>3</v>
      </c>
      <c r="C1138" t="s">
        <v>755</v>
      </c>
    </row>
    <row r="1139" spans="1:3" x14ac:dyDescent="0.25">
      <c r="A1139" t="s">
        <v>1248</v>
      </c>
      <c r="B1139" t="s">
        <v>5</v>
      </c>
      <c r="C1139" t="s">
        <v>756</v>
      </c>
    </row>
    <row r="1140" spans="1:3" x14ac:dyDescent="0.25">
      <c r="A1140" t="s">
        <v>1248</v>
      </c>
      <c r="B1140" t="s">
        <v>7</v>
      </c>
      <c r="C1140" t="s">
        <v>757</v>
      </c>
    </row>
    <row r="1141" spans="1:3" x14ac:dyDescent="0.25">
      <c r="A1141" t="s">
        <v>1248</v>
      </c>
      <c r="B1141" t="s">
        <v>9</v>
      </c>
      <c r="C1141" t="s">
        <v>758</v>
      </c>
    </row>
    <row r="1142" spans="1:3" x14ac:dyDescent="0.25">
      <c r="A1142" t="s">
        <v>1248</v>
      </c>
      <c r="B1142" t="s">
        <v>11</v>
      </c>
      <c r="C1142" t="s">
        <v>181</v>
      </c>
    </row>
    <row r="1143" spans="1:3" x14ac:dyDescent="0.25">
      <c r="A1143" t="s">
        <v>1248</v>
      </c>
      <c r="B1143" t="s">
        <v>13</v>
      </c>
      <c r="C1143" t="s">
        <v>51</v>
      </c>
    </row>
    <row r="1144" spans="1:3" x14ac:dyDescent="0.25">
      <c r="A1144" t="s">
        <v>1248</v>
      </c>
      <c r="B1144" t="s">
        <v>15</v>
      </c>
      <c r="C1144" t="s">
        <v>108</v>
      </c>
    </row>
    <row r="1145" spans="1:3" x14ac:dyDescent="0.25">
      <c r="A1145" t="s">
        <v>1248</v>
      </c>
      <c r="B1145" t="s">
        <v>17</v>
      </c>
      <c r="C1145" t="s">
        <v>605</v>
      </c>
    </row>
    <row r="1146" spans="1:3" x14ac:dyDescent="0.25">
      <c r="A1146" t="s">
        <v>1248</v>
      </c>
      <c r="B1146" t="s">
        <v>19</v>
      </c>
      <c r="C1146" t="s">
        <v>590</v>
      </c>
    </row>
    <row r="1147" spans="1:3" x14ac:dyDescent="0.25">
      <c r="A1147" t="s">
        <v>1248</v>
      </c>
      <c r="B1147" t="s">
        <v>21</v>
      </c>
      <c r="C1147" t="s">
        <v>759</v>
      </c>
    </row>
    <row r="1148" spans="1:3" x14ac:dyDescent="0.25">
      <c r="A1148" t="s">
        <v>1248</v>
      </c>
      <c r="B1148" t="s">
        <v>23</v>
      </c>
      <c r="C1148" t="s">
        <v>357</v>
      </c>
    </row>
    <row r="1149" spans="1:3" x14ac:dyDescent="0.25">
      <c r="A1149" t="s">
        <v>1248</v>
      </c>
      <c r="B1149" t="s">
        <v>25</v>
      </c>
      <c r="C1149" t="s">
        <v>471</v>
      </c>
    </row>
    <row r="1150" spans="1:3" x14ac:dyDescent="0.25">
      <c r="A1150" t="s">
        <v>1248</v>
      </c>
      <c r="B1150" t="s">
        <v>27</v>
      </c>
      <c r="C1150" t="s">
        <v>737</v>
      </c>
    </row>
    <row r="1151" spans="1:3" x14ac:dyDescent="0.25">
      <c r="A1151" t="s">
        <v>1248</v>
      </c>
      <c r="B1151" t="s">
        <v>29</v>
      </c>
      <c r="C1151" t="s">
        <v>239</v>
      </c>
    </row>
    <row r="1152" spans="1:3" x14ac:dyDescent="0.25">
      <c r="A1152" t="s">
        <v>1248</v>
      </c>
      <c r="B1152" t="s">
        <v>31</v>
      </c>
      <c r="C1152" t="s">
        <v>760</v>
      </c>
    </row>
    <row r="1153" spans="1:3" x14ac:dyDescent="0.25">
      <c r="A1153" t="s">
        <v>1248</v>
      </c>
      <c r="B1153" t="s">
        <v>33</v>
      </c>
      <c r="C1153" t="s">
        <v>761</v>
      </c>
    </row>
    <row r="1154" spans="1:3" x14ac:dyDescent="0.25">
      <c r="A1154" t="s">
        <v>1249</v>
      </c>
      <c r="B1154" t="s">
        <v>3</v>
      </c>
      <c r="C1154" t="s">
        <v>343</v>
      </c>
    </row>
    <row r="1155" spans="1:3" x14ac:dyDescent="0.25">
      <c r="A1155" t="s">
        <v>1249</v>
      </c>
      <c r="B1155" t="s">
        <v>5</v>
      </c>
      <c r="C1155" t="s">
        <v>474</v>
      </c>
    </row>
    <row r="1156" spans="1:3" x14ac:dyDescent="0.25">
      <c r="A1156" t="s">
        <v>1249</v>
      </c>
      <c r="B1156" t="s">
        <v>7</v>
      </c>
      <c r="C1156" t="s">
        <v>165</v>
      </c>
    </row>
    <row r="1157" spans="1:3" x14ac:dyDescent="0.25">
      <c r="A1157" t="s">
        <v>1249</v>
      </c>
      <c r="B1157" t="s">
        <v>9</v>
      </c>
      <c r="C1157" t="s">
        <v>762</v>
      </c>
    </row>
    <row r="1158" spans="1:3" x14ac:dyDescent="0.25">
      <c r="A1158" t="s">
        <v>1249</v>
      </c>
      <c r="B1158" t="s">
        <v>11</v>
      </c>
      <c r="C1158" t="s">
        <v>109</v>
      </c>
    </row>
    <row r="1159" spans="1:3" x14ac:dyDescent="0.25">
      <c r="A1159" t="s">
        <v>1249</v>
      </c>
      <c r="B1159" t="s">
        <v>13</v>
      </c>
      <c r="C1159" t="s">
        <v>14</v>
      </c>
    </row>
    <row r="1160" spans="1:3" x14ac:dyDescent="0.25">
      <c r="A1160" t="s">
        <v>1249</v>
      </c>
      <c r="B1160" t="s">
        <v>15</v>
      </c>
      <c r="C1160" t="s">
        <v>721</v>
      </c>
    </row>
    <row r="1161" spans="1:3" x14ac:dyDescent="0.25">
      <c r="A1161" t="s">
        <v>1249</v>
      </c>
      <c r="B1161" t="s">
        <v>17</v>
      </c>
      <c r="C1161" t="s">
        <v>763</v>
      </c>
    </row>
    <row r="1162" spans="1:3" x14ac:dyDescent="0.25">
      <c r="A1162" t="s">
        <v>1249</v>
      </c>
      <c r="B1162" t="s">
        <v>19</v>
      </c>
      <c r="C1162" t="s">
        <v>764</v>
      </c>
    </row>
    <row r="1163" spans="1:3" x14ac:dyDescent="0.25">
      <c r="A1163" t="s">
        <v>1249</v>
      </c>
      <c r="B1163" t="s">
        <v>21</v>
      </c>
      <c r="C1163" t="s">
        <v>765</v>
      </c>
    </row>
    <row r="1164" spans="1:3" x14ac:dyDescent="0.25">
      <c r="A1164" t="s">
        <v>1249</v>
      </c>
      <c r="B1164" t="s">
        <v>23</v>
      </c>
      <c r="C1164" t="s">
        <v>766</v>
      </c>
    </row>
    <row r="1165" spans="1:3" x14ac:dyDescent="0.25">
      <c r="A1165" t="s">
        <v>1249</v>
      </c>
      <c r="B1165" t="s">
        <v>25</v>
      </c>
      <c r="C1165" t="s">
        <v>655</v>
      </c>
    </row>
    <row r="1166" spans="1:3" x14ac:dyDescent="0.25">
      <c r="A1166" t="s">
        <v>1249</v>
      </c>
      <c r="B1166" t="s">
        <v>27</v>
      </c>
      <c r="C1166" t="s">
        <v>116</v>
      </c>
    </row>
    <row r="1167" spans="1:3" x14ac:dyDescent="0.25">
      <c r="A1167" t="s">
        <v>1249</v>
      </c>
      <c r="B1167" t="s">
        <v>29</v>
      </c>
      <c r="C1167" t="s">
        <v>30</v>
      </c>
    </row>
    <row r="1168" spans="1:3" x14ac:dyDescent="0.25">
      <c r="A1168" t="s">
        <v>1249</v>
      </c>
      <c r="B1168" t="s">
        <v>31</v>
      </c>
      <c r="C1168" t="s">
        <v>346</v>
      </c>
    </row>
    <row r="1169" spans="1:3" x14ac:dyDescent="0.25">
      <c r="A1169" t="s">
        <v>1249</v>
      </c>
      <c r="B1169" t="s">
        <v>33</v>
      </c>
      <c r="C1169" t="s">
        <v>393</v>
      </c>
    </row>
    <row r="1170" spans="1:3" x14ac:dyDescent="0.25">
      <c r="A1170" t="s">
        <v>1222</v>
      </c>
      <c r="B1170" t="s">
        <v>3</v>
      </c>
      <c r="C1170" t="s">
        <v>121</v>
      </c>
    </row>
    <row r="1171" spans="1:3" x14ac:dyDescent="0.25">
      <c r="A1171" t="s">
        <v>1222</v>
      </c>
      <c r="B1171" t="s">
        <v>5</v>
      </c>
      <c r="C1171" t="s">
        <v>508</v>
      </c>
    </row>
    <row r="1172" spans="1:3" x14ac:dyDescent="0.25">
      <c r="A1172" t="s">
        <v>1222</v>
      </c>
      <c r="B1172" t="s">
        <v>7</v>
      </c>
      <c r="C1172" t="s">
        <v>47</v>
      </c>
    </row>
    <row r="1173" spans="1:3" x14ac:dyDescent="0.25">
      <c r="A1173" t="s">
        <v>1222</v>
      </c>
      <c r="B1173" t="s">
        <v>9</v>
      </c>
      <c r="C1173" t="s">
        <v>767</v>
      </c>
    </row>
    <row r="1174" spans="1:3" x14ac:dyDescent="0.25">
      <c r="A1174" t="s">
        <v>1222</v>
      </c>
      <c r="B1174" t="s">
        <v>11</v>
      </c>
      <c r="C1174" t="s">
        <v>181</v>
      </c>
    </row>
    <row r="1175" spans="1:3" x14ac:dyDescent="0.25">
      <c r="A1175" t="s">
        <v>1222</v>
      </c>
      <c r="B1175" t="s">
        <v>13</v>
      </c>
      <c r="C1175" t="s">
        <v>109</v>
      </c>
    </row>
    <row r="1176" spans="1:3" x14ac:dyDescent="0.25">
      <c r="A1176" t="s">
        <v>1222</v>
      </c>
      <c r="B1176" t="s">
        <v>15</v>
      </c>
      <c r="C1176" t="s">
        <v>16</v>
      </c>
    </row>
    <row r="1177" spans="1:3" x14ac:dyDescent="0.25">
      <c r="A1177" t="s">
        <v>1222</v>
      </c>
      <c r="B1177" t="s">
        <v>17</v>
      </c>
      <c r="C1177" t="s">
        <v>768</v>
      </c>
    </row>
    <row r="1178" spans="1:3" x14ac:dyDescent="0.25">
      <c r="A1178" t="s">
        <v>1222</v>
      </c>
      <c r="B1178" t="s">
        <v>19</v>
      </c>
      <c r="C1178" t="s">
        <v>769</v>
      </c>
    </row>
    <row r="1179" spans="1:3" x14ac:dyDescent="0.25">
      <c r="A1179" t="s">
        <v>1222</v>
      </c>
      <c r="B1179" t="s">
        <v>21</v>
      </c>
      <c r="C1179" t="s">
        <v>770</v>
      </c>
    </row>
    <row r="1180" spans="1:3" x14ac:dyDescent="0.25">
      <c r="A1180" t="s">
        <v>1222</v>
      </c>
      <c r="B1180" t="s">
        <v>23</v>
      </c>
      <c r="C1180" t="s">
        <v>469</v>
      </c>
    </row>
    <row r="1181" spans="1:3" x14ac:dyDescent="0.25">
      <c r="A1181" t="s">
        <v>1222</v>
      </c>
      <c r="B1181" t="s">
        <v>25</v>
      </c>
      <c r="C1181" t="s">
        <v>771</v>
      </c>
    </row>
    <row r="1182" spans="1:3" x14ac:dyDescent="0.25">
      <c r="A1182" t="s">
        <v>1222</v>
      </c>
      <c r="B1182" t="s">
        <v>27</v>
      </c>
      <c r="C1182" t="s">
        <v>264</v>
      </c>
    </row>
    <row r="1183" spans="1:3" x14ac:dyDescent="0.25">
      <c r="A1183" t="s">
        <v>1222</v>
      </c>
      <c r="B1183" t="s">
        <v>29</v>
      </c>
      <c r="C1183" t="s">
        <v>174</v>
      </c>
    </row>
    <row r="1184" spans="1:3" x14ac:dyDescent="0.25">
      <c r="A1184" t="s">
        <v>1222</v>
      </c>
      <c r="B1184" t="s">
        <v>31</v>
      </c>
      <c r="C1184" t="s">
        <v>170</v>
      </c>
    </row>
    <row r="1185" spans="1:3" x14ac:dyDescent="0.25">
      <c r="A1185" t="s">
        <v>1222</v>
      </c>
      <c r="B1185" t="s">
        <v>33</v>
      </c>
      <c r="C1185" t="s">
        <v>393</v>
      </c>
    </row>
    <row r="1186" spans="1:3" x14ac:dyDescent="0.25">
      <c r="A1186" t="s">
        <v>1250</v>
      </c>
      <c r="B1186" t="s">
        <v>3</v>
      </c>
      <c r="C1186" t="s">
        <v>294</v>
      </c>
    </row>
    <row r="1187" spans="1:3" x14ac:dyDescent="0.25">
      <c r="A1187" t="s">
        <v>1250</v>
      </c>
      <c r="B1187" t="s">
        <v>5</v>
      </c>
      <c r="C1187" t="s">
        <v>772</v>
      </c>
    </row>
    <row r="1188" spans="1:3" x14ac:dyDescent="0.25">
      <c r="A1188" t="s">
        <v>1250</v>
      </c>
      <c r="B1188" t="s">
        <v>7</v>
      </c>
      <c r="C1188" t="s">
        <v>417</v>
      </c>
    </row>
    <row r="1189" spans="1:3" x14ac:dyDescent="0.25">
      <c r="A1189" t="s">
        <v>1250</v>
      </c>
      <c r="B1189" t="s">
        <v>9</v>
      </c>
      <c r="C1189" t="s">
        <v>773</v>
      </c>
    </row>
    <row r="1190" spans="1:3" x14ac:dyDescent="0.25">
      <c r="A1190" t="s">
        <v>1250</v>
      </c>
      <c r="B1190" t="s">
        <v>11</v>
      </c>
      <c r="C1190" t="s">
        <v>40</v>
      </c>
    </row>
    <row r="1191" spans="1:3" x14ac:dyDescent="0.25">
      <c r="A1191" t="s">
        <v>1250</v>
      </c>
      <c r="B1191" t="s">
        <v>13</v>
      </c>
      <c r="C1191" t="s">
        <v>14</v>
      </c>
    </row>
    <row r="1192" spans="1:3" x14ac:dyDescent="0.25">
      <c r="A1192" t="s">
        <v>1250</v>
      </c>
      <c r="B1192" t="s">
        <v>15</v>
      </c>
      <c r="C1192" t="s">
        <v>774</v>
      </c>
    </row>
    <row r="1193" spans="1:3" x14ac:dyDescent="0.25">
      <c r="A1193" t="s">
        <v>1250</v>
      </c>
      <c r="B1193" t="s">
        <v>17</v>
      </c>
      <c r="C1193" t="s">
        <v>775</v>
      </c>
    </row>
    <row r="1194" spans="1:3" x14ac:dyDescent="0.25">
      <c r="A1194" t="s">
        <v>1250</v>
      </c>
      <c r="B1194" t="s">
        <v>19</v>
      </c>
      <c r="C1194" t="s">
        <v>609</v>
      </c>
    </row>
    <row r="1195" spans="1:3" x14ac:dyDescent="0.25">
      <c r="A1195" t="s">
        <v>1250</v>
      </c>
      <c r="B1195" t="s">
        <v>21</v>
      </c>
      <c r="C1195" t="s">
        <v>776</v>
      </c>
    </row>
    <row r="1196" spans="1:3" x14ac:dyDescent="0.25">
      <c r="A1196" t="s">
        <v>1250</v>
      </c>
      <c r="B1196" t="s">
        <v>23</v>
      </c>
      <c r="C1196" t="s">
        <v>449</v>
      </c>
    </row>
    <row r="1197" spans="1:3" x14ac:dyDescent="0.25">
      <c r="A1197" t="s">
        <v>1250</v>
      </c>
      <c r="B1197" t="s">
        <v>25</v>
      </c>
      <c r="C1197" t="s">
        <v>777</v>
      </c>
    </row>
    <row r="1198" spans="1:3" x14ac:dyDescent="0.25">
      <c r="A1198" t="s">
        <v>1250</v>
      </c>
      <c r="B1198" t="s">
        <v>27</v>
      </c>
      <c r="C1198" t="s">
        <v>382</v>
      </c>
    </row>
    <row r="1199" spans="1:3" x14ac:dyDescent="0.25">
      <c r="A1199" t="s">
        <v>1250</v>
      </c>
      <c r="B1199" t="s">
        <v>29</v>
      </c>
      <c r="C1199" t="s">
        <v>174</v>
      </c>
    </row>
    <row r="1200" spans="1:3" x14ac:dyDescent="0.25">
      <c r="A1200" t="s">
        <v>1250</v>
      </c>
      <c r="B1200" t="s">
        <v>31</v>
      </c>
      <c r="C1200" t="s">
        <v>778</v>
      </c>
    </row>
    <row r="1201" spans="1:3" x14ac:dyDescent="0.25">
      <c r="A1201" t="s">
        <v>1250</v>
      </c>
      <c r="B1201" t="s">
        <v>33</v>
      </c>
      <c r="C1201" t="s">
        <v>90</v>
      </c>
    </row>
    <row r="1202" spans="1:3" x14ac:dyDescent="0.25">
      <c r="A1202" t="s">
        <v>1251</v>
      </c>
      <c r="B1202" t="s">
        <v>3</v>
      </c>
      <c r="C1202" t="s">
        <v>219</v>
      </c>
    </row>
    <row r="1203" spans="1:3" x14ac:dyDescent="0.25">
      <c r="A1203" t="s">
        <v>1251</v>
      </c>
      <c r="B1203" t="s">
        <v>5</v>
      </c>
      <c r="C1203" t="s">
        <v>779</v>
      </c>
    </row>
    <row r="1204" spans="1:3" x14ac:dyDescent="0.25">
      <c r="A1204" t="s">
        <v>1251</v>
      </c>
      <c r="B1204" t="s">
        <v>7</v>
      </c>
      <c r="C1204" t="s">
        <v>165</v>
      </c>
    </row>
    <row r="1205" spans="1:3" x14ac:dyDescent="0.25">
      <c r="A1205" t="s">
        <v>1251</v>
      </c>
      <c r="B1205" t="s">
        <v>9</v>
      </c>
      <c r="C1205" t="s">
        <v>780</v>
      </c>
    </row>
    <row r="1206" spans="1:3" x14ac:dyDescent="0.25">
      <c r="A1206" t="s">
        <v>1251</v>
      </c>
      <c r="B1206" t="s">
        <v>11</v>
      </c>
      <c r="C1206" t="s">
        <v>52</v>
      </c>
    </row>
    <row r="1207" spans="1:3" x14ac:dyDescent="0.25">
      <c r="A1207" t="s">
        <v>1251</v>
      </c>
      <c r="B1207" t="s">
        <v>13</v>
      </c>
      <c r="C1207" t="s">
        <v>51</v>
      </c>
    </row>
    <row r="1208" spans="1:3" x14ac:dyDescent="0.25">
      <c r="A1208" t="s">
        <v>1251</v>
      </c>
      <c r="B1208" t="s">
        <v>15</v>
      </c>
      <c r="C1208" t="s">
        <v>731</v>
      </c>
    </row>
    <row r="1209" spans="1:3" x14ac:dyDescent="0.25">
      <c r="A1209" t="s">
        <v>1251</v>
      </c>
      <c r="B1209" t="s">
        <v>17</v>
      </c>
      <c r="C1209" t="s">
        <v>781</v>
      </c>
    </row>
    <row r="1210" spans="1:3" x14ac:dyDescent="0.25">
      <c r="A1210" t="s">
        <v>1251</v>
      </c>
      <c r="B1210" t="s">
        <v>19</v>
      </c>
      <c r="C1210" t="s">
        <v>20</v>
      </c>
    </row>
    <row r="1211" spans="1:3" x14ac:dyDescent="0.25">
      <c r="A1211" t="s">
        <v>1251</v>
      </c>
      <c r="B1211" t="s">
        <v>21</v>
      </c>
      <c r="C1211" t="s">
        <v>236</v>
      </c>
    </row>
    <row r="1212" spans="1:3" x14ac:dyDescent="0.25">
      <c r="A1212" t="s">
        <v>1251</v>
      </c>
      <c r="B1212" t="s">
        <v>23</v>
      </c>
      <c r="C1212" t="s">
        <v>782</v>
      </c>
    </row>
    <row r="1213" spans="1:3" x14ac:dyDescent="0.25">
      <c r="A1213" t="s">
        <v>1251</v>
      </c>
      <c r="B1213" t="s">
        <v>25</v>
      </c>
      <c r="C1213" t="s">
        <v>783</v>
      </c>
    </row>
    <row r="1214" spans="1:3" x14ac:dyDescent="0.25">
      <c r="A1214" t="s">
        <v>1251</v>
      </c>
      <c r="B1214" t="s">
        <v>27</v>
      </c>
      <c r="C1214" t="s">
        <v>265</v>
      </c>
    </row>
    <row r="1215" spans="1:3" x14ac:dyDescent="0.25">
      <c r="A1215" t="s">
        <v>1251</v>
      </c>
      <c r="B1215" t="s">
        <v>29</v>
      </c>
      <c r="C1215" t="s">
        <v>117</v>
      </c>
    </row>
    <row r="1216" spans="1:3" x14ac:dyDescent="0.25">
      <c r="A1216" t="s">
        <v>1251</v>
      </c>
      <c r="B1216" t="s">
        <v>31</v>
      </c>
      <c r="C1216" t="s">
        <v>784</v>
      </c>
    </row>
    <row r="1217" spans="1:3" x14ac:dyDescent="0.25">
      <c r="A1217" t="s">
        <v>1251</v>
      </c>
      <c r="B1217" t="s">
        <v>33</v>
      </c>
      <c r="C1217" t="s">
        <v>785</v>
      </c>
    </row>
    <row r="1218" spans="1:3" x14ac:dyDescent="0.25">
      <c r="A1218" t="s">
        <v>1230</v>
      </c>
      <c r="B1218" t="s">
        <v>3</v>
      </c>
      <c r="C1218" t="s">
        <v>786</v>
      </c>
    </row>
    <row r="1219" spans="1:3" x14ac:dyDescent="0.25">
      <c r="A1219" t="s">
        <v>1230</v>
      </c>
      <c r="B1219" t="s">
        <v>5</v>
      </c>
      <c r="C1219" t="s">
        <v>787</v>
      </c>
    </row>
    <row r="1220" spans="1:3" x14ac:dyDescent="0.25">
      <c r="A1220" t="s">
        <v>1230</v>
      </c>
      <c r="B1220" t="s">
        <v>7</v>
      </c>
      <c r="C1220" t="s">
        <v>396</v>
      </c>
    </row>
    <row r="1221" spans="1:3" x14ac:dyDescent="0.25">
      <c r="A1221" t="s">
        <v>1230</v>
      </c>
      <c r="B1221" t="s">
        <v>9</v>
      </c>
      <c r="C1221" t="s">
        <v>788</v>
      </c>
    </row>
    <row r="1222" spans="1:3" x14ac:dyDescent="0.25">
      <c r="A1222" t="s">
        <v>1230</v>
      </c>
      <c r="B1222" t="s">
        <v>11</v>
      </c>
      <c r="C1222" t="s">
        <v>665</v>
      </c>
    </row>
    <row r="1223" spans="1:3" x14ac:dyDescent="0.25">
      <c r="A1223" t="s">
        <v>1230</v>
      </c>
      <c r="B1223" t="s">
        <v>13</v>
      </c>
      <c r="C1223" t="s">
        <v>222</v>
      </c>
    </row>
    <row r="1224" spans="1:3" x14ac:dyDescent="0.25">
      <c r="A1224" t="s">
        <v>1230</v>
      </c>
      <c r="B1224" t="s">
        <v>15</v>
      </c>
      <c r="C1224" t="s">
        <v>789</v>
      </c>
    </row>
    <row r="1225" spans="1:3" x14ac:dyDescent="0.25">
      <c r="A1225" t="s">
        <v>1230</v>
      </c>
      <c r="B1225" t="s">
        <v>17</v>
      </c>
      <c r="C1225" t="s">
        <v>790</v>
      </c>
    </row>
    <row r="1226" spans="1:3" x14ac:dyDescent="0.25">
      <c r="A1226" t="s">
        <v>1230</v>
      </c>
      <c r="B1226" t="s">
        <v>19</v>
      </c>
      <c r="C1226" t="s">
        <v>791</v>
      </c>
    </row>
    <row r="1227" spans="1:3" x14ac:dyDescent="0.25">
      <c r="A1227" t="s">
        <v>1230</v>
      </c>
      <c r="B1227" t="s">
        <v>21</v>
      </c>
      <c r="C1227" t="s">
        <v>792</v>
      </c>
    </row>
    <row r="1228" spans="1:3" x14ac:dyDescent="0.25">
      <c r="A1228" t="s">
        <v>1230</v>
      </c>
      <c r="B1228" t="s">
        <v>23</v>
      </c>
      <c r="C1228" t="s">
        <v>793</v>
      </c>
    </row>
    <row r="1229" spans="1:3" x14ac:dyDescent="0.25">
      <c r="A1229" t="s">
        <v>1230</v>
      </c>
      <c r="B1229" t="s">
        <v>25</v>
      </c>
      <c r="C1229" t="s">
        <v>794</v>
      </c>
    </row>
    <row r="1230" spans="1:3" x14ac:dyDescent="0.25">
      <c r="A1230" t="s">
        <v>1230</v>
      </c>
      <c r="B1230" t="s">
        <v>27</v>
      </c>
      <c r="C1230" t="s">
        <v>87</v>
      </c>
    </row>
    <row r="1231" spans="1:3" x14ac:dyDescent="0.25">
      <c r="A1231" t="s">
        <v>1230</v>
      </c>
      <c r="B1231" t="s">
        <v>29</v>
      </c>
      <c r="C1231" t="s">
        <v>506</v>
      </c>
    </row>
    <row r="1232" spans="1:3" x14ac:dyDescent="0.25">
      <c r="A1232" t="s">
        <v>1230</v>
      </c>
      <c r="B1232" t="s">
        <v>31</v>
      </c>
      <c r="C1232" t="s">
        <v>253</v>
      </c>
    </row>
    <row r="1233" spans="1:3" x14ac:dyDescent="0.25">
      <c r="A1233" t="s">
        <v>1230</v>
      </c>
      <c r="B1233" t="s">
        <v>33</v>
      </c>
      <c r="C1233" t="s">
        <v>795</v>
      </c>
    </row>
    <row r="1234" spans="1:3" x14ac:dyDescent="0.25">
      <c r="A1234" t="s">
        <v>1252</v>
      </c>
      <c r="B1234" t="s">
        <v>3</v>
      </c>
      <c r="C1234" t="s">
        <v>796</v>
      </c>
    </row>
    <row r="1235" spans="1:3" x14ac:dyDescent="0.25">
      <c r="A1235" t="s">
        <v>1252</v>
      </c>
      <c r="B1235" t="s">
        <v>5</v>
      </c>
      <c r="C1235" t="s">
        <v>474</v>
      </c>
    </row>
    <row r="1236" spans="1:3" x14ac:dyDescent="0.25">
      <c r="A1236" t="s">
        <v>1252</v>
      </c>
      <c r="B1236" t="s">
        <v>7</v>
      </c>
      <c r="C1236" t="s">
        <v>78</v>
      </c>
    </row>
    <row r="1237" spans="1:3" x14ac:dyDescent="0.25">
      <c r="A1237" t="s">
        <v>1252</v>
      </c>
      <c r="B1237" t="s">
        <v>9</v>
      </c>
      <c r="C1237" t="s">
        <v>797</v>
      </c>
    </row>
    <row r="1238" spans="1:3" x14ac:dyDescent="0.25">
      <c r="A1238" t="s">
        <v>1252</v>
      </c>
      <c r="B1238" t="s">
        <v>11</v>
      </c>
      <c r="C1238" t="s">
        <v>222</v>
      </c>
    </row>
    <row r="1239" spans="1:3" x14ac:dyDescent="0.25">
      <c r="A1239" t="s">
        <v>1252</v>
      </c>
      <c r="B1239" t="s">
        <v>13</v>
      </c>
      <c r="C1239" t="s">
        <v>167</v>
      </c>
    </row>
    <row r="1240" spans="1:3" x14ac:dyDescent="0.25">
      <c r="A1240" t="s">
        <v>1252</v>
      </c>
      <c r="B1240" t="s">
        <v>15</v>
      </c>
      <c r="C1240" t="s">
        <v>798</v>
      </c>
    </row>
    <row r="1241" spans="1:3" x14ac:dyDescent="0.25">
      <c r="A1241" t="s">
        <v>1252</v>
      </c>
      <c r="B1241" t="s">
        <v>17</v>
      </c>
      <c r="C1241" t="s">
        <v>799</v>
      </c>
    </row>
    <row r="1242" spans="1:3" x14ac:dyDescent="0.25">
      <c r="A1242" t="s">
        <v>1252</v>
      </c>
      <c r="B1242" t="s">
        <v>19</v>
      </c>
      <c r="C1242" t="s">
        <v>800</v>
      </c>
    </row>
    <row r="1243" spans="1:3" x14ac:dyDescent="0.25">
      <c r="A1243" t="s">
        <v>1252</v>
      </c>
      <c r="B1243" t="s">
        <v>21</v>
      </c>
      <c r="C1243" t="s">
        <v>801</v>
      </c>
    </row>
    <row r="1244" spans="1:3" x14ac:dyDescent="0.25">
      <c r="A1244" t="s">
        <v>1252</v>
      </c>
      <c r="B1244" t="s">
        <v>23</v>
      </c>
      <c r="C1244" t="s">
        <v>802</v>
      </c>
    </row>
    <row r="1245" spans="1:3" x14ac:dyDescent="0.25">
      <c r="A1245" t="s">
        <v>1252</v>
      </c>
      <c r="B1245" t="s">
        <v>25</v>
      </c>
      <c r="C1245" t="s">
        <v>803</v>
      </c>
    </row>
    <row r="1246" spans="1:3" x14ac:dyDescent="0.25">
      <c r="A1246" t="s">
        <v>1252</v>
      </c>
      <c r="B1246" t="s">
        <v>27</v>
      </c>
      <c r="C1246" t="s">
        <v>214</v>
      </c>
    </row>
    <row r="1247" spans="1:3" x14ac:dyDescent="0.25">
      <c r="A1247" t="s">
        <v>1252</v>
      </c>
      <c r="B1247" t="s">
        <v>29</v>
      </c>
      <c r="C1247" t="s">
        <v>804</v>
      </c>
    </row>
    <row r="1248" spans="1:3" x14ac:dyDescent="0.25">
      <c r="A1248" t="s">
        <v>1252</v>
      </c>
      <c r="B1248" t="s">
        <v>31</v>
      </c>
      <c r="C1248" t="s">
        <v>805</v>
      </c>
    </row>
    <row r="1249" spans="1:3" x14ac:dyDescent="0.25">
      <c r="A1249" t="s">
        <v>1252</v>
      </c>
      <c r="B1249" t="s">
        <v>33</v>
      </c>
      <c r="C1249" t="s">
        <v>699</v>
      </c>
    </row>
    <row r="1250" spans="1:3" x14ac:dyDescent="0.25">
      <c r="A1250" t="s">
        <v>1253</v>
      </c>
      <c r="B1250" t="s">
        <v>3</v>
      </c>
      <c r="C1250" t="s">
        <v>806</v>
      </c>
    </row>
    <row r="1251" spans="1:3" x14ac:dyDescent="0.25">
      <c r="A1251" t="s">
        <v>1253</v>
      </c>
      <c r="B1251" t="s">
        <v>5</v>
      </c>
      <c r="C1251" t="s">
        <v>807</v>
      </c>
    </row>
    <row r="1252" spans="1:3" x14ac:dyDescent="0.25">
      <c r="A1252" t="s">
        <v>1253</v>
      </c>
      <c r="B1252" t="s">
        <v>7</v>
      </c>
      <c r="C1252" t="s">
        <v>138</v>
      </c>
    </row>
    <row r="1253" spans="1:3" x14ac:dyDescent="0.25">
      <c r="A1253" t="s">
        <v>1253</v>
      </c>
      <c r="B1253" t="s">
        <v>9</v>
      </c>
      <c r="C1253" t="s">
        <v>808</v>
      </c>
    </row>
    <row r="1254" spans="1:3" x14ac:dyDescent="0.25">
      <c r="A1254" t="s">
        <v>1253</v>
      </c>
      <c r="B1254" t="s">
        <v>11</v>
      </c>
      <c r="C1254" t="s">
        <v>809</v>
      </c>
    </row>
    <row r="1255" spans="1:3" x14ac:dyDescent="0.25">
      <c r="A1255" t="s">
        <v>1253</v>
      </c>
      <c r="B1255" t="s">
        <v>13</v>
      </c>
      <c r="C1255" t="s">
        <v>109</v>
      </c>
    </row>
    <row r="1256" spans="1:3" x14ac:dyDescent="0.25">
      <c r="A1256" t="s">
        <v>1253</v>
      </c>
      <c r="B1256" t="s">
        <v>15</v>
      </c>
      <c r="C1256" t="s">
        <v>810</v>
      </c>
    </row>
    <row r="1257" spans="1:3" x14ac:dyDescent="0.25">
      <c r="A1257" t="s">
        <v>1253</v>
      </c>
      <c r="B1257" t="s">
        <v>17</v>
      </c>
      <c r="C1257" t="s">
        <v>811</v>
      </c>
    </row>
    <row r="1258" spans="1:3" x14ac:dyDescent="0.25">
      <c r="A1258" t="s">
        <v>1253</v>
      </c>
      <c r="B1258" t="s">
        <v>19</v>
      </c>
      <c r="C1258" t="s">
        <v>812</v>
      </c>
    </row>
    <row r="1259" spans="1:3" x14ac:dyDescent="0.25">
      <c r="A1259" t="s">
        <v>1253</v>
      </c>
      <c r="B1259" t="s">
        <v>21</v>
      </c>
      <c r="C1259" t="s">
        <v>813</v>
      </c>
    </row>
    <row r="1260" spans="1:3" x14ac:dyDescent="0.25">
      <c r="A1260" t="s">
        <v>1253</v>
      </c>
      <c r="B1260" t="s">
        <v>23</v>
      </c>
      <c r="C1260" t="s">
        <v>814</v>
      </c>
    </row>
    <row r="1261" spans="1:3" x14ac:dyDescent="0.25">
      <c r="A1261" t="s">
        <v>1253</v>
      </c>
      <c r="B1261" t="s">
        <v>25</v>
      </c>
      <c r="C1261" t="s">
        <v>349</v>
      </c>
    </row>
    <row r="1262" spans="1:3" x14ac:dyDescent="0.25">
      <c r="A1262" t="s">
        <v>1253</v>
      </c>
      <c r="B1262" t="s">
        <v>27</v>
      </c>
      <c r="C1262" t="s">
        <v>264</v>
      </c>
    </row>
    <row r="1263" spans="1:3" x14ac:dyDescent="0.25">
      <c r="A1263" t="s">
        <v>1253</v>
      </c>
      <c r="B1263" t="s">
        <v>29</v>
      </c>
      <c r="C1263" t="s">
        <v>215</v>
      </c>
    </row>
    <row r="1264" spans="1:3" x14ac:dyDescent="0.25">
      <c r="A1264" t="s">
        <v>1253</v>
      </c>
      <c r="B1264" t="s">
        <v>31</v>
      </c>
      <c r="C1264" t="s">
        <v>815</v>
      </c>
    </row>
    <row r="1265" spans="1:3" x14ac:dyDescent="0.25">
      <c r="A1265" t="s">
        <v>1253</v>
      </c>
      <c r="B1265" t="s">
        <v>33</v>
      </c>
      <c r="C1265" t="s">
        <v>816</v>
      </c>
    </row>
    <row r="1266" spans="1:3" x14ac:dyDescent="0.25">
      <c r="A1266" t="s">
        <v>1254</v>
      </c>
      <c r="B1266" t="s">
        <v>3</v>
      </c>
      <c r="C1266" t="s">
        <v>6</v>
      </c>
    </row>
    <row r="1267" spans="1:3" x14ac:dyDescent="0.25">
      <c r="A1267" t="s">
        <v>1254</v>
      </c>
      <c r="B1267" t="s">
        <v>5</v>
      </c>
      <c r="C1267" t="s">
        <v>817</v>
      </c>
    </row>
    <row r="1268" spans="1:3" x14ac:dyDescent="0.25">
      <c r="A1268" t="s">
        <v>1254</v>
      </c>
      <c r="B1268" t="s">
        <v>7</v>
      </c>
      <c r="C1268" t="s">
        <v>452</v>
      </c>
    </row>
    <row r="1269" spans="1:3" x14ac:dyDescent="0.25">
      <c r="A1269" t="s">
        <v>1254</v>
      </c>
      <c r="B1269" t="s">
        <v>9</v>
      </c>
      <c r="C1269" t="s">
        <v>818</v>
      </c>
    </row>
    <row r="1270" spans="1:3" x14ac:dyDescent="0.25">
      <c r="A1270" t="s">
        <v>1254</v>
      </c>
      <c r="B1270" t="s">
        <v>11</v>
      </c>
      <c r="C1270" t="s">
        <v>181</v>
      </c>
    </row>
    <row r="1271" spans="1:3" x14ac:dyDescent="0.25">
      <c r="A1271" t="s">
        <v>1254</v>
      </c>
      <c r="B1271" t="s">
        <v>13</v>
      </c>
      <c r="C1271" t="s">
        <v>167</v>
      </c>
    </row>
    <row r="1272" spans="1:3" x14ac:dyDescent="0.25">
      <c r="A1272" t="s">
        <v>1254</v>
      </c>
      <c r="B1272" t="s">
        <v>15</v>
      </c>
      <c r="C1272" t="s">
        <v>694</v>
      </c>
    </row>
    <row r="1273" spans="1:3" x14ac:dyDescent="0.25">
      <c r="A1273" t="s">
        <v>1254</v>
      </c>
      <c r="B1273" t="s">
        <v>17</v>
      </c>
      <c r="C1273" t="s">
        <v>819</v>
      </c>
    </row>
    <row r="1274" spans="1:3" x14ac:dyDescent="0.25">
      <c r="A1274" t="s">
        <v>1254</v>
      </c>
      <c r="B1274" t="s">
        <v>19</v>
      </c>
      <c r="C1274" t="s">
        <v>711</v>
      </c>
    </row>
    <row r="1275" spans="1:3" x14ac:dyDescent="0.25">
      <c r="A1275" t="s">
        <v>1254</v>
      </c>
      <c r="B1275" t="s">
        <v>21</v>
      </c>
      <c r="C1275" t="s">
        <v>820</v>
      </c>
    </row>
    <row r="1276" spans="1:3" x14ac:dyDescent="0.25">
      <c r="A1276" t="s">
        <v>1254</v>
      </c>
      <c r="B1276" t="s">
        <v>23</v>
      </c>
      <c r="C1276" t="s">
        <v>821</v>
      </c>
    </row>
    <row r="1277" spans="1:3" x14ac:dyDescent="0.25">
      <c r="A1277" t="s">
        <v>1254</v>
      </c>
      <c r="B1277" t="s">
        <v>25</v>
      </c>
      <c r="C1277" t="s">
        <v>753</v>
      </c>
    </row>
    <row r="1278" spans="1:3" x14ac:dyDescent="0.25">
      <c r="A1278" t="s">
        <v>1254</v>
      </c>
      <c r="B1278" t="s">
        <v>27</v>
      </c>
      <c r="C1278" t="s">
        <v>87</v>
      </c>
    </row>
    <row r="1279" spans="1:3" x14ac:dyDescent="0.25">
      <c r="A1279" t="s">
        <v>1254</v>
      </c>
      <c r="B1279" t="s">
        <v>29</v>
      </c>
      <c r="C1279" t="s">
        <v>822</v>
      </c>
    </row>
    <row r="1280" spans="1:3" x14ac:dyDescent="0.25">
      <c r="A1280" t="s">
        <v>1254</v>
      </c>
      <c r="B1280" t="s">
        <v>31</v>
      </c>
      <c r="C1280" t="s">
        <v>262</v>
      </c>
    </row>
    <row r="1281" spans="1:3" x14ac:dyDescent="0.25">
      <c r="A1281" t="s">
        <v>1254</v>
      </c>
      <c r="B1281" t="s">
        <v>33</v>
      </c>
      <c r="C1281" t="s">
        <v>279</v>
      </c>
    </row>
    <row r="1282" spans="1:3" x14ac:dyDescent="0.25">
      <c r="A1282" t="s">
        <v>1226</v>
      </c>
      <c r="B1282" t="s">
        <v>3</v>
      </c>
      <c r="C1282" t="s">
        <v>42</v>
      </c>
    </row>
    <row r="1283" spans="1:3" x14ac:dyDescent="0.25">
      <c r="A1283" t="s">
        <v>1226</v>
      </c>
      <c r="B1283" t="s">
        <v>5</v>
      </c>
      <c r="C1283" t="s">
        <v>42</v>
      </c>
    </row>
    <row r="1284" spans="1:3" x14ac:dyDescent="0.25">
      <c r="A1284" t="s">
        <v>1226</v>
      </c>
      <c r="B1284" t="s">
        <v>7</v>
      </c>
      <c r="C1284" t="s">
        <v>42</v>
      </c>
    </row>
    <row r="1285" spans="1:3" x14ac:dyDescent="0.25">
      <c r="A1285" t="s">
        <v>1226</v>
      </c>
      <c r="B1285" t="s">
        <v>9</v>
      </c>
      <c r="C1285" t="s">
        <v>42</v>
      </c>
    </row>
    <row r="1286" spans="1:3" x14ac:dyDescent="0.25">
      <c r="A1286" t="s">
        <v>1226</v>
      </c>
      <c r="B1286" t="s">
        <v>11</v>
      </c>
      <c r="C1286" t="s">
        <v>39</v>
      </c>
    </row>
    <row r="1287" spans="1:3" x14ac:dyDescent="0.25">
      <c r="A1287" t="s">
        <v>1226</v>
      </c>
      <c r="B1287" t="s">
        <v>13</v>
      </c>
      <c r="C1287" t="s">
        <v>39</v>
      </c>
    </row>
    <row r="1288" spans="1:3" x14ac:dyDescent="0.25">
      <c r="A1288" t="s">
        <v>1226</v>
      </c>
      <c r="B1288" t="s">
        <v>15</v>
      </c>
      <c r="C1288" t="s">
        <v>39</v>
      </c>
    </row>
    <row r="1289" spans="1:3" x14ac:dyDescent="0.25">
      <c r="A1289" t="s">
        <v>1226</v>
      </c>
      <c r="B1289" t="s">
        <v>17</v>
      </c>
      <c r="C1289" t="s">
        <v>42</v>
      </c>
    </row>
    <row r="1290" spans="1:3" x14ac:dyDescent="0.25">
      <c r="A1290" t="s">
        <v>1226</v>
      </c>
      <c r="B1290" t="s">
        <v>19</v>
      </c>
      <c r="C1290" t="s">
        <v>43</v>
      </c>
    </row>
    <row r="1291" spans="1:3" x14ac:dyDescent="0.25">
      <c r="A1291" t="s">
        <v>1226</v>
      </c>
      <c r="B1291" t="s">
        <v>21</v>
      </c>
      <c r="C1291" t="s">
        <v>44</v>
      </c>
    </row>
    <row r="1292" spans="1:3" x14ac:dyDescent="0.25">
      <c r="A1292" t="s">
        <v>1226</v>
      </c>
      <c r="B1292" t="s">
        <v>23</v>
      </c>
      <c r="C1292" t="s">
        <v>45</v>
      </c>
    </row>
    <row r="1293" spans="1:3" x14ac:dyDescent="0.25">
      <c r="A1293" t="s">
        <v>1226</v>
      </c>
      <c r="B1293" t="s">
        <v>25</v>
      </c>
      <c r="C1293" t="s">
        <v>45</v>
      </c>
    </row>
    <row r="1294" spans="1:3" x14ac:dyDescent="0.25">
      <c r="A1294" t="s">
        <v>1226</v>
      </c>
      <c r="B1294" t="s">
        <v>27</v>
      </c>
      <c r="C1294" t="s">
        <v>45</v>
      </c>
    </row>
    <row r="1295" spans="1:3" x14ac:dyDescent="0.25">
      <c r="A1295" t="s">
        <v>1226</v>
      </c>
      <c r="B1295" t="s">
        <v>29</v>
      </c>
      <c r="C1295" t="s">
        <v>45</v>
      </c>
    </row>
    <row r="1296" spans="1:3" x14ac:dyDescent="0.25">
      <c r="A1296" t="s">
        <v>1226</v>
      </c>
      <c r="B1296" t="s">
        <v>31</v>
      </c>
      <c r="C1296" t="s">
        <v>43</v>
      </c>
    </row>
    <row r="1297" spans="1:3" x14ac:dyDescent="0.25">
      <c r="A1297" t="s">
        <v>1226</v>
      </c>
      <c r="B1297" t="s">
        <v>33</v>
      </c>
      <c r="C1297" t="s">
        <v>45</v>
      </c>
    </row>
    <row r="1298" spans="1:3" x14ac:dyDescent="0.25">
      <c r="A1298" t="s">
        <v>1246</v>
      </c>
      <c r="B1298" t="s">
        <v>3</v>
      </c>
      <c r="C1298" t="s">
        <v>169</v>
      </c>
    </row>
    <row r="1299" spans="1:3" x14ac:dyDescent="0.25">
      <c r="A1299" t="s">
        <v>1246</v>
      </c>
      <c r="B1299" t="s">
        <v>5</v>
      </c>
      <c r="C1299" t="s">
        <v>658</v>
      </c>
    </row>
    <row r="1300" spans="1:3" x14ac:dyDescent="0.25">
      <c r="A1300" t="s">
        <v>1246</v>
      </c>
      <c r="B1300" t="s">
        <v>7</v>
      </c>
      <c r="C1300" t="s">
        <v>310</v>
      </c>
    </row>
    <row r="1301" spans="1:3" x14ac:dyDescent="0.25">
      <c r="A1301" t="s">
        <v>1246</v>
      </c>
      <c r="B1301" t="s">
        <v>9</v>
      </c>
      <c r="C1301" t="s">
        <v>823</v>
      </c>
    </row>
    <row r="1302" spans="1:3" x14ac:dyDescent="0.25">
      <c r="A1302" t="s">
        <v>1246</v>
      </c>
      <c r="B1302" t="s">
        <v>11</v>
      </c>
      <c r="C1302" t="s">
        <v>476</v>
      </c>
    </row>
    <row r="1303" spans="1:3" x14ac:dyDescent="0.25">
      <c r="A1303" t="s">
        <v>1246</v>
      </c>
      <c r="B1303" t="s">
        <v>13</v>
      </c>
      <c r="C1303" t="s">
        <v>51</v>
      </c>
    </row>
    <row r="1304" spans="1:3" x14ac:dyDescent="0.25">
      <c r="A1304" t="s">
        <v>1246</v>
      </c>
      <c r="B1304" t="s">
        <v>15</v>
      </c>
      <c r="C1304" t="s">
        <v>824</v>
      </c>
    </row>
    <row r="1305" spans="1:3" x14ac:dyDescent="0.25">
      <c r="A1305" t="s">
        <v>1246</v>
      </c>
      <c r="B1305" t="s">
        <v>17</v>
      </c>
      <c r="C1305" t="s">
        <v>825</v>
      </c>
    </row>
    <row r="1306" spans="1:3" x14ac:dyDescent="0.25">
      <c r="A1306" t="s">
        <v>1246</v>
      </c>
      <c r="B1306" t="s">
        <v>19</v>
      </c>
      <c r="C1306" t="s">
        <v>800</v>
      </c>
    </row>
    <row r="1307" spans="1:3" x14ac:dyDescent="0.25">
      <c r="A1307" t="s">
        <v>1246</v>
      </c>
      <c r="B1307" t="s">
        <v>21</v>
      </c>
      <c r="C1307" t="s">
        <v>801</v>
      </c>
    </row>
    <row r="1308" spans="1:3" x14ac:dyDescent="0.25">
      <c r="A1308" t="s">
        <v>1246</v>
      </c>
      <c r="B1308" t="s">
        <v>23</v>
      </c>
      <c r="C1308" t="s">
        <v>826</v>
      </c>
    </row>
    <row r="1309" spans="1:3" x14ac:dyDescent="0.25">
      <c r="A1309" t="s">
        <v>1246</v>
      </c>
      <c r="B1309" t="s">
        <v>25</v>
      </c>
      <c r="C1309" t="s">
        <v>252</v>
      </c>
    </row>
    <row r="1310" spans="1:3" x14ac:dyDescent="0.25">
      <c r="A1310" t="s">
        <v>1246</v>
      </c>
      <c r="B1310" t="s">
        <v>27</v>
      </c>
      <c r="C1310" t="s">
        <v>214</v>
      </c>
    </row>
    <row r="1311" spans="1:3" x14ac:dyDescent="0.25">
      <c r="A1311" t="s">
        <v>1246</v>
      </c>
      <c r="B1311" t="s">
        <v>29</v>
      </c>
      <c r="C1311" t="s">
        <v>341</v>
      </c>
    </row>
    <row r="1312" spans="1:3" x14ac:dyDescent="0.25">
      <c r="A1312" t="s">
        <v>1246</v>
      </c>
      <c r="B1312" t="s">
        <v>31</v>
      </c>
      <c r="C1312" t="s">
        <v>827</v>
      </c>
    </row>
    <row r="1313" spans="1:3" x14ac:dyDescent="0.25">
      <c r="A1313" t="s">
        <v>1246</v>
      </c>
      <c r="B1313" t="s">
        <v>33</v>
      </c>
      <c r="C1313" t="s">
        <v>393</v>
      </c>
    </row>
    <row r="1314" spans="1:3" x14ac:dyDescent="0.25">
      <c r="A1314" t="s">
        <v>1222</v>
      </c>
      <c r="B1314" t="s">
        <v>134</v>
      </c>
      <c r="C1314" t="s">
        <v>828</v>
      </c>
    </row>
    <row r="1315" spans="1:3" x14ac:dyDescent="0.25">
      <c r="A1315" t="s">
        <v>1222</v>
      </c>
      <c r="B1315" t="s">
        <v>136</v>
      </c>
      <c r="C1315" t="s">
        <v>342</v>
      </c>
    </row>
    <row r="1316" spans="1:3" x14ac:dyDescent="0.25">
      <c r="A1316" t="s">
        <v>1222</v>
      </c>
      <c r="B1316" t="s">
        <v>7</v>
      </c>
      <c r="C1316" t="s">
        <v>310</v>
      </c>
    </row>
    <row r="1317" spans="1:3" x14ac:dyDescent="0.25">
      <c r="A1317" t="s">
        <v>1222</v>
      </c>
      <c r="B1317" t="s">
        <v>139</v>
      </c>
      <c r="C1317" t="s">
        <v>829</v>
      </c>
    </row>
    <row r="1318" spans="1:3" x14ac:dyDescent="0.25">
      <c r="A1318" t="s">
        <v>1222</v>
      </c>
      <c r="B1318" t="s">
        <v>141</v>
      </c>
      <c r="C1318" t="s">
        <v>124</v>
      </c>
    </row>
    <row r="1319" spans="1:3" x14ac:dyDescent="0.25">
      <c r="A1319" t="s">
        <v>1222</v>
      </c>
      <c r="B1319" t="s">
        <v>143</v>
      </c>
      <c r="C1319" t="s">
        <v>14</v>
      </c>
    </row>
    <row r="1320" spans="1:3" x14ac:dyDescent="0.25">
      <c r="A1320" t="s">
        <v>1222</v>
      </c>
      <c r="B1320" t="s">
        <v>144</v>
      </c>
      <c r="C1320" t="s">
        <v>830</v>
      </c>
    </row>
    <row r="1321" spans="1:3" x14ac:dyDescent="0.25">
      <c r="A1321" t="s">
        <v>1222</v>
      </c>
      <c r="B1321" t="s">
        <v>146</v>
      </c>
      <c r="C1321" t="s">
        <v>831</v>
      </c>
    </row>
    <row r="1322" spans="1:3" x14ac:dyDescent="0.25">
      <c r="A1322" t="s">
        <v>1222</v>
      </c>
      <c r="B1322" t="s">
        <v>148</v>
      </c>
      <c r="C1322" t="s">
        <v>832</v>
      </c>
    </row>
    <row r="1323" spans="1:3" x14ac:dyDescent="0.25">
      <c r="A1323" t="s">
        <v>1222</v>
      </c>
      <c r="B1323" t="s">
        <v>150</v>
      </c>
      <c r="C1323" t="s">
        <v>511</v>
      </c>
    </row>
    <row r="1324" spans="1:3" x14ac:dyDescent="0.25">
      <c r="A1324" t="s">
        <v>1222</v>
      </c>
      <c r="B1324" t="s">
        <v>152</v>
      </c>
      <c r="C1324" t="s">
        <v>833</v>
      </c>
    </row>
    <row r="1325" spans="1:3" x14ac:dyDescent="0.25">
      <c r="A1325" t="s">
        <v>1222</v>
      </c>
      <c r="B1325" t="s">
        <v>154</v>
      </c>
      <c r="C1325" t="s">
        <v>471</v>
      </c>
    </row>
    <row r="1326" spans="1:3" x14ac:dyDescent="0.25">
      <c r="A1326" t="s">
        <v>1222</v>
      </c>
      <c r="B1326" t="s">
        <v>27</v>
      </c>
      <c r="C1326" t="s">
        <v>834</v>
      </c>
    </row>
    <row r="1327" spans="1:3" x14ac:dyDescent="0.25">
      <c r="A1327" t="s">
        <v>1222</v>
      </c>
      <c r="B1327" t="s">
        <v>157</v>
      </c>
      <c r="C1327" t="s">
        <v>215</v>
      </c>
    </row>
    <row r="1328" spans="1:3" x14ac:dyDescent="0.25">
      <c r="A1328" t="s">
        <v>1222</v>
      </c>
      <c r="B1328" t="s">
        <v>159</v>
      </c>
      <c r="C1328" t="s">
        <v>835</v>
      </c>
    </row>
    <row r="1329" spans="1:3" x14ac:dyDescent="0.25">
      <c r="A1329" t="s">
        <v>1222</v>
      </c>
      <c r="B1329" t="s">
        <v>161</v>
      </c>
      <c r="C1329" t="s">
        <v>361</v>
      </c>
    </row>
    <row r="1330" spans="1:3" x14ac:dyDescent="0.25">
      <c r="A1330" t="s">
        <v>1255</v>
      </c>
      <c r="B1330" t="s">
        <v>134</v>
      </c>
      <c r="C1330" t="s">
        <v>294</v>
      </c>
    </row>
    <row r="1331" spans="1:3" x14ac:dyDescent="0.25">
      <c r="A1331" t="s">
        <v>1255</v>
      </c>
      <c r="B1331" t="s">
        <v>136</v>
      </c>
      <c r="C1331" t="s">
        <v>836</v>
      </c>
    </row>
    <row r="1332" spans="1:3" x14ac:dyDescent="0.25">
      <c r="A1332" t="s">
        <v>1255</v>
      </c>
      <c r="B1332" t="s">
        <v>7</v>
      </c>
      <c r="C1332" t="s">
        <v>486</v>
      </c>
    </row>
    <row r="1333" spans="1:3" x14ac:dyDescent="0.25">
      <c r="A1333" t="s">
        <v>1255</v>
      </c>
      <c r="B1333" t="s">
        <v>139</v>
      </c>
      <c r="C1333" t="s">
        <v>837</v>
      </c>
    </row>
    <row r="1334" spans="1:3" x14ac:dyDescent="0.25">
      <c r="A1334" t="s">
        <v>1255</v>
      </c>
      <c r="B1334" t="s">
        <v>141</v>
      </c>
      <c r="C1334" t="s">
        <v>222</v>
      </c>
    </row>
    <row r="1335" spans="1:3" x14ac:dyDescent="0.25">
      <c r="A1335" t="s">
        <v>1255</v>
      </c>
      <c r="B1335" t="s">
        <v>143</v>
      </c>
      <c r="C1335" t="s">
        <v>51</v>
      </c>
    </row>
    <row r="1336" spans="1:3" x14ac:dyDescent="0.25">
      <c r="A1336" t="s">
        <v>1255</v>
      </c>
      <c r="B1336" t="s">
        <v>144</v>
      </c>
      <c r="C1336" t="s">
        <v>838</v>
      </c>
    </row>
    <row r="1337" spans="1:3" x14ac:dyDescent="0.25">
      <c r="A1337" t="s">
        <v>1255</v>
      </c>
      <c r="B1337" t="s">
        <v>146</v>
      </c>
      <c r="C1337" t="s">
        <v>839</v>
      </c>
    </row>
    <row r="1338" spans="1:3" x14ac:dyDescent="0.25">
      <c r="A1338" t="s">
        <v>1255</v>
      </c>
      <c r="B1338" t="s">
        <v>148</v>
      </c>
      <c r="C1338" t="s">
        <v>840</v>
      </c>
    </row>
    <row r="1339" spans="1:3" x14ac:dyDescent="0.25">
      <c r="A1339" t="s">
        <v>1255</v>
      </c>
      <c r="B1339" t="s">
        <v>150</v>
      </c>
      <c r="C1339" t="s">
        <v>603</v>
      </c>
    </row>
    <row r="1340" spans="1:3" x14ac:dyDescent="0.25">
      <c r="A1340" t="s">
        <v>1255</v>
      </c>
      <c r="B1340" t="s">
        <v>152</v>
      </c>
      <c r="C1340" t="s">
        <v>776</v>
      </c>
    </row>
    <row r="1341" spans="1:3" x14ac:dyDescent="0.25">
      <c r="A1341" t="s">
        <v>1255</v>
      </c>
      <c r="B1341" t="s">
        <v>154</v>
      </c>
      <c r="C1341" t="s">
        <v>200</v>
      </c>
    </row>
    <row r="1342" spans="1:3" x14ac:dyDescent="0.25">
      <c r="A1342" t="s">
        <v>1255</v>
      </c>
      <c r="B1342" t="s">
        <v>27</v>
      </c>
      <c r="C1342" t="s">
        <v>841</v>
      </c>
    </row>
    <row r="1343" spans="1:3" x14ac:dyDescent="0.25">
      <c r="A1343" t="s">
        <v>1255</v>
      </c>
      <c r="B1343" t="s">
        <v>157</v>
      </c>
      <c r="C1343" t="s">
        <v>842</v>
      </c>
    </row>
    <row r="1344" spans="1:3" x14ac:dyDescent="0.25">
      <c r="A1344" t="s">
        <v>1255</v>
      </c>
      <c r="B1344" t="s">
        <v>159</v>
      </c>
      <c r="C1344" t="s">
        <v>843</v>
      </c>
    </row>
    <row r="1345" spans="1:3" x14ac:dyDescent="0.25">
      <c r="A1345" t="s">
        <v>1255</v>
      </c>
      <c r="B1345" t="s">
        <v>161</v>
      </c>
      <c r="C1345" t="s">
        <v>393</v>
      </c>
    </row>
    <row r="1346" spans="1:3" x14ac:dyDescent="0.25">
      <c r="A1346" t="s">
        <v>1233</v>
      </c>
      <c r="B1346" t="s">
        <v>134</v>
      </c>
      <c r="C1346" t="s">
        <v>844</v>
      </c>
    </row>
    <row r="1347" spans="1:3" x14ac:dyDescent="0.25">
      <c r="A1347" t="s">
        <v>1233</v>
      </c>
      <c r="B1347" t="s">
        <v>136</v>
      </c>
      <c r="C1347" t="s">
        <v>845</v>
      </c>
    </row>
    <row r="1348" spans="1:3" x14ac:dyDescent="0.25">
      <c r="A1348" t="s">
        <v>1233</v>
      </c>
      <c r="B1348" t="s">
        <v>7</v>
      </c>
      <c r="C1348" t="s">
        <v>757</v>
      </c>
    </row>
    <row r="1349" spans="1:3" x14ac:dyDescent="0.25">
      <c r="A1349" t="s">
        <v>1233</v>
      </c>
      <c r="B1349" t="s">
        <v>139</v>
      </c>
      <c r="C1349" t="s">
        <v>846</v>
      </c>
    </row>
    <row r="1350" spans="1:3" x14ac:dyDescent="0.25">
      <c r="A1350" t="s">
        <v>1233</v>
      </c>
      <c r="B1350" t="s">
        <v>141</v>
      </c>
      <c r="C1350" t="s">
        <v>847</v>
      </c>
    </row>
    <row r="1351" spans="1:3" x14ac:dyDescent="0.25">
      <c r="A1351" t="s">
        <v>1233</v>
      </c>
      <c r="B1351" t="s">
        <v>143</v>
      </c>
      <c r="C1351" t="s">
        <v>848</v>
      </c>
    </row>
    <row r="1352" spans="1:3" x14ac:dyDescent="0.25">
      <c r="A1352" t="s">
        <v>1233</v>
      </c>
      <c r="B1352" t="s">
        <v>144</v>
      </c>
      <c r="C1352" t="s">
        <v>849</v>
      </c>
    </row>
    <row r="1353" spans="1:3" x14ac:dyDescent="0.25">
      <c r="A1353" t="s">
        <v>1233</v>
      </c>
      <c r="B1353" t="s">
        <v>146</v>
      </c>
      <c r="C1353" t="s">
        <v>850</v>
      </c>
    </row>
    <row r="1354" spans="1:3" x14ac:dyDescent="0.25">
      <c r="A1354" t="s">
        <v>1233</v>
      </c>
      <c r="B1354" t="s">
        <v>148</v>
      </c>
      <c r="C1354" t="s">
        <v>636</v>
      </c>
    </row>
    <row r="1355" spans="1:3" x14ac:dyDescent="0.25">
      <c r="A1355" t="s">
        <v>1233</v>
      </c>
      <c r="B1355" t="s">
        <v>150</v>
      </c>
      <c r="C1355" t="s">
        <v>851</v>
      </c>
    </row>
    <row r="1356" spans="1:3" x14ac:dyDescent="0.25">
      <c r="A1356" t="s">
        <v>1233</v>
      </c>
      <c r="B1356" t="s">
        <v>152</v>
      </c>
      <c r="C1356" t="s">
        <v>852</v>
      </c>
    </row>
    <row r="1357" spans="1:3" x14ac:dyDescent="0.25">
      <c r="A1357" t="s">
        <v>1233</v>
      </c>
      <c r="B1357" t="s">
        <v>154</v>
      </c>
      <c r="C1357" t="s">
        <v>330</v>
      </c>
    </row>
    <row r="1358" spans="1:3" x14ac:dyDescent="0.25">
      <c r="A1358" t="s">
        <v>1233</v>
      </c>
      <c r="B1358" t="s">
        <v>27</v>
      </c>
      <c r="C1358" t="s">
        <v>853</v>
      </c>
    </row>
    <row r="1359" spans="1:3" x14ac:dyDescent="0.25">
      <c r="A1359" t="s">
        <v>1233</v>
      </c>
      <c r="B1359" t="s">
        <v>157</v>
      </c>
      <c r="C1359" t="s">
        <v>198</v>
      </c>
    </row>
    <row r="1360" spans="1:3" x14ac:dyDescent="0.25">
      <c r="A1360" t="s">
        <v>1233</v>
      </c>
      <c r="B1360" t="s">
        <v>159</v>
      </c>
      <c r="C1360" t="s">
        <v>854</v>
      </c>
    </row>
    <row r="1361" spans="1:3" x14ac:dyDescent="0.25">
      <c r="A1361" t="s">
        <v>1233</v>
      </c>
      <c r="B1361" t="s">
        <v>161</v>
      </c>
      <c r="C1361" t="s">
        <v>795</v>
      </c>
    </row>
    <row r="1362" spans="1:3" x14ac:dyDescent="0.25">
      <c r="A1362" t="s">
        <v>1256</v>
      </c>
      <c r="B1362" t="s">
        <v>3</v>
      </c>
      <c r="C1362" t="s">
        <v>726</v>
      </c>
    </row>
    <row r="1363" spans="1:3" x14ac:dyDescent="0.25">
      <c r="A1363" t="s">
        <v>1256</v>
      </c>
      <c r="B1363" t="s">
        <v>5</v>
      </c>
      <c r="C1363" t="s">
        <v>855</v>
      </c>
    </row>
    <row r="1364" spans="1:3" x14ac:dyDescent="0.25">
      <c r="A1364" t="s">
        <v>1256</v>
      </c>
      <c r="B1364" t="s">
        <v>7</v>
      </c>
      <c r="C1364" t="s">
        <v>772</v>
      </c>
    </row>
    <row r="1365" spans="1:3" x14ac:dyDescent="0.25">
      <c r="A1365" t="s">
        <v>1256</v>
      </c>
      <c r="B1365" t="s">
        <v>9</v>
      </c>
      <c r="C1365" t="s">
        <v>856</v>
      </c>
    </row>
    <row r="1366" spans="1:3" x14ac:dyDescent="0.25">
      <c r="A1366" t="s">
        <v>1256</v>
      </c>
      <c r="B1366" t="s">
        <v>11</v>
      </c>
      <c r="C1366" t="s">
        <v>39</v>
      </c>
    </row>
    <row r="1367" spans="1:3" x14ac:dyDescent="0.25">
      <c r="A1367" t="s">
        <v>1256</v>
      </c>
      <c r="B1367" t="s">
        <v>13</v>
      </c>
      <c r="C1367" t="s">
        <v>40</v>
      </c>
    </row>
    <row r="1368" spans="1:3" x14ac:dyDescent="0.25">
      <c r="A1368" t="s">
        <v>1256</v>
      </c>
      <c r="B1368" t="s">
        <v>15</v>
      </c>
      <c r="C1368" t="s">
        <v>432</v>
      </c>
    </row>
    <row r="1369" spans="1:3" x14ac:dyDescent="0.25">
      <c r="A1369" t="s">
        <v>1256</v>
      </c>
      <c r="B1369" t="s">
        <v>17</v>
      </c>
      <c r="C1369" t="s">
        <v>857</v>
      </c>
    </row>
    <row r="1370" spans="1:3" x14ac:dyDescent="0.25">
      <c r="A1370" t="s">
        <v>1256</v>
      </c>
      <c r="B1370" t="s">
        <v>19</v>
      </c>
      <c r="C1370" t="s">
        <v>858</v>
      </c>
    </row>
    <row r="1371" spans="1:3" x14ac:dyDescent="0.25">
      <c r="A1371" t="s">
        <v>1256</v>
      </c>
      <c r="B1371" t="s">
        <v>21</v>
      </c>
      <c r="C1371" t="s">
        <v>859</v>
      </c>
    </row>
    <row r="1372" spans="1:3" x14ac:dyDescent="0.25">
      <c r="A1372" t="s">
        <v>1256</v>
      </c>
      <c r="B1372" t="s">
        <v>23</v>
      </c>
      <c r="C1372" t="s">
        <v>860</v>
      </c>
    </row>
    <row r="1373" spans="1:3" x14ac:dyDescent="0.25">
      <c r="A1373" t="s">
        <v>1256</v>
      </c>
      <c r="B1373" t="s">
        <v>25</v>
      </c>
      <c r="C1373" t="s">
        <v>669</v>
      </c>
    </row>
    <row r="1374" spans="1:3" x14ac:dyDescent="0.25">
      <c r="A1374" t="s">
        <v>1256</v>
      </c>
      <c r="B1374" t="s">
        <v>27</v>
      </c>
      <c r="C1374" t="s">
        <v>116</v>
      </c>
    </row>
    <row r="1375" spans="1:3" x14ac:dyDescent="0.25">
      <c r="A1375" t="s">
        <v>1256</v>
      </c>
      <c r="B1375" t="s">
        <v>29</v>
      </c>
      <c r="C1375" t="s">
        <v>383</v>
      </c>
    </row>
    <row r="1376" spans="1:3" x14ac:dyDescent="0.25">
      <c r="A1376" t="s">
        <v>1256</v>
      </c>
      <c r="B1376" t="s">
        <v>31</v>
      </c>
      <c r="C1376" t="s">
        <v>861</v>
      </c>
    </row>
    <row r="1377" spans="1:3" x14ac:dyDescent="0.25">
      <c r="A1377" t="s">
        <v>1256</v>
      </c>
      <c r="B1377" t="s">
        <v>33</v>
      </c>
      <c r="C1377" t="s">
        <v>266</v>
      </c>
    </row>
    <row r="1378" spans="1:3" x14ac:dyDescent="0.25">
      <c r="A1378" t="s">
        <v>1257</v>
      </c>
      <c r="B1378" t="s">
        <v>134</v>
      </c>
      <c r="C1378" t="s">
        <v>120</v>
      </c>
    </row>
    <row r="1379" spans="1:3" x14ac:dyDescent="0.25">
      <c r="A1379" t="s">
        <v>1257</v>
      </c>
      <c r="B1379" t="s">
        <v>136</v>
      </c>
      <c r="C1379" t="s">
        <v>862</v>
      </c>
    </row>
    <row r="1380" spans="1:3" x14ac:dyDescent="0.25">
      <c r="A1380" t="s">
        <v>1257</v>
      </c>
      <c r="B1380" t="s">
        <v>7</v>
      </c>
      <c r="C1380" t="s">
        <v>702</v>
      </c>
    </row>
    <row r="1381" spans="1:3" x14ac:dyDescent="0.25">
      <c r="A1381" t="s">
        <v>1257</v>
      </c>
      <c r="B1381" t="s">
        <v>139</v>
      </c>
      <c r="C1381" t="s">
        <v>863</v>
      </c>
    </row>
    <row r="1382" spans="1:3" x14ac:dyDescent="0.25">
      <c r="A1382" t="s">
        <v>1257</v>
      </c>
      <c r="B1382" t="s">
        <v>141</v>
      </c>
      <c r="C1382" t="s">
        <v>420</v>
      </c>
    </row>
    <row r="1383" spans="1:3" x14ac:dyDescent="0.25">
      <c r="A1383" t="s">
        <v>1257</v>
      </c>
      <c r="B1383" t="s">
        <v>143</v>
      </c>
      <c r="C1383" t="s">
        <v>633</v>
      </c>
    </row>
    <row r="1384" spans="1:3" x14ac:dyDescent="0.25">
      <c r="A1384" t="s">
        <v>1257</v>
      </c>
      <c r="B1384" t="s">
        <v>144</v>
      </c>
      <c r="C1384" t="s">
        <v>864</v>
      </c>
    </row>
    <row r="1385" spans="1:3" x14ac:dyDescent="0.25">
      <c r="A1385" t="s">
        <v>1257</v>
      </c>
      <c r="B1385" t="s">
        <v>146</v>
      </c>
      <c r="C1385" t="s">
        <v>601</v>
      </c>
    </row>
    <row r="1386" spans="1:3" x14ac:dyDescent="0.25">
      <c r="A1386" t="s">
        <v>1257</v>
      </c>
      <c r="B1386" t="s">
        <v>148</v>
      </c>
      <c r="C1386" t="s">
        <v>20</v>
      </c>
    </row>
    <row r="1387" spans="1:3" x14ac:dyDescent="0.25">
      <c r="A1387" t="s">
        <v>1257</v>
      </c>
      <c r="B1387" t="s">
        <v>150</v>
      </c>
      <c r="C1387" t="s">
        <v>619</v>
      </c>
    </row>
    <row r="1388" spans="1:3" x14ac:dyDescent="0.25">
      <c r="A1388" t="s">
        <v>1257</v>
      </c>
      <c r="B1388" t="s">
        <v>152</v>
      </c>
      <c r="C1388" t="s">
        <v>865</v>
      </c>
    </row>
    <row r="1389" spans="1:3" x14ac:dyDescent="0.25">
      <c r="A1389" t="s">
        <v>1257</v>
      </c>
      <c r="B1389" t="s">
        <v>154</v>
      </c>
      <c r="C1389" t="s">
        <v>130</v>
      </c>
    </row>
    <row r="1390" spans="1:3" x14ac:dyDescent="0.25">
      <c r="A1390" t="s">
        <v>1257</v>
      </c>
      <c r="B1390" t="s">
        <v>27</v>
      </c>
      <c r="C1390" t="s">
        <v>866</v>
      </c>
    </row>
    <row r="1391" spans="1:3" x14ac:dyDescent="0.25">
      <c r="A1391" t="s">
        <v>1257</v>
      </c>
      <c r="B1391" t="s">
        <v>157</v>
      </c>
      <c r="C1391" t="s">
        <v>867</v>
      </c>
    </row>
    <row r="1392" spans="1:3" x14ac:dyDescent="0.25">
      <c r="A1392" t="s">
        <v>1257</v>
      </c>
      <c r="B1392" t="s">
        <v>159</v>
      </c>
      <c r="C1392" t="s">
        <v>590</v>
      </c>
    </row>
    <row r="1393" spans="1:3" x14ac:dyDescent="0.25">
      <c r="A1393" t="s">
        <v>1257</v>
      </c>
      <c r="B1393" t="s">
        <v>161</v>
      </c>
      <c r="C1393" t="s">
        <v>816</v>
      </c>
    </row>
    <row r="1394" spans="1:3" x14ac:dyDescent="0.25">
      <c r="A1394" t="s">
        <v>1234</v>
      </c>
      <c r="B1394" t="s">
        <v>3</v>
      </c>
      <c r="C1394" t="s">
        <v>516</v>
      </c>
    </row>
    <row r="1395" spans="1:3" x14ac:dyDescent="0.25">
      <c r="A1395" t="s">
        <v>1234</v>
      </c>
      <c r="B1395" t="s">
        <v>5</v>
      </c>
      <c r="C1395" t="s">
        <v>868</v>
      </c>
    </row>
    <row r="1396" spans="1:3" x14ac:dyDescent="0.25">
      <c r="A1396" t="s">
        <v>1234</v>
      </c>
      <c r="B1396" t="s">
        <v>7</v>
      </c>
      <c r="C1396" t="s">
        <v>135</v>
      </c>
    </row>
    <row r="1397" spans="1:3" x14ac:dyDescent="0.25">
      <c r="A1397" t="s">
        <v>1234</v>
      </c>
      <c r="B1397" t="s">
        <v>9</v>
      </c>
      <c r="C1397" t="s">
        <v>823</v>
      </c>
    </row>
    <row r="1398" spans="1:3" x14ac:dyDescent="0.25">
      <c r="A1398" t="s">
        <v>1234</v>
      </c>
      <c r="B1398" t="s">
        <v>11</v>
      </c>
      <c r="C1398" t="s">
        <v>270</v>
      </c>
    </row>
    <row r="1399" spans="1:3" x14ac:dyDescent="0.25">
      <c r="A1399" t="s">
        <v>1234</v>
      </c>
      <c r="B1399" t="s">
        <v>13</v>
      </c>
      <c r="C1399" t="s">
        <v>167</v>
      </c>
    </row>
    <row r="1400" spans="1:3" x14ac:dyDescent="0.25">
      <c r="A1400" t="s">
        <v>1234</v>
      </c>
      <c r="B1400" t="s">
        <v>15</v>
      </c>
      <c r="C1400" t="s">
        <v>749</v>
      </c>
    </row>
    <row r="1401" spans="1:3" x14ac:dyDescent="0.25">
      <c r="A1401" t="s">
        <v>1234</v>
      </c>
      <c r="B1401" t="s">
        <v>17</v>
      </c>
      <c r="C1401" t="s">
        <v>869</v>
      </c>
    </row>
    <row r="1402" spans="1:3" x14ac:dyDescent="0.25">
      <c r="A1402" t="s">
        <v>1234</v>
      </c>
      <c r="B1402" t="s">
        <v>19</v>
      </c>
      <c r="C1402" t="s">
        <v>98</v>
      </c>
    </row>
    <row r="1403" spans="1:3" x14ac:dyDescent="0.25">
      <c r="A1403" t="s">
        <v>1234</v>
      </c>
      <c r="B1403" t="s">
        <v>21</v>
      </c>
      <c r="C1403" t="s">
        <v>770</v>
      </c>
    </row>
    <row r="1404" spans="1:3" x14ac:dyDescent="0.25">
      <c r="A1404" t="s">
        <v>1234</v>
      </c>
      <c r="B1404" t="s">
        <v>23</v>
      </c>
      <c r="C1404" t="s">
        <v>522</v>
      </c>
    </row>
    <row r="1405" spans="1:3" x14ac:dyDescent="0.25">
      <c r="A1405" t="s">
        <v>1234</v>
      </c>
      <c r="B1405" t="s">
        <v>25</v>
      </c>
      <c r="C1405" t="s">
        <v>101</v>
      </c>
    </row>
    <row r="1406" spans="1:3" x14ac:dyDescent="0.25">
      <c r="A1406" t="s">
        <v>1234</v>
      </c>
      <c r="B1406" t="s">
        <v>27</v>
      </c>
      <c r="C1406" t="s">
        <v>370</v>
      </c>
    </row>
    <row r="1407" spans="1:3" x14ac:dyDescent="0.25">
      <c r="A1407" t="s">
        <v>1234</v>
      </c>
      <c r="B1407" t="s">
        <v>29</v>
      </c>
      <c r="C1407" t="s">
        <v>327</v>
      </c>
    </row>
    <row r="1408" spans="1:3" x14ac:dyDescent="0.25">
      <c r="A1408" t="s">
        <v>1234</v>
      </c>
      <c r="B1408" t="s">
        <v>31</v>
      </c>
      <c r="C1408" t="s">
        <v>870</v>
      </c>
    </row>
    <row r="1409" spans="1:3" x14ac:dyDescent="0.25">
      <c r="A1409" t="s">
        <v>1234</v>
      </c>
      <c r="B1409" t="s">
        <v>33</v>
      </c>
      <c r="C1409" t="s">
        <v>463</v>
      </c>
    </row>
    <row r="1410" spans="1:3" x14ac:dyDescent="0.25">
      <c r="A1410" t="s">
        <v>1258</v>
      </c>
      <c r="B1410" t="s">
        <v>3</v>
      </c>
      <c r="C1410" t="s">
        <v>190</v>
      </c>
    </row>
    <row r="1411" spans="1:3" x14ac:dyDescent="0.25">
      <c r="A1411" t="s">
        <v>1258</v>
      </c>
      <c r="B1411" t="s">
        <v>5</v>
      </c>
      <c r="C1411" t="s">
        <v>35</v>
      </c>
    </row>
    <row r="1412" spans="1:3" x14ac:dyDescent="0.25">
      <c r="A1412" t="s">
        <v>1258</v>
      </c>
      <c r="B1412" t="s">
        <v>7</v>
      </c>
      <c r="C1412" t="s">
        <v>486</v>
      </c>
    </row>
    <row r="1413" spans="1:3" x14ac:dyDescent="0.25">
      <c r="A1413" t="s">
        <v>1258</v>
      </c>
      <c r="B1413" t="s">
        <v>9</v>
      </c>
      <c r="C1413" t="s">
        <v>871</v>
      </c>
    </row>
    <row r="1414" spans="1:3" x14ac:dyDescent="0.25">
      <c r="A1414" t="s">
        <v>1258</v>
      </c>
      <c r="B1414" t="s">
        <v>11</v>
      </c>
      <c r="C1414" t="s">
        <v>39</v>
      </c>
    </row>
    <row r="1415" spans="1:3" x14ac:dyDescent="0.25">
      <c r="A1415" t="s">
        <v>1258</v>
      </c>
      <c r="B1415" t="s">
        <v>13</v>
      </c>
      <c r="C1415" t="s">
        <v>40</v>
      </c>
    </row>
    <row r="1416" spans="1:3" x14ac:dyDescent="0.25">
      <c r="A1416" t="s">
        <v>1258</v>
      </c>
      <c r="B1416" t="s">
        <v>15</v>
      </c>
      <c r="C1416" t="s">
        <v>323</v>
      </c>
    </row>
    <row r="1417" spans="1:3" x14ac:dyDescent="0.25">
      <c r="A1417" t="s">
        <v>1258</v>
      </c>
      <c r="B1417" t="s">
        <v>17</v>
      </c>
      <c r="C1417" t="s">
        <v>872</v>
      </c>
    </row>
    <row r="1418" spans="1:3" x14ac:dyDescent="0.25">
      <c r="A1418" t="s">
        <v>1258</v>
      </c>
      <c r="B1418" t="s">
        <v>19</v>
      </c>
      <c r="C1418" t="s">
        <v>873</v>
      </c>
    </row>
    <row r="1419" spans="1:3" x14ac:dyDescent="0.25">
      <c r="A1419" t="s">
        <v>1258</v>
      </c>
      <c r="B1419" t="s">
        <v>21</v>
      </c>
      <c r="C1419" t="s">
        <v>874</v>
      </c>
    </row>
    <row r="1420" spans="1:3" x14ac:dyDescent="0.25">
      <c r="A1420" t="s">
        <v>1258</v>
      </c>
      <c r="B1420" t="s">
        <v>23</v>
      </c>
      <c r="C1420" t="s">
        <v>251</v>
      </c>
    </row>
    <row r="1421" spans="1:3" x14ac:dyDescent="0.25">
      <c r="A1421" t="s">
        <v>1258</v>
      </c>
      <c r="B1421" t="s">
        <v>25</v>
      </c>
      <c r="C1421" t="s">
        <v>381</v>
      </c>
    </row>
    <row r="1422" spans="1:3" x14ac:dyDescent="0.25">
      <c r="A1422" t="s">
        <v>1258</v>
      </c>
      <c r="B1422" t="s">
        <v>27</v>
      </c>
      <c r="C1422" t="s">
        <v>229</v>
      </c>
    </row>
    <row r="1423" spans="1:3" x14ac:dyDescent="0.25">
      <c r="A1423" t="s">
        <v>1258</v>
      </c>
      <c r="B1423" t="s">
        <v>29</v>
      </c>
      <c r="C1423" t="s">
        <v>174</v>
      </c>
    </row>
    <row r="1424" spans="1:3" x14ac:dyDescent="0.25">
      <c r="A1424" t="s">
        <v>1258</v>
      </c>
      <c r="B1424" t="s">
        <v>31</v>
      </c>
      <c r="C1424" t="s">
        <v>278</v>
      </c>
    </row>
    <row r="1425" spans="1:3" x14ac:dyDescent="0.25">
      <c r="A1425" t="s">
        <v>1258</v>
      </c>
      <c r="B1425" t="s">
        <v>33</v>
      </c>
      <c r="C1425" t="s">
        <v>875</v>
      </c>
    </row>
    <row r="1426" spans="1:3" x14ac:dyDescent="0.25">
      <c r="A1426" t="s">
        <v>1259</v>
      </c>
      <c r="B1426" t="s">
        <v>3</v>
      </c>
      <c r="C1426" t="s">
        <v>280</v>
      </c>
    </row>
    <row r="1427" spans="1:3" x14ac:dyDescent="0.25">
      <c r="A1427" t="s">
        <v>1259</v>
      </c>
      <c r="B1427" t="s">
        <v>5</v>
      </c>
      <c r="C1427" t="s">
        <v>439</v>
      </c>
    </row>
    <row r="1428" spans="1:3" x14ac:dyDescent="0.25">
      <c r="A1428" t="s">
        <v>1259</v>
      </c>
      <c r="B1428" t="s">
        <v>7</v>
      </c>
      <c r="C1428" t="s">
        <v>417</v>
      </c>
    </row>
    <row r="1429" spans="1:3" x14ac:dyDescent="0.25">
      <c r="A1429" t="s">
        <v>1259</v>
      </c>
      <c r="B1429" t="s">
        <v>9</v>
      </c>
      <c r="C1429" t="s">
        <v>876</v>
      </c>
    </row>
    <row r="1430" spans="1:3" x14ac:dyDescent="0.25">
      <c r="A1430" t="s">
        <v>1259</v>
      </c>
      <c r="B1430" t="s">
        <v>11</v>
      </c>
      <c r="C1430" t="s">
        <v>222</v>
      </c>
    </row>
    <row r="1431" spans="1:3" x14ac:dyDescent="0.25">
      <c r="A1431" t="s">
        <v>1259</v>
      </c>
      <c r="B1431" t="s">
        <v>13</v>
      </c>
      <c r="C1431" t="s">
        <v>14</v>
      </c>
    </row>
    <row r="1432" spans="1:3" x14ac:dyDescent="0.25">
      <c r="A1432" t="s">
        <v>1259</v>
      </c>
      <c r="B1432" t="s">
        <v>15</v>
      </c>
      <c r="C1432" t="s">
        <v>838</v>
      </c>
    </row>
    <row r="1433" spans="1:3" x14ac:dyDescent="0.25">
      <c r="A1433" t="s">
        <v>1259</v>
      </c>
      <c r="B1433" t="s">
        <v>17</v>
      </c>
      <c r="C1433" t="s">
        <v>877</v>
      </c>
    </row>
    <row r="1434" spans="1:3" x14ac:dyDescent="0.25">
      <c r="A1434" t="s">
        <v>1259</v>
      </c>
      <c r="B1434" t="s">
        <v>19</v>
      </c>
      <c r="C1434" t="s">
        <v>733</v>
      </c>
    </row>
    <row r="1435" spans="1:3" x14ac:dyDescent="0.25">
      <c r="A1435" t="s">
        <v>1259</v>
      </c>
      <c r="B1435" t="s">
        <v>21</v>
      </c>
      <c r="C1435" t="s">
        <v>878</v>
      </c>
    </row>
    <row r="1436" spans="1:3" x14ac:dyDescent="0.25">
      <c r="A1436" t="s">
        <v>1259</v>
      </c>
      <c r="B1436" t="s">
        <v>23</v>
      </c>
      <c r="C1436" t="s">
        <v>879</v>
      </c>
    </row>
    <row r="1437" spans="1:3" x14ac:dyDescent="0.25">
      <c r="A1437" t="s">
        <v>1259</v>
      </c>
      <c r="B1437" t="s">
        <v>25</v>
      </c>
      <c r="C1437" t="s">
        <v>290</v>
      </c>
    </row>
    <row r="1438" spans="1:3" x14ac:dyDescent="0.25">
      <c r="A1438" t="s">
        <v>1259</v>
      </c>
      <c r="B1438" t="s">
        <v>27</v>
      </c>
      <c r="C1438" t="s">
        <v>880</v>
      </c>
    </row>
    <row r="1439" spans="1:3" x14ac:dyDescent="0.25">
      <c r="A1439" t="s">
        <v>1259</v>
      </c>
      <c r="B1439" t="s">
        <v>29</v>
      </c>
      <c r="C1439" t="s">
        <v>58</v>
      </c>
    </row>
    <row r="1440" spans="1:3" x14ac:dyDescent="0.25">
      <c r="A1440" t="s">
        <v>1259</v>
      </c>
      <c r="B1440" t="s">
        <v>31</v>
      </c>
      <c r="C1440" t="s">
        <v>881</v>
      </c>
    </row>
    <row r="1441" spans="1:3" x14ac:dyDescent="0.25">
      <c r="A1441" t="s">
        <v>1259</v>
      </c>
      <c r="B1441" t="s">
        <v>33</v>
      </c>
      <c r="C1441" t="s">
        <v>645</v>
      </c>
    </row>
    <row r="1442" spans="1:3" x14ac:dyDescent="0.25">
      <c r="A1442" t="s">
        <v>1208</v>
      </c>
      <c r="B1442" t="s">
        <v>3</v>
      </c>
      <c r="C1442" t="s">
        <v>593</v>
      </c>
    </row>
    <row r="1443" spans="1:3" x14ac:dyDescent="0.25">
      <c r="A1443" t="s">
        <v>1208</v>
      </c>
      <c r="B1443" t="s">
        <v>5</v>
      </c>
      <c r="C1443" t="s">
        <v>684</v>
      </c>
    </row>
    <row r="1444" spans="1:3" x14ac:dyDescent="0.25">
      <c r="A1444" t="s">
        <v>1208</v>
      </c>
      <c r="B1444" t="s">
        <v>7</v>
      </c>
      <c r="C1444" t="s">
        <v>631</v>
      </c>
    </row>
    <row r="1445" spans="1:3" x14ac:dyDescent="0.25">
      <c r="A1445" t="s">
        <v>1208</v>
      </c>
      <c r="B1445" t="s">
        <v>9</v>
      </c>
      <c r="C1445" t="s">
        <v>882</v>
      </c>
    </row>
    <row r="1446" spans="1:3" x14ac:dyDescent="0.25">
      <c r="A1446" t="s">
        <v>1208</v>
      </c>
      <c r="B1446" t="s">
        <v>11</v>
      </c>
      <c r="C1446" t="s">
        <v>40</v>
      </c>
    </row>
    <row r="1447" spans="1:3" x14ac:dyDescent="0.25">
      <c r="A1447" t="s">
        <v>1208</v>
      </c>
      <c r="B1447" t="s">
        <v>13</v>
      </c>
      <c r="C1447" t="s">
        <v>51</v>
      </c>
    </row>
    <row r="1448" spans="1:3" x14ac:dyDescent="0.25">
      <c r="A1448" t="s">
        <v>1208</v>
      </c>
      <c r="B1448" t="s">
        <v>15</v>
      </c>
      <c r="C1448" t="s">
        <v>883</v>
      </c>
    </row>
    <row r="1449" spans="1:3" x14ac:dyDescent="0.25">
      <c r="A1449" t="s">
        <v>1208</v>
      </c>
      <c r="B1449" t="s">
        <v>17</v>
      </c>
      <c r="C1449" t="s">
        <v>884</v>
      </c>
    </row>
    <row r="1450" spans="1:3" x14ac:dyDescent="0.25">
      <c r="A1450" t="s">
        <v>1208</v>
      </c>
      <c r="B1450" t="s">
        <v>19</v>
      </c>
      <c r="C1450" t="s">
        <v>676</v>
      </c>
    </row>
    <row r="1451" spans="1:3" x14ac:dyDescent="0.25">
      <c r="A1451" t="s">
        <v>1208</v>
      </c>
      <c r="B1451" t="s">
        <v>21</v>
      </c>
      <c r="C1451" t="s">
        <v>197</v>
      </c>
    </row>
    <row r="1452" spans="1:3" x14ac:dyDescent="0.25">
      <c r="A1452" t="s">
        <v>1208</v>
      </c>
      <c r="B1452" t="s">
        <v>23</v>
      </c>
      <c r="C1452" t="s">
        <v>885</v>
      </c>
    </row>
    <row r="1453" spans="1:3" x14ac:dyDescent="0.25">
      <c r="A1453" t="s">
        <v>1208</v>
      </c>
      <c r="B1453" t="s">
        <v>25</v>
      </c>
      <c r="C1453" t="s">
        <v>524</v>
      </c>
    </row>
    <row r="1454" spans="1:3" x14ac:dyDescent="0.25">
      <c r="A1454" t="s">
        <v>1208</v>
      </c>
      <c r="B1454" t="s">
        <v>27</v>
      </c>
      <c r="C1454" t="s">
        <v>413</v>
      </c>
    </row>
    <row r="1455" spans="1:3" x14ac:dyDescent="0.25">
      <c r="A1455" t="s">
        <v>1208</v>
      </c>
      <c r="B1455" t="s">
        <v>29</v>
      </c>
      <c r="C1455" t="s">
        <v>414</v>
      </c>
    </row>
    <row r="1456" spans="1:3" x14ac:dyDescent="0.25">
      <c r="A1456" t="s">
        <v>1208</v>
      </c>
      <c r="B1456" t="s">
        <v>31</v>
      </c>
      <c r="C1456" t="s">
        <v>886</v>
      </c>
    </row>
    <row r="1457" spans="1:3" x14ac:dyDescent="0.25">
      <c r="A1457" t="s">
        <v>1208</v>
      </c>
      <c r="B1457" t="s">
        <v>33</v>
      </c>
      <c r="C1457" t="s">
        <v>34</v>
      </c>
    </row>
    <row r="1458" spans="1:3" x14ac:dyDescent="0.25">
      <c r="A1458" t="s">
        <v>1239</v>
      </c>
      <c r="B1458" t="s">
        <v>134</v>
      </c>
      <c r="C1458" t="s">
        <v>165</v>
      </c>
    </row>
    <row r="1459" spans="1:3" x14ac:dyDescent="0.25">
      <c r="A1459" t="s">
        <v>1239</v>
      </c>
      <c r="B1459" t="s">
        <v>136</v>
      </c>
      <c r="C1459" t="s">
        <v>178</v>
      </c>
    </row>
    <row r="1460" spans="1:3" x14ac:dyDescent="0.25">
      <c r="A1460" t="s">
        <v>1239</v>
      </c>
      <c r="B1460" t="s">
        <v>7</v>
      </c>
      <c r="C1460" t="s">
        <v>63</v>
      </c>
    </row>
    <row r="1461" spans="1:3" x14ac:dyDescent="0.25">
      <c r="A1461" t="s">
        <v>1239</v>
      </c>
      <c r="B1461" t="s">
        <v>139</v>
      </c>
      <c r="C1461" t="s">
        <v>588</v>
      </c>
    </row>
    <row r="1462" spans="1:3" x14ac:dyDescent="0.25">
      <c r="A1462" t="s">
        <v>1239</v>
      </c>
      <c r="B1462" t="s">
        <v>141</v>
      </c>
      <c r="C1462" t="s">
        <v>167</v>
      </c>
    </row>
    <row r="1463" spans="1:3" x14ac:dyDescent="0.25">
      <c r="A1463" t="s">
        <v>1239</v>
      </c>
      <c r="B1463" t="s">
        <v>143</v>
      </c>
      <c r="C1463" t="s">
        <v>14</v>
      </c>
    </row>
    <row r="1464" spans="1:3" x14ac:dyDescent="0.25">
      <c r="A1464" t="s">
        <v>1239</v>
      </c>
      <c r="B1464" t="s">
        <v>144</v>
      </c>
      <c r="C1464" t="s">
        <v>848</v>
      </c>
    </row>
    <row r="1465" spans="1:3" x14ac:dyDescent="0.25">
      <c r="A1465" t="s">
        <v>1239</v>
      </c>
      <c r="B1465" t="s">
        <v>146</v>
      </c>
      <c r="C1465" t="s">
        <v>750</v>
      </c>
    </row>
    <row r="1466" spans="1:3" x14ac:dyDescent="0.25">
      <c r="A1466" t="s">
        <v>1239</v>
      </c>
      <c r="B1466" t="s">
        <v>148</v>
      </c>
      <c r="C1466" t="s">
        <v>887</v>
      </c>
    </row>
    <row r="1467" spans="1:3" x14ac:dyDescent="0.25">
      <c r="A1467" t="s">
        <v>1239</v>
      </c>
      <c r="B1467" t="s">
        <v>150</v>
      </c>
      <c r="C1467" t="s">
        <v>888</v>
      </c>
    </row>
    <row r="1468" spans="1:3" x14ac:dyDescent="0.25">
      <c r="A1468" t="s">
        <v>1239</v>
      </c>
      <c r="B1468" t="s">
        <v>152</v>
      </c>
      <c r="C1468" t="s">
        <v>889</v>
      </c>
    </row>
    <row r="1469" spans="1:3" x14ac:dyDescent="0.25">
      <c r="A1469" t="s">
        <v>1239</v>
      </c>
      <c r="B1469" t="s">
        <v>154</v>
      </c>
      <c r="C1469" t="s">
        <v>188</v>
      </c>
    </row>
    <row r="1470" spans="1:3" x14ac:dyDescent="0.25">
      <c r="A1470" t="s">
        <v>1239</v>
      </c>
      <c r="B1470" t="s">
        <v>27</v>
      </c>
      <c r="C1470" t="s">
        <v>328</v>
      </c>
    </row>
    <row r="1471" spans="1:3" x14ac:dyDescent="0.25">
      <c r="A1471" t="s">
        <v>1239</v>
      </c>
      <c r="B1471" t="s">
        <v>157</v>
      </c>
      <c r="C1471" t="s">
        <v>88</v>
      </c>
    </row>
    <row r="1472" spans="1:3" x14ac:dyDescent="0.25">
      <c r="A1472" t="s">
        <v>1239</v>
      </c>
      <c r="B1472" t="s">
        <v>159</v>
      </c>
      <c r="C1472" t="s">
        <v>890</v>
      </c>
    </row>
    <row r="1473" spans="1:3" x14ac:dyDescent="0.25">
      <c r="A1473" t="s">
        <v>1239</v>
      </c>
      <c r="B1473" t="s">
        <v>161</v>
      </c>
      <c r="C1473" t="s">
        <v>537</v>
      </c>
    </row>
    <row r="1474" spans="1:3" x14ac:dyDescent="0.25">
      <c r="A1474" t="s">
        <v>1260</v>
      </c>
      <c r="B1474" t="s">
        <v>3</v>
      </c>
      <c r="C1474" t="s">
        <v>836</v>
      </c>
    </row>
    <row r="1475" spans="1:3" x14ac:dyDescent="0.25">
      <c r="A1475" t="s">
        <v>1260</v>
      </c>
      <c r="B1475" t="s">
        <v>5</v>
      </c>
      <c r="C1475" t="s">
        <v>178</v>
      </c>
    </row>
    <row r="1476" spans="1:3" x14ac:dyDescent="0.25">
      <c r="A1476" t="s">
        <v>1260</v>
      </c>
      <c r="B1476" t="s">
        <v>7</v>
      </c>
      <c r="C1476" t="s">
        <v>417</v>
      </c>
    </row>
    <row r="1477" spans="1:3" x14ac:dyDescent="0.25">
      <c r="A1477" t="s">
        <v>1260</v>
      </c>
      <c r="B1477" t="s">
        <v>9</v>
      </c>
      <c r="C1477" t="s">
        <v>891</v>
      </c>
    </row>
    <row r="1478" spans="1:3" x14ac:dyDescent="0.25">
      <c r="A1478" t="s">
        <v>1260</v>
      </c>
      <c r="B1478" t="s">
        <v>11</v>
      </c>
      <c r="C1478" t="s">
        <v>270</v>
      </c>
    </row>
    <row r="1479" spans="1:3" x14ac:dyDescent="0.25">
      <c r="A1479" t="s">
        <v>1260</v>
      </c>
      <c r="B1479" t="s">
        <v>13</v>
      </c>
      <c r="C1479" t="s">
        <v>109</v>
      </c>
    </row>
    <row r="1480" spans="1:3" x14ac:dyDescent="0.25">
      <c r="A1480" t="s">
        <v>1260</v>
      </c>
      <c r="B1480" t="s">
        <v>15</v>
      </c>
      <c r="C1480" t="s">
        <v>892</v>
      </c>
    </row>
    <row r="1481" spans="1:3" x14ac:dyDescent="0.25">
      <c r="A1481" t="s">
        <v>1260</v>
      </c>
      <c r="B1481" t="s">
        <v>17</v>
      </c>
      <c r="C1481" t="s">
        <v>893</v>
      </c>
    </row>
    <row r="1482" spans="1:3" x14ac:dyDescent="0.25">
      <c r="A1482" t="s">
        <v>1260</v>
      </c>
      <c r="B1482" t="s">
        <v>19</v>
      </c>
      <c r="C1482" t="s">
        <v>894</v>
      </c>
    </row>
    <row r="1483" spans="1:3" x14ac:dyDescent="0.25">
      <c r="A1483" t="s">
        <v>1260</v>
      </c>
      <c r="B1483" t="s">
        <v>21</v>
      </c>
      <c r="C1483" t="s">
        <v>560</v>
      </c>
    </row>
    <row r="1484" spans="1:3" x14ac:dyDescent="0.25">
      <c r="A1484" t="s">
        <v>1260</v>
      </c>
      <c r="B1484" t="s">
        <v>23</v>
      </c>
      <c r="C1484" t="s">
        <v>821</v>
      </c>
    </row>
    <row r="1485" spans="1:3" x14ac:dyDescent="0.25">
      <c r="A1485" t="s">
        <v>1260</v>
      </c>
      <c r="B1485" t="s">
        <v>25</v>
      </c>
      <c r="C1485" t="s">
        <v>450</v>
      </c>
    </row>
    <row r="1486" spans="1:3" x14ac:dyDescent="0.25">
      <c r="A1486" t="s">
        <v>1260</v>
      </c>
      <c r="B1486" t="s">
        <v>27</v>
      </c>
      <c r="C1486" t="s">
        <v>73</v>
      </c>
    </row>
    <row r="1487" spans="1:3" x14ac:dyDescent="0.25">
      <c r="A1487" t="s">
        <v>1260</v>
      </c>
      <c r="B1487" t="s">
        <v>29</v>
      </c>
      <c r="C1487" t="s">
        <v>360</v>
      </c>
    </row>
    <row r="1488" spans="1:3" x14ac:dyDescent="0.25">
      <c r="A1488" t="s">
        <v>1260</v>
      </c>
      <c r="B1488" t="s">
        <v>31</v>
      </c>
      <c r="C1488" t="s">
        <v>287</v>
      </c>
    </row>
    <row r="1489" spans="1:3" x14ac:dyDescent="0.25">
      <c r="A1489" t="s">
        <v>1260</v>
      </c>
      <c r="B1489" t="s">
        <v>33</v>
      </c>
      <c r="C1489" t="s">
        <v>34</v>
      </c>
    </row>
    <row r="1490" spans="1:3" x14ac:dyDescent="0.25">
      <c r="A1490" t="s">
        <v>1261</v>
      </c>
      <c r="B1490" t="s">
        <v>134</v>
      </c>
      <c r="C1490" t="s">
        <v>218</v>
      </c>
    </row>
    <row r="1491" spans="1:3" x14ac:dyDescent="0.25">
      <c r="A1491" t="s">
        <v>1261</v>
      </c>
      <c r="B1491" t="s">
        <v>136</v>
      </c>
      <c r="C1491" t="s">
        <v>895</v>
      </c>
    </row>
    <row r="1492" spans="1:3" x14ac:dyDescent="0.25">
      <c r="A1492" t="s">
        <v>1261</v>
      </c>
      <c r="B1492" t="s">
        <v>7</v>
      </c>
      <c r="C1492" t="s">
        <v>498</v>
      </c>
    </row>
    <row r="1493" spans="1:3" x14ac:dyDescent="0.25">
      <c r="A1493" t="s">
        <v>1261</v>
      </c>
      <c r="B1493" t="s">
        <v>139</v>
      </c>
      <c r="C1493" t="s">
        <v>896</v>
      </c>
    </row>
    <row r="1494" spans="1:3" x14ac:dyDescent="0.25">
      <c r="A1494" t="s">
        <v>1261</v>
      </c>
      <c r="B1494" t="s">
        <v>141</v>
      </c>
      <c r="C1494" t="s">
        <v>607</v>
      </c>
    </row>
    <row r="1495" spans="1:3" x14ac:dyDescent="0.25">
      <c r="A1495" t="s">
        <v>1261</v>
      </c>
      <c r="B1495" t="s">
        <v>143</v>
      </c>
      <c r="C1495" t="s">
        <v>897</v>
      </c>
    </row>
    <row r="1496" spans="1:3" x14ac:dyDescent="0.25">
      <c r="A1496" t="s">
        <v>1261</v>
      </c>
      <c r="B1496" t="s">
        <v>144</v>
      </c>
      <c r="C1496" t="s">
        <v>714</v>
      </c>
    </row>
    <row r="1497" spans="1:3" x14ac:dyDescent="0.25">
      <c r="A1497" t="s">
        <v>1261</v>
      </c>
      <c r="B1497" t="s">
        <v>146</v>
      </c>
      <c r="C1497" t="s">
        <v>898</v>
      </c>
    </row>
    <row r="1498" spans="1:3" x14ac:dyDescent="0.25">
      <c r="A1498" t="s">
        <v>1261</v>
      </c>
      <c r="B1498" t="s">
        <v>148</v>
      </c>
      <c r="C1498" t="s">
        <v>325</v>
      </c>
    </row>
    <row r="1499" spans="1:3" x14ac:dyDescent="0.25">
      <c r="A1499" t="s">
        <v>1261</v>
      </c>
      <c r="B1499" t="s">
        <v>150</v>
      </c>
      <c r="C1499" t="s">
        <v>275</v>
      </c>
    </row>
    <row r="1500" spans="1:3" x14ac:dyDescent="0.25">
      <c r="A1500" t="s">
        <v>1261</v>
      </c>
      <c r="B1500" t="s">
        <v>152</v>
      </c>
      <c r="C1500" t="s">
        <v>899</v>
      </c>
    </row>
    <row r="1501" spans="1:3" x14ac:dyDescent="0.25">
      <c r="A1501" t="s">
        <v>1261</v>
      </c>
      <c r="B1501" t="s">
        <v>154</v>
      </c>
      <c r="C1501" t="s">
        <v>900</v>
      </c>
    </row>
    <row r="1502" spans="1:3" x14ac:dyDescent="0.25">
      <c r="A1502" t="s">
        <v>1261</v>
      </c>
      <c r="B1502" t="s">
        <v>27</v>
      </c>
      <c r="C1502" t="s">
        <v>460</v>
      </c>
    </row>
    <row r="1503" spans="1:3" x14ac:dyDescent="0.25">
      <c r="A1503" t="s">
        <v>1261</v>
      </c>
      <c r="B1503" t="s">
        <v>157</v>
      </c>
      <c r="C1503" t="s">
        <v>482</v>
      </c>
    </row>
    <row r="1504" spans="1:3" x14ac:dyDescent="0.25">
      <c r="A1504" t="s">
        <v>1261</v>
      </c>
      <c r="B1504" t="s">
        <v>159</v>
      </c>
      <c r="C1504" t="s">
        <v>716</v>
      </c>
    </row>
    <row r="1505" spans="1:3" x14ac:dyDescent="0.25">
      <c r="A1505" t="s">
        <v>1261</v>
      </c>
      <c r="B1505" t="s">
        <v>161</v>
      </c>
      <c r="C1505" t="s">
        <v>901</v>
      </c>
    </row>
    <row r="1506" spans="1:3" x14ac:dyDescent="0.25">
      <c r="A1506" t="s">
        <v>1262</v>
      </c>
      <c r="B1506" t="s">
        <v>3</v>
      </c>
      <c r="C1506" t="s">
        <v>163</v>
      </c>
    </row>
    <row r="1507" spans="1:3" x14ac:dyDescent="0.25">
      <c r="A1507" t="s">
        <v>1262</v>
      </c>
      <c r="B1507" t="s">
        <v>5</v>
      </c>
      <c r="C1507" t="s">
        <v>902</v>
      </c>
    </row>
    <row r="1508" spans="1:3" x14ac:dyDescent="0.25">
      <c r="A1508" t="s">
        <v>1262</v>
      </c>
      <c r="B1508" t="s">
        <v>7</v>
      </c>
      <c r="C1508" t="s">
        <v>903</v>
      </c>
    </row>
    <row r="1509" spans="1:3" x14ac:dyDescent="0.25">
      <c r="A1509" t="s">
        <v>1262</v>
      </c>
      <c r="B1509" t="s">
        <v>9</v>
      </c>
      <c r="C1509" t="s">
        <v>904</v>
      </c>
    </row>
    <row r="1510" spans="1:3" x14ac:dyDescent="0.25">
      <c r="A1510" t="s">
        <v>1262</v>
      </c>
      <c r="B1510" t="s">
        <v>11</v>
      </c>
      <c r="C1510" t="s">
        <v>40</v>
      </c>
    </row>
    <row r="1511" spans="1:3" x14ac:dyDescent="0.25">
      <c r="A1511" t="s">
        <v>1262</v>
      </c>
      <c r="B1511" t="s">
        <v>13</v>
      </c>
      <c r="C1511" t="s">
        <v>167</v>
      </c>
    </row>
    <row r="1512" spans="1:3" x14ac:dyDescent="0.25">
      <c r="A1512" t="s">
        <v>1262</v>
      </c>
      <c r="B1512" t="s">
        <v>15</v>
      </c>
      <c r="C1512" t="s">
        <v>594</v>
      </c>
    </row>
    <row r="1513" spans="1:3" x14ac:dyDescent="0.25">
      <c r="A1513" t="s">
        <v>1262</v>
      </c>
      <c r="B1513" t="s">
        <v>17</v>
      </c>
      <c r="C1513" t="s">
        <v>905</v>
      </c>
    </row>
    <row r="1514" spans="1:3" x14ac:dyDescent="0.25">
      <c r="A1514" t="s">
        <v>1262</v>
      </c>
      <c r="B1514" t="s">
        <v>19</v>
      </c>
      <c r="C1514" t="s">
        <v>906</v>
      </c>
    </row>
    <row r="1515" spans="1:3" x14ac:dyDescent="0.25">
      <c r="A1515" t="s">
        <v>1262</v>
      </c>
      <c r="B1515" t="s">
        <v>21</v>
      </c>
      <c r="C1515" t="s">
        <v>619</v>
      </c>
    </row>
    <row r="1516" spans="1:3" x14ac:dyDescent="0.25">
      <c r="A1516" t="s">
        <v>1262</v>
      </c>
      <c r="B1516" t="s">
        <v>23</v>
      </c>
      <c r="C1516" t="s">
        <v>907</v>
      </c>
    </row>
    <row r="1517" spans="1:3" x14ac:dyDescent="0.25">
      <c r="A1517" t="s">
        <v>1262</v>
      </c>
      <c r="B1517" t="s">
        <v>25</v>
      </c>
      <c r="C1517" t="s">
        <v>572</v>
      </c>
    </row>
    <row r="1518" spans="1:3" x14ac:dyDescent="0.25">
      <c r="A1518" t="s">
        <v>1262</v>
      </c>
      <c r="B1518" t="s">
        <v>27</v>
      </c>
      <c r="C1518" t="s">
        <v>908</v>
      </c>
    </row>
    <row r="1519" spans="1:3" x14ac:dyDescent="0.25">
      <c r="A1519" t="s">
        <v>1262</v>
      </c>
      <c r="B1519" t="s">
        <v>29</v>
      </c>
      <c r="C1519" t="s">
        <v>174</v>
      </c>
    </row>
    <row r="1520" spans="1:3" x14ac:dyDescent="0.25">
      <c r="A1520" t="s">
        <v>1262</v>
      </c>
      <c r="B1520" t="s">
        <v>31</v>
      </c>
      <c r="C1520" t="s">
        <v>909</v>
      </c>
    </row>
    <row r="1521" spans="1:3" x14ac:dyDescent="0.25">
      <c r="A1521" t="s">
        <v>1262</v>
      </c>
      <c r="B1521" t="s">
        <v>33</v>
      </c>
      <c r="C1521" t="s">
        <v>176</v>
      </c>
    </row>
    <row r="1522" spans="1:3" x14ac:dyDescent="0.25">
      <c r="A1522" t="s">
        <v>1263</v>
      </c>
      <c r="B1522" t="s">
        <v>134</v>
      </c>
      <c r="C1522" t="s">
        <v>309</v>
      </c>
    </row>
    <row r="1523" spans="1:3" x14ac:dyDescent="0.25">
      <c r="A1523" t="s">
        <v>1263</v>
      </c>
      <c r="B1523" t="s">
        <v>136</v>
      </c>
      <c r="C1523" t="s">
        <v>910</v>
      </c>
    </row>
    <row r="1524" spans="1:3" x14ac:dyDescent="0.25">
      <c r="A1524" t="s">
        <v>1263</v>
      </c>
      <c r="B1524" t="s">
        <v>7</v>
      </c>
      <c r="C1524" t="s">
        <v>47</v>
      </c>
    </row>
    <row r="1525" spans="1:3" x14ac:dyDescent="0.25">
      <c r="A1525" t="s">
        <v>1263</v>
      </c>
      <c r="B1525" t="s">
        <v>139</v>
      </c>
      <c r="C1525" t="s">
        <v>911</v>
      </c>
    </row>
    <row r="1526" spans="1:3" x14ac:dyDescent="0.25">
      <c r="A1526" t="s">
        <v>1263</v>
      </c>
      <c r="B1526" t="s">
        <v>141</v>
      </c>
      <c r="C1526" t="s">
        <v>108</v>
      </c>
    </row>
    <row r="1527" spans="1:3" x14ac:dyDescent="0.25">
      <c r="A1527" t="s">
        <v>1263</v>
      </c>
      <c r="B1527" t="s">
        <v>143</v>
      </c>
      <c r="C1527" t="s">
        <v>167</v>
      </c>
    </row>
    <row r="1528" spans="1:3" x14ac:dyDescent="0.25">
      <c r="A1528" t="s">
        <v>1263</v>
      </c>
      <c r="B1528" t="s">
        <v>144</v>
      </c>
      <c r="C1528" t="s">
        <v>376</v>
      </c>
    </row>
    <row r="1529" spans="1:3" x14ac:dyDescent="0.25">
      <c r="A1529" t="s">
        <v>1263</v>
      </c>
      <c r="B1529" t="s">
        <v>146</v>
      </c>
      <c r="C1529" t="s">
        <v>912</v>
      </c>
    </row>
    <row r="1530" spans="1:3" x14ac:dyDescent="0.25">
      <c r="A1530" t="s">
        <v>1263</v>
      </c>
      <c r="B1530" t="s">
        <v>148</v>
      </c>
      <c r="C1530" t="s">
        <v>812</v>
      </c>
    </row>
    <row r="1531" spans="1:3" x14ac:dyDescent="0.25">
      <c r="A1531" t="s">
        <v>1263</v>
      </c>
      <c r="B1531" t="s">
        <v>150</v>
      </c>
      <c r="C1531" t="s">
        <v>511</v>
      </c>
    </row>
    <row r="1532" spans="1:3" x14ac:dyDescent="0.25">
      <c r="A1532" t="s">
        <v>1263</v>
      </c>
      <c r="B1532" t="s">
        <v>152</v>
      </c>
      <c r="C1532" t="s">
        <v>913</v>
      </c>
    </row>
    <row r="1533" spans="1:3" x14ac:dyDescent="0.25">
      <c r="A1533" t="s">
        <v>1263</v>
      </c>
      <c r="B1533" t="s">
        <v>154</v>
      </c>
      <c r="C1533" t="s">
        <v>494</v>
      </c>
    </row>
    <row r="1534" spans="1:3" x14ac:dyDescent="0.25">
      <c r="A1534" t="s">
        <v>1263</v>
      </c>
      <c r="B1534" t="s">
        <v>27</v>
      </c>
      <c r="C1534" t="s">
        <v>914</v>
      </c>
    </row>
    <row r="1535" spans="1:3" x14ac:dyDescent="0.25">
      <c r="A1535" t="s">
        <v>1263</v>
      </c>
      <c r="B1535" t="s">
        <v>157</v>
      </c>
      <c r="C1535" t="s">
        <v>200</v>
      </c>
    </row>
    <row r="1536" spans="1:3" x14ac:dyDescent="0.25">
      <c r="A1536" t="s">
        <v>1263</v>
      </c>
      <c r="B1536" t="s">
        <v>159</v>
      </c>
      <c r="C1536" t="s">
        <v>160</v>
      </c>
    </row>
    <row r="1537" spans="1:3" x14ac:dyDescent="0.25">
      <c r="A1537" t="s">
        <v>1263</v>
      </c>
      <c r="B1537" t="s">
        <v>161</v>
      </c>
      <c r="C1537" t="s">
        <v>718</v>
      </c>
    </row>
    <row r="1538" spans="1:3" x14ac:dyDescent="0.25">
      <c r="A1538" t="s">
        <v>1264</v>
      </c>
      <c r="B1538" t="s">
        <v>3</v>
      </c>
      <c r="C1538" t="s">
        <v>517</v>
      </c>
    </row>
    <row r="1539" spans="1:3" x14ac:dyDescent="0.25">
      <c r="A1539" t="s">
        <v>1264</v>
      </c>
      <c r="B1539" t="s">
        <v>5</v>
      </c>
      <c r="C1539" t="s">
        <v>915</v>
      </c>
    </row>
    <row r="1540" spans="1:3" x14ac:dyDescent="0.25">
      <c r="A1540" t="s">
        <v>1264</v>
      </c>
      <c r="B1540" t="s">
        <v>7</v>
      </c>
      <c r="C1540" t="s">
        <v>190</v>
      </c>
    </row>
    <row r="1541" spans="1:3" x14ac:dyDescent="0.25">
      <c r="A1541" t="s">
        <v>1264</v>
      </c>
      <c r="B1541" t="s">
        <v>9</v>
      </c>
      <c r="C1541" t="s">
        <v>916</v>
      </c>
    </row>
    <row r="1542" spans="1:3" x14ac:dyDescent="0.25">
      <c r="A1542" t="s">
        <v>1264</v>
      </c>
      <c r="B1542" t="s">
        <v>11</v>
      </c>
      <c r="C1542" t="s">
        <v>52</v>
      </c>
    </row>
    <row r="1543" spans="1:3" x14ac:dyDescent="0.25">
      <c r="A1543" t="s">
        <v>1264</v>
      </c>
      <c r="B1543" t="s">
        <v>13</v>
      </c>
      <c r="C1543" t="s">
        <v>14</v>
      </c>
    </row>
    <row r="1544" spans="1:3" x14ac:dyDescent="0.25">
      <c r="A1544" t="s">
        <v>1264</v>
      </c>
      <c r="B1544" t="s">
        <v>15</v>
      </c>
      <c r="C1544" t="s">
        <v>467</v>
      </c>
    </row>
    <row r="1545" spans="1:3" x14ac:dyDescent="0.25">
      <c r="A1545" t="s">
        <v>1264</v>
      </c>
      <c r="B1545" t="s">
        <v>17</v>
      </c>
      <c r="C1545" t="s">
        <v>917</v>
      </c>
    </row>
    <row r="1546" spans="1:3" x14ac:dyDescent="0.25">
      <c r="A1546" t="s">
        <v>1264</v>
      </c>
      <c r="B1546" t="s">
        <v>19</v>
      </c>
      <c r="C1546" t="s">
        <v>479</v>
      </c>
    </row>
    <row r="1547" spans="1:3" x14ac:dyDescent="0.25">
      <c r="A1547" t="s">
        <v>1264</v>
      </c>
      <c r="B1547" t="s">
        <v>21</v>
      </c>
      <c r="C1547" t="s">
        <v>918</v>
      </c>
    </row>
    <row r="1548" spans="1:3" x14ac:dyDescent="0.25">
      <c r="A1548" t="s">
        <v>1264</v>
      </c>
      <c r="B1548" t="s">
        <v>23</v>
      </c>
      <c r="C1548" t="s">
        <v>919</v>
      </c>
    </row>
    <row r="1549" spans="1:3" x14ac:dyDescent="0.25">
      <c r="A1549" t="s">
        <v>1264</v>
      </c>
      <c r="B1549" t="s">
        <v>25</v>
      </c>
      <c r="C1549" t="s">
        <v>101</v>
      </c>
    </row>
    <row r="1550" spans="1:3" x14ac:dyDescent="0.25">
      <c r="A1550" t="s">
        <v>1264</v>
      </c>
      <c r="B1550" t="s">
        <v>27</v>
      </c>
      <c r="C1550" t="s">
        <v>552</v>
      </c>
    </row>
    <row r="1551" spans="1:3" x14ac:dyDescent="0.25">
      <c r="A1551" t="s">
        <v>1264</v>
      </c>
      <c r="B1551" t="s">
        <v>29</v>
      </c>
      <c r="C1551" t="s">
        <v>671</v>
      </c>
    </row>
    <row r="1552" spans="1:3" x14ac:dyDescent="0.25">
      <c r="A1552" t="s">
        <v>1264</v>
      </c>
      <c r="B1552" t="s">
        <v>31</v>
      </c>
      <c r="C1552" t="s">
        <v>483</v>
      </c>
    </row>
    <row r="1553" spans="1:3" x14ac:dyDescent="0.25">
      <c r="A1553" t="s">
        <v>1264</v>
      </c>
      <c r="B1553" t="s">
        <v>33</v>
      </c>
      <c r="C1553" t="s">
        <v>920</v>
      </c>
    </row>
    <row r="1554" spans="1:3" x14ac:dyDescent="0.25">
      <c r="A1554" t="s">
        <v>1265</v>
      </c>
      <c r="B1554" t="s">
        <v>3</v>
      </c>
      <c r="C1554" t="s">
        <v>445</v>
      </c>
    </row>
    <row r="1555" spans="1:3" x14ac:dyDescent="0.25">
      <c r="A1555" t="s">
        <v>1265</v>
      </c>
      <c r="B1555" t="s">
        <v>5</v>
      </c>
      <c r="C1555" t="s">
        <v>757</v>
      </c>
    </row>
    <row r="1556" spans="1:3" x14ac:dyDescent="0.25">
      <c r="A1556" t="s">
        <v>1265</v>
      </c>
      <c r="B1556" t="s">
        <v>7</v>
      </c>
      <c r="C1556" t="s">
        <v>453</v>
      </c>
    </row>
    <row r="1557" spans="1:3" x14ac:dyDescent="0.25">
      <c r="A1557" t="s">
        <v>1265</v>
      </c>
      <c r="B1557" t="s">
        <v>9</v>
      </c>
      <c r="C1557" t="s">
        <v>921</v>
      </c>
    </row>
    <row r="1558" spans="1:3" x14ac:dyDescent="0.25">
      <c r="A1558" t="s">
        <v>1265</v>
      </c>
      <c r="B1558" t="s">
        <v>11</v>
      </c>
      <c r="C1558" t="s">
        <v>52</v>
      </c>
    </row>
    <row r="1559" spans="1:3" x14ac:dyDescent="0.25">
      <c r="A1559" t="s">
        <v>1265</v>
      </c>
      <c r="B1559" t="s">
        <v>13</v>
      </c>
      <c r="C1559" t="s">
        <v>109</v>
      </c>
    </row>
    <row r="1560" spans="1:3" x14ac:dyDescent="0.25">
      <c r="A1560" t="s">
        <v>1265</v>
      </c>
      <c r="B1560" t="s">
        <v>15</v>
      </c>
      <c r="C1560" t="s">
        <v>594</v>
      </c>
    </row>
    <row r="1561" spans="1:3" x14ac:dyDescent="0.25">
      <c r="A1561" t="s">
        <v>1265</v>
      </c>
      <c r="B1561" t="s">
        <v>17</v>
      </c>
      <c r="C1561" t="s">
        <v>755</v>
      </c>
    </row>
    <row r="1562" spans="1:3" x14ac:dyDescent="0.25">
      <c r="A1562" t="s">
        <v>1265</v>
      </c>
      <c r="B1562" t="s">
        <v>19</v>
      </c>
      <c r="C1562" t="s">
        <v>922</v>
      </c>
    </row>
    <row r="1563" spans="1:3" x14ac:dyDescent="0.25">
      <c r="A1563" t="s">
        <v>1265</v>
      </c>
      <c r="B1563" t="s">
        <v>21</v>
      </c>
      <c r="C1563" t="s">
        <v>803</v>
      </c>
    </row>
    <row r="1564" spans="1:3" x14ac:dyDescent="0.25">
      <c r="A1564" t="s">
        <v>1265</v>
      </c>
      <c r="B1564" t="s">
        <v>23</v>
      </c>
      <c r="C1564" t="s">
        <v>923</v>
      </c>
    </row>
    <row r="1565" spans="1:3" x14ac:dyDescent="0.25">
      <c r="A1565" t="s">
        <v>1265</v>
      </c>
      <c r="B1565" t="s">
        <v>25</v>
      </c>
      <c r="C1565" t="s">
        <v>924</v>
      </c>
    </row>
    <row r="1566" spans="1:3" x14ac:dyDescent="0.25">
      <c r="A1566" t="s">
        <v>1265</v>
      </c>
      <c r="B1566" t="s">
        <v>27</v>
      </c>
      <c r="C1566" t="s">
        <v>925</v>
      </c>
    </row>
    <row r="1567" spans="1:3" x14ac:dyDescent="0.25">
      <c r="A1567" t="s">
        <v>1265</v>
      </c>
      <c r="B1567" t="s">
        <v>29</v>
      </c>
      <c r="C1567" t="s">
        <v>926</v>
      </c>
    </row>
    <row r="1568" spans="1:3" x14ac:dyDescent="0.25">
      <c r="A1568" t="s">
        <v>1265</v>
      </c>
      <c r="B1568" t="s">
        <v>31</v>
      </c>
      <c r="C1568" t="s">
        <v>927</v>
      </c>
    </row>
    <row r="1569" spans="1:3" x14ac:dyDescent="0.25">
      <c r="A1569" t="s">
        <v>1265</v>
      </c>
      <c r="B1569" t="s">
        <v>33</v>
      </c>
      <c r="C1569" t="s">
        <v>928</v>
      </c>
    </row>
    <row r="1570" spans="1:3" x14ac:dyDescent="0.25">
      <c r="A1570" t="s">
        <v>1266</v>
      </c>
      <c r="B1570" t="s">
        <v>134</v>
      </c>
      <c r="C1570" t="s">
        <v>929</v>
      </c>
    </row>
    <row r="1571" spans="1:3" x14ac:dyDescent="0.25">
      <c r="A1571" t="s">
        <v>1266</v>
      </c>
      <c r="B1571" t="s">
        <v>136</v>
      </c>
      <c r="C1571" t="s">
        <v>930</v>
      </c>
    </row>
    <row r="1572" spans="1:3" x14ac:dyDescent="0.25">
      <c r="A1572" t="s">
        <v>1266</v>
      </c>
      <c r="B1572" t="s">
        <v>7</v>
      </c>
      <c r="C1572" t="s">
        <v>407</v>
      </c>
    </row>
    <row r="1573" spans="1:3" x14ac:dyDescent="0.25">
      <c r="A1573" t="s">
        <v>1266</v>
      </c>
      <c r="B1573" t="s">
        <v>139</v>
      </c>
      <c r="C1573" t="s">
        <v>931</v>
      </c>
    </row>
    <row r="1574" spans="1:3" x14ac:dyDescent="0.25">
      <c r="A1574" t="s">
        <v>1266</v>
      </c>
      <c r="B1574" t="s">
        <v>141</v>
      </c>
      <c r="C1574" t="s">
        <v>500</v>
      </c>
    </row>
    <row r="1575" spans="1:3" x14ac:dyDescent="0.25">
      <c r="A1575" t="s">
        <v>1266</v>
      </c>
      <c r="B1575" t="s">
        <v>143</v>
      </c>
      <c r="C1575" t="s">
        <v>52</v>
      </c>
    </row>
    <row r="1576" spans="1:3" x14ac:dyDescent="0.25">
      <c r="A1576" t="s">
        <v>1266</v>
      </c>
      <c r="B1576" t="s">
        <v>144</v>
      </c>
      <c r="C1576" t="s">
        <v>798</v>
      </c>
    </row>
    <row r="1577" spans="1:3" x14ac:dyDescent="0.25">
      <c r="A1577" t="s">
        <v>1266</v>
      </c>
      <c r="B1577" t="s">
        <v>146</v>
      </c>
      <c r="C1577" t="s">
        <v>806</v>
      </c>
    </row>
    <row r="1578" spans="1:3" x14ac:dyDescent="0.25">
      <c r="A1578" t="s">
        <v>1266</v>
      </c>
      <c r="B1578" t="s">
        <v>148</v>
      </c>
      <c r="C1578" t="s">
        <v>733</v>
      </c>
    </row>
    <row r="1579" spans="1:3" x14ac:dyDescent="0.25">
      <c r="A1579" t="s">
        <v>1266</v>
      </c>
      <c r="B1579" t="s">
        <v>150</v>
      </c>
      <c r="C1579" t="s">
        <v>833</v>
      </c>
    </row>
    <row r="1580" spans="1:3" x14ac:dyDescent="0.25">
      <c r="A1580" t="s">
        <v>1266</v>
      </c>
      <c r="B1580" t="s">
        <v>152</v>
      </c>
      <c r="C1580" t="s">
        <v>597</v>
      </c>
    </row>
    <row r="1581" spans="1:3" x14ac:dyDescent="0.25">
      <c r="A1581" t="s">
        <v>1266</v>
      </c>
      <c r="B1581" t="s">
        <v>154</v>
      </c>
      <c r="C1581" t="s">
        <v>525</v>
      </c>
    </row>
    <row r="1582" spans="1:3" x14ac:dyDescent="0.25">
      <c r="A1582" t="s">
        <v>1266</v>
      </c>
      <c r="B1582" t="s">
        <v>27</v>
      </c>
      <c r="C1582" t="s">
        <v>932</v>
      </c>
    </row>
    <row r="1583" spans="1:3" x14ac:dyDescent="0.25">
      <c r="A1583" t="s">
        <v>1266</v>
      </c>
      <c r="B1583" t="s">
        <v>157</v>
      </c>
      <c r="C1583" t="s">
        <v>130</v>
      </c>
    </row>
    <row r="1584" spans="1:3" x14ac:dyDescent="0.25">
      <c r="A1584" t="s">
        <v>1266</v>
      </c>
      <c r="B1584" t="s">
        <v>159</v>
      </c>
      <c r="C1584" t="s">
        <v>933</v>
      </c>
    </row>
    <row r="1585" spans="1:3" x14ac:dyDescent="0.25">
      <c r="A1585" t="s">
        <v>1266</v>
      </c>
      <c r="B1585" t="s">
        <v>161</v>
      </c>
      <c r="C1585" t="s">
        <v>920</v>
      </c>
    </row>
    <row r="1586" spans="1:3" x14ac:dyDescent="0.25">
      <c r="A1586" t="s">
        <v>1197</v>
      </c>
      <c r="B1586" t="s">
        <v>3</v>
      </c>
      <c r="C1586" t="s">
        <v>934</v>
      </c>
    </row>
    <row r="1587" spans="1:3" x14ac:dyDescent="0.25">
      <c r="A1587" t="s">
        <v>1197</v>
      </c>
      <c r="B1587" t="s">
        <v>5</v>
      </c>
      <c r="C1587" t="s">
        <v>935</v>
      </c>
    </row>
    <row r="1588" spans="1:3" x14ac:dyDescent="0.25">
      <c r="A1588" t="s">
        <v>1197</v>
      </c>
      <c r="B1588" t="s">
        <v>7</v>
      </c>
      <c r="C1588" t="s">
        <v>936</v>
      </c>
    </row>
    <row r="1589" spans="1:3" x14ac:dyDescent="0.25">
      <c r="A1589" t="s">
        <v>1197</v>
      </c>
      <c r="B1589" t="s">
        <v>9</v>
      </c>
      <c r="C1589" t="s">
        <v>937</v>
      </c>
    </row>
    <row r="1590" spans="1:3" x14ac:dyDescent="0.25">
      <c r="A1590" t="s">
        <v>1197</v>
      </c>
      <c r="B1590" t="s">
        <v>11</v>
      </c>
      <c r="C1590" t="s">
        <v>848</v>
      </c>
    </row>
    <row r="1591" spans="1:3" x14ac:dyDescent="0.25">
      <c r="A1591" t="s">
        <v>1197</v>
      </c>
      <c r="B1591" t="s">
        <v>13</v>
      </c>
      <c r="C1591" t="s">
        <v>312</v>
      </c>
    </row>
    <row r="1592" spans="1:3" x14ac:dyDescent="0.25">
      <c r="A1592" t="s">
        <v>1197</v>
      </c>
      <c r="B1592" t="s">
        <v>15</v>
      </c>
      <c r="C1592" t="s">
        <v>519</v>
      </c>
    </row>
    <row r="1593" spans="1:3" x14ac:dyDescent="0.25">
      <c r="A1593" t="s">
        <v>1197</v>
      </c>
      <c r="B1593" t="s">
        <v>17</v>
      </c>
      <c r="C1593" t="s">
        <v>42</v>
      </c>
    </row>
    <row r="1594" spans="1:3" x14ac:dyDescent="0.25">
      <c r="A1594" t="s">
        <v>1197</v>
      </c>
      <c r="B1594" t="s">
        <v>19</v>
      </c>
      <c r="C1594" t="s">
        <v>43</v>
      </c>
    </row>
    <row r="1595" spans="1:3" x14ac:dyDescent="0.25">
      <c r="A1595" t="s">
        <v>1197</v>
      </c>
      <c r="B1595" t="s">
        <v>21</v>
      </c>
      <c r="C1595" t="s">
        <v>44</v>
      </c>
    </row>
    <row r="1596" spans="1:3" x14ac:dyDescent="0.25">
      <c r="A1596" t="s">
        <v>1197</v>
      </c>
      <c r="B1596" t="s">
        <v>23</v>
      </c>
      <c r="C1596" t="s">
        <v>45</v>
      </c>
    </row>
    <row r="1597" spans="1:3" x14ac:dyDescent="0.25">
      <c r="A1597" t="s">
        <v>1197</v>
      </c>
      <c r="B1597" t="s">
        <v>25</v>
      </c>
      <c r="C1597" t="s">
        <v>45</v>
      </c>
    </row>
    <row r="1598" spans="1:3" x14ac:dyDescent="0.25">
      <c r="A1598" t="s">
        <v>1197</v>
      </c>
      <c r="B1598" t="s">
        <v>27</v>
      </c>
      <c r="C1598" t="s">
        <v>45</v>
      </c>
    </row>
    <row r="1599" spans="1:3" x14ac:dyDescent="0.25">
      <c r="A1599" t="s">
        <v>1197</v>
      </c>
      <c r="B1599" t="s">
        <v>29</v>
      </c>
      <c r="C1599" t="s">
        <v>45</v>
      </c>
    </row>
    <row r="1600" spans="1:3" x14ac:dyDescent="0.25">
      <c r="A1600" t="s">
        <v>1197</v>
      </c>
      <c r="B1600" t="s">
        <v>31</v>
      </c>
      <c r="C1600" t="s">
        <v>314</v>
      </c>
    </row>
    <row r="1601" spans="1:3" x14ac:dyDescent="0.25">
      <c r="A1601" t="s">
        <v>1197</v>
      </c>
      <c r="B1601" t="s">
        <v>33</v>
      </c>
      <c r="C1601" t="s">
        <v>938</v>
      </c>
    </row>
    <row r="1602" spans="1:3" x14ac:dyDescent="0.25">
      <c r="A1602" t="s">
        <v>1267</v>
      </c>
      <c r="B1602" t="s">
        <v>3</v>
      </c>
      <c r="C1602" t="s">
        <v>713</v>
      </c>
    </row>
    <row r="1603" spans="1:3" x14ac:dyDescent="0.25">
      <c r="A1603" t="s">
        <v>1267</v>
      </c>
      <c r="B1603" t="s">
        <v>5</v>
      </c>
      <c r="C1603" t="s">
        <v>508</v>
      </c>
    </row>
    <row r="1604" spans="1:3" x14ac:dyDescent="0.25">
      <c r="A1604" t="s">
        <v>1267</v>
      </c>
      <c r="B1604" t="s">
        <v>7</v>
      </c>
      <c r="C1604" t="s">
        <v>65</v>
      </c>
    </row>
    <row r="1605" spans="1:3" x14ac:dyDescent="0.25">
      <c r="A1605" t="s">
        <v>1267</v>
      </c>
      <c r="B1605" t="s">
        <v>9</v>
      </c>
      <c r="C1605" t="s">
        <v>720</v>
      </c>
    </row>
    <row r="1606" spans="1:3" x14ac:dyDescent="0.25">
      <c r="A1606" t="s">
        <v>1267</v>
      </c>
      <c r="B1606" t="s">
        <v>11</v>
      </c>
      <c r="C1606" t="s">
        <v>284</v>
      </c>
    </row>
    <row r="1607" spans="1:3" x14ac:dyDescent="0.25">
      <c r="A1607" t="s">
        <v>1267</v>
      </c>
      <c r="B1607" t="s">
        <v>13</v>
      </c>
      <c r="C1607" t="s">
        <v>52</v>
      </c>
    </row>
    <row r="1608" spans="1:3" x14ac:dyDescent="0.25">
      <c r="A1608" t="s">
        <v>1267</v>
      </c>
      <c r="B1608" t="s">
        <v>15</v>
      </c>
      <c r="C1608" t="s">
        <v>939</v>
      </c>
    </row>
    <row r="1609" spans="1:3" x14ac:dyDescent="0.25">
      <c r="A1609" t="s">
        <v>1267</v>
      </c>
      <c r="B1609" t="s">
        <v>17</v>
      </c>
      <c r="C1609" t="s">
        <v>940</v>
      </c>
    </row>
    <row r="1610" spans="1:3" x14ac:dyDescent="0.25">
      <c r="A1610" t="s">
        <v>1267</v>
      </c>
      <c r="B1610" t="s">
        <v>19</v>
      </c>
      <c r="C1610" t="s">
        <v>941</v>
      </c>
    </row>
    <row r="1611" spans="1:3" x14ac:dyDescent="0.25">
      <c r="A1611" t="s">
        <v>1267</v>
      </c>
      <c r="B1611" t="s">
        <v>21</v>
      </c>
      <c r="C1611" t="s">
        <v>942</v>
      </c>
    </row>
    <row r="1612" spans="1:3" x14ac:dyDescent="0.25">
      <c r="A1612" t="s">
        <v>1267</v>
      </c>
      <c r="B1612" t="s">
        <v>23</v>
      </c>
      <c r="C1612" t="s">
        <v>943</v>
      </c>
    </row>
    <row r="1613" spans="1:3" x14ac:dyDescent="0.25">
      <c r="A1613" t="s">
        <v>1267</v>
      </c>
      <c r="B1613" t="s">
        <v>25</v>
      </c>
      <c r="C1613" t="s">
        <v>944</v>
      </c>
    </row>
    <row r="1614" spans="1:3" x14ac:dyDescent="0.25">
      <c r="A1614" t="s">
        <v>1267</v>
      </c>
      <c r="B1614" t="s">
        <v>27</v>
      </c>
      <c r="C1614" t="s">
        <v>656</v>
      </c>
    </row>
    <row r="1615" spans="1:3" x14ac:dyDescent="0.25">
      <c r="A1615" t="s">
        <v>1267</v>
      </c>
      <c r="B1615" t="s">
        <v>29</v>
      </c>
      <c r="C1615" t="s">
        <v>822</v>
      </c>
    </row>
    <row r="1616" spans="1:3" x14ac:dyDescent="0.25">
      <c r="A1616" t="s">
        <v>1267</v>
      </c>
      <c r="B1616" t="s">
        <v>31</v>
      </c>
      <c r="C1616" t="s">
        <v>945</v>
      </c>
    </row>
    <row r="1617" spans="1:3" x14ac:dyDescent="0.25">
      <c r="A1617" t="s">
        <v>1267</v>
      </c>
      <c r="B1617" t="s">
        <v>33</v>
      </c>
      <c r="C1617" t="s">
        <v>428</v>
      </c>
    </row>
    <row r="1618" spans="1:3" x14ac:dyDescent="0.25">
      <c r="A1618" t="s">
        <v>1268</v>
      </c>
      <c r="B1618" t="s">
        <v>134</v>
      </c>
      <c r="C1618" t="s">
        <v>660</v>
      </c>
    </row>
    <row r="1619" spans="1:3" x14ac:dyDescent="0.25">
      <c r="A1619" t="s">
        <v>1268</v>
      </c>
      <c r="B1619" t="s">
        <v>136</v>
      </c>
      <c r="C1619" t="s">
        <v>946</v>
      </c>
    </row>
    <row r="1620" spans="1:3" x14ac:dyDescent="0.25">
      <c r="A1620" t="s">
        <v>1268</v>
      </c>
      <c r="B1620" t="s">
        <v>7</v>
      </c>
      <c r="C1620" t="s">
        <v>178</v>
      </c>
    </row>
    <row r="1621" spans="1:3" x14ac:dyDescent="0.25">
      <c r="A1621" t="s">
        <v>1268</v>
      </c>
      <c r="B1621" t="s">
        <v>139</v>
      </c>
      <c r="C1621" t="s">
        <v>947</v>
      </c>
    </row>
    <row r="1622" spans="1:3" x14ac:dyDescent="0.25">
      <c r="A1622" t="s">
        <v>1268</v>
      </c>
      <c r="B1622" t="s">
        <v>141</v>
      </c>
      <c r="C1622" t="s">
        <v>108</v>
      </c>
    </row>
    <row r="1623" spans="1:3" x14ac:dyDescent="0.25">
      <c r="A1623" t="s">
        <v>1268</v>
      </c>
      <c r="B1623" t="s">
        <v>143</v>
      </c>
      <c r="C1623" t="s">
        <v>476</v>
      </c>
    </row>
    <row r="1624" spans="1:3" x14ac:dyDescent="0.25">
      <c r="A1624" t="s">
        <v>1268</v>
      </c>
      <c r="B1624" t="s">
        <v>144</v>
      </c>
      <c r="C1624" t="s">
        <v>323</v>
      </c>
    </row>
    <row r="1625" spans="1:3" x14ac:dyDescent="0.25">
      <c r="A1625" t="s">
        <v>1268</v>
      </c>
      <c r="B1625" t="s">
        <v>146</v>
      </c>
      <c r="C1625" t="s">
        <v>948</v>
      </c>
    </row>
    <row r="1626" spans="1:3" x14ac:dyDescent="0.25">
      <c r="A1626" t="s">
        <v>1268</v>
      </c>
      <c r="B1626" t="s">
        <v>148</v>
      </c>
      <c r="C1626" t="s">
        <v>149</v>
      </c>
    </row>
    <row r="1627" spans="1:3" x14ac:dyDescent="0.25">
      <c r="A1627" t="s">
        <v>1268</v>
      </c>
      <c r="B1627" t="s">
        <v>150</v>
      </c>
      <c r="C1627" t="s">
        <v>859</v>
      </c>
    </row>
    <row r="1628" spans="1:3" x14ac:dyDescent="0.25">
      <c r="A1628" t="s">
        <v>1268</v>
      </c>
      <c r="B1628" t="s">
        <v>152</v>
      </c>
      <c r="C1628" t="s">
        <v>949</v>
      </c>
    </row>
    <row r="1629" spans="1:3" x14ac:dyDescent="0.25">
      <c r="A1629" t="s">
        <v>1268</v>
      </c>
      <c r="B1629" t="s">
        <v>154</v>
      </c>
      <c r="C1629" t="s">
        <v>950</v>
      </c>
    </row>
    <row r="1630" spans="1:3" x14ac:dyDescent="0.25">
      <c r="A1630" t="s">
        <v>1268</v>
      </c>
      <c r="B1630" t="s">
        <v>27</v>
      </c>
      <c r="C1630" t="s">
        <v>328</v>
      </c>
    </row>
    <row r="1631" spans="1:3" x14ac:dyDescent="0.25">
      <c r="A1631" t="s">
        <v>1268</v>
      </c>
      <c r="B1631" t="s">
        <v>157</v>
      </c>
      <c r="C1631" t="s">
        <v>130</v>
      </c>
    </row>
    <row r="1632" spans="1:3" x14ac:dyDescent="0.25">
      <c r="A1632" t="s">
        <v>1268</v>
      </c>
      <c r="B1632" t="s">
        <v>159</v>
      </c>
      <c r="C1632" t="s">
        <v>951</v>
      </c>
    </row>
    <row r="1633" spans="1:3" x14ac:dyDescent="0.25">
      <c r="A1633" t="s">
        <v>1268</v>
      </c>
      <c r="B1633" t="s">
        <v>161</v>
      </c>
      <c r="C1633" t="s">
        <v>952</v>
      </c>
    </row>
    <row r="1634" spans="1:3" x14ac:dyDescent="0.25">
      <c r="A1634" t="s">
        <v>1269</v>
      </c>
      <c r="B1634" t="s">
        <v>134</v>
      </c>
      <c r="C1634" t="s">
        <v>430</v>
      </c>
    </row>
    <row r="1635" spans="1:3" x14ac:dyDescent="0.25">
      <c r="A1635" t="s">
        <v>1269</v>
      </c>
      <c r="B1635" t="s">
        <v>136</v>
      </c>
      <c r="C1635" t="s">
        <v>953</v>
      </c>
    </row>
    <row r="1636" spans="1:3" x14ac:dyDescent="0.25">
      <c r="A1636" t="s">
        <v>1269</v>
      </c>
      <c r="B1636" t="s">
        <v>7</v>
      </c>
      <c r="C1636" t="s">
        <v>954</v>
      </c>
    </row>
    <row r="1637" spans="1:3" x14ac:dyDescent="0.25">
      <c r="A1637" t="s">
        <v>1269</v>
      </c>
      <c r="B1637" t="s">
        <v>139</v>
      </c>
      <c r="C1637" t="s">
        <v>863</v>
      </c>
    </row>
    <row r="1638" spans="1:3" x14ac:dyDescent="0.25">
      <c r="A1638" t="s">
        <v>1269</v>
      </c>
      <c r="B1638" t="s">
        <v>141</v>
      </c>
      <c r="C1638" t="s">
        <v>633</v>
      </c>
    </row>
    <row r="1639" spans="1:3" x14ac:dyDescent="0.25">
      <c r="A1639" t="s">
        <v>1269</v>
      </c>
      <c r="B1639" t="s">
        <v>143</v>
      </c>
      <c r="C1639" t="s">
        <v>108</v>
      </c>
    </row>
    <row r="1640" spans="1:3" x14ac:dyDescent="0.25">
      <c r="A1640" t="s">
        <v>1269</v>
      </c>
      <c r="B1640" t="s">
        <v>144</v>
      </c>
      <c r="C1640" t="s">
        <v>600</v>
      </c>
    </row>
    <row r="1641" spans="1:3" x14ac:dyDescent="0.25">
      <c r="A1641" t="s">
        <v>1269</v>
      </c>
      <c r="B1641" t="s">
        <v>146</v>
      </c>
      <c r="C1641" t="s">
        <v>955</v>
      </c>
    </row>
    <row r="1642" spans="1:3" x14ac:dyDescent="0.25">
      <c r="A1642" t="s">
        <v>1269</v>
      </c>
      <c r="B1642" t="s">
        <v>148</v>
      </c>
      <c r="C1642" t="s">
        <v>590</v>
      </c>
    </row>
    <row r="1643" spans="1:3" x14ac:dyDescent="0.25">
      <c r="A1643" t="s">
        <v>1269</v>
      </c>
      <c r="B1643" t="s">
        <v>150</v>
      </c>
      <c r="C1643" t="s">
        <v>288</v>
      </c>
    </row>
    <row r="1644" spans="1:3" x14ac:dyDescent="0.25">
      <c r="A1644" t="s">
        <v>1269</v>
      </c>
      <c r="B1644" t="s">
        <v>152</v>
      </c>
      <c r="C1644" t="s">
        <v>956</v>
      </c>
    </row>
    <row r="1645" spans="1:3" x14ac:dyDescent="0.25">
      <c r="A1645" t="s">
        <v>1269</v>
      </c>
      <c r="B1645" t="s">
        <v>154</v>
      </c>
      <c r="C1645" t="s">
        <v>215</v>
      </c>
    </row>
    <row r="1646" spans="1:3" x14ac:dyDescent="0.25">
      <c r="A1646" t="s">
        <v>1269</v>
      </c>
      <c r="B1646" t="s">
        <v>27</v>
      </c>
      <c r="C1646" t="s">
        <v>914</v>
      </c>
    </row>
    <row r="1647" spans="1:3" x14ac:dyDescent="0.25">
      <c r="A1647" t="s">
        <v>1269</v>
      </c>
      <c r="B1647" t="s">
        <v>157</v>
      </c>
      <c r="C1647" t="s">
        <v>200</v>
      </c>
    </row>
    <row r="1648" spans="1:3" x14ac:dyDescent="0.25">
      <c r="A1648" t="s">
        <v>1269</v>
      </c>
      <c r="B1648" t="s">
        <v>159</v>
      </c>
      <c r="C1648" t="s">
        <v>957</v>
      </c>
    </row>
    <row r="1649" spans="1:3" x14ac:dyDescent="0.25">
      <c r="A1649" t="s">
        <v>1269</v>
      </c>
      <c r="B1649" t="s">
        <v>161</v>
      </c>
      <c r="C1649" t="s">
        <v>701</v>
      </c>
    </row>
    <row r="1650" spans="1:3" x14ac:dyDescent="0.25">
      <c r="A1650" t="s">
        <v>1270</v>
      </c>
      <c r="B1650" t="s">
        <v>3</v>
      </c>
      <c r="C1650" t="s">
        <v>106</v>
      </c>
    </row>
    <row r="1651" spans="1:3" x14ac:dyDescent="0.25">
      <c r="A1651" t="s">
        <v>1270</v>
      </c>
      <c r="B1651" t="s">
        <v>5</v>
      </c>
      <c r="C1651" t="s">
        <v>396</v>
      </c>
    </row>
    <row r="1652" spans="1:3" x14ac:dyDescent="0.25">
      <c r="A1652" t="s">
        <v>1270</v>
      </c>
      <c r="B1652" t="s">
        <v>7</v>
      </c>
      <c r="C1652" t="s">
        <v>47</v>
      </c>
    </row>
    <row r="1653" spans="1:3" x14ac:dyDescent="0.25">
      <c r="A1653" t="s">
        <v>1270</v>
      </c>
      <c r="B1653" t="s">
        <v>9</v>
      </c>
      <c r="C1653" t="s">
        <v>958</v>
      </c>
    </row>
    <row r="1654" spans="1:3" x14ac:dyDescent="0.25">
      <c r="A1654" t="s">
        <v>1270</v>
      </c>
      <c r="B1654" t="s">
        <v>11</v>
      </c>
      <c r="C1654" t="s">
        <v>51</v>
      </c>
    </row>
    <row r="1655" spans="1:3" x14ac:dyDescent="0.25">
      <c r="A1655" t="s">
        <v>1270</v>
      </c>
      <c r="B1655" t="s">
        <v>13</v>
      </c>
      <c r="C1655" t="s">
        <v>14</v>
      </c>
    </row>
    <row r="1656" spans="1:3" x14ac:dyDescent="0.25">
      <c r="A1656" t="s">
        <v>1270</v>
      </c>
      <c r="B1656" t="s">
        <v>15</v>
      </c>
      <c r="C1656" t="s">
        <v>376</v>
      </c>
    </row>
    <row r="1657" spans="1:3" x14ac:dyDescent="0.25">
      <c r="A1657" t="s">
        <v>1270</v>
      </c>
      <c r="B1657" t="s">
        <v>17</v>
      </c>
      <c r="C1657" t="s">
        <v>959</v>
      </c>
    </row>
    <row r="1658" spans="1:3" x14ac:dyDescent="0.25">
      <c r="A1658" t="s">
        <v>1270</v>
      </c>
      <c r="B1658" t="s">
        <v>19</v>
      </c>
      <c r="C1658" t="s">
        <v>960</v>
      </c>
    </row>
    <row r="1659" spans="1:3" x14ac:dyDescent="0.25">
      <c r="A1659" t="s">
        <v>1270</v>
      </c>
      <c r="B1659" t="s">
        <v>21</v>
      </c>
      <c r="C1659" t="s">
        <v>961</v>
      </c>
    </row>
    <row r="1660" spans="1:3" x14ac:dyDescent="0.25">
      <c r="A1660" t="s">
        <v>1270</v>
      </c>
      <c r="B1660" t="s">
        <v>23</v>
      </c>
      <c r="C1660" t="s">
        <v>412</v>
      </c>
    </row>
    <row r="1661" spans="1:3" x14ac:dyDescent="0.25">
      <c r="A1661" t="s">
        <v>1270</v>
      </c>
      <c r="B1661" t="s">
        <v>25</v>
      </c>
      <c r="C1661" t="s">
        <v>381</v>
      </c>
    </row>
    <row r="1662" spans="1:3" x14ac:dyDescent="0.25">
      <c r="A1662" t="s">
        <v>1270</v>
      </c>
      <c r="B1662" t="s">
        <v>27</v>
      </c>
      <c r="C1662" t="s">
        <v>370</v>
      </c>
    </row>
    <row r="1663" spans="1:3" x14ac:dyDescent="0.25">
      <c r="A1663" t="s">
        <v>1270</v>
      </c>
      <c r="B1663" t="s">
        <v>29</v>
      </c>
      <c r="C1663" t="s">
        <v>816</v>
      </c>
    </row>
    <row r="1664" spans="1:3" x14ac:dyDescent="0.25">
      <c r="A1664" t="s">
        <v>1270</v>
      </c>
      <c r="B1664" t="s">
        <v>31</v>
      </c>
      <c r="C1664" t="s">
        <v>724</v>
      </c>
    </row>
    <row r="1665" spans="1:3" x14ac:dyDescent="0.25">
      <c r="A1665" t="s">
        <v>1270</v>
      </c>
      <c r="B1665" t="s">
        <v>33</v>
      </c>
      <c r="C1665" t="s">
        <v>372</v>
      </c>
    </row>
    <row r="1666" spans="1:3" x14ac:dyDescent="0.25">
      <c r="A1666" t="s">
        <v>1271</v>
      </c>
      <c r="B1666" t="s">
        <v>3</v>
      </c>
      <c r="C1666" t="s">
        <v>545</v>
      </c>
    </row>
    <row r="1667" spans="1:3" x14ac:dyDescent="0.25">
      <c r="A1667" t="s">
        <v>1271</v>
      </c>
      <c r="B1667" t="s">
        <v>5</v>
      </c>
      <c r="C1667" t="s">
        <v>660</v>
      </c>
    </row>
    <row r="1668" spans="1:3" x14ac:dyDescent="0.25">
      <c r="A1668" t="s">
        <v>1271</v>
      </c>
      <c r="B1668" t="s">
        <v>7</v>
      </c>
      <c r="C1668" t="s">
        <v>593</v>
      </c>
    </row>
    <row r="1669" spans="1:3" x14ac:dyDescent="0.25">
      <c r="A1669" t="s">
        <v>1271</v>
      </c>
      <c r="B1669" t="s">
        <v>9</v>
      </c>
      <c r="C1669" t="s">
        <v>599</v>
      </c>
    </row>
    <row r="1670" spans="1:3" x14ac:dyDescent="0.25">
      <c r="A1670" t="s">
        <v>1271</v>
      </c>
      <c r="B1670" t="s">
        <v>11</v>
      </c>
      <c r="C1670" t="s">
        <v>12</v>
      </c>
    </row>
    <row r="1671" spans="1:3" x14ac:dyDescent="0.25">
      <c r="A1671" t="s">
        <v>1271</v>
      </c>
      <c r="B1671" t="s">
        <v>13</v>
      </c>
      <c r="C1671" t="s">
        <v>14</v>
      </c>
    </row>
    <row r="1672" spans="1:3" x14ac:dyDescent="0.25">
      <c r="A1672" t="s">
        <v>1271</v>
      </c>
      <c r="B1672" t="s">
        <v>15</v>
      </c>
      <c r="C1672" t="s">
        <v>567</v>
      </c>
    </row>
    <row r="1673" spans="1:3" x14ac:dyDescent="0.25">
      <c r="A1673" t="s">
        <v>1271</v>
      </c>
      <c r="B1673" t="s">
        <v>17</v>
      </c>
      <c r="C1673" t="s">
        <v>962</v>
      </c>
    </row>
    <row r="1674" spans="1:3" x14ac:dyDescent="0.25">
      <c r="A1674" t="s">
        <v>1271</v>
      </c>
      <c r="B1674" t="s">
        <v>19</v>
      </c>
      <c r="C1674" t="s">
        <v>325</v>
      </c>
    </row>
    <row r="1675" spans="1:3" x14ac:dyDescent="0.25">
      <c r="A1675" t="s">
        <v>1271</v>
      </c>
      <c r="B1675" t="s">
        <v>21</v>
      </c>
      <c r="C1675" t="s">
        <v>963</v>
      </c>
    </row>
    <row r="1676" spans="1:3" x14ac:dyDescent="0.25">
      <c r="A1676" t="s">
        <v>1271</v>
      </c>
      <c r="B1676" t="s">
        <v>23</v>
      </c>
      <c r="C1676" t="s">
        <v>443</v>
      </c>
    </row>
    <row r="1677" spans="1:3" x14ac:dyDescent="0.25">
      <c r="A1677" t="s">
        <v>1271</v>
      </c>
      <c r="B1677" t="s">
        <v>25</v>
      </c>
      <c r="C1677" t="s">
        <v>381</v>
      </c>
    </row>
    <row r="1678" spans="1:3" x14ac:dyDescent="0.25">
      <c r="A1678" t="s">
        <v>1271</v>
      </c>
      <c r="B1678" t="s">
        <v>27</v>
      </c>
      <c r="C1678" t="s">
        <v>470</v>
      </c>
    </row>
    <row r="1679" spans="1:3" x14ac:dyDescent="0.25">
      <c r="A1679" t="s">
        <v>1271</v>
      </c>
      <c r="B1679" t="s">
        <v>29</v>
      </c>
      <c r="C1679" t="s">
        <v>360</v>
      </c>
    </row>
    <row r="1680" spans="1:3" x14ac:dyDescent="0.25">
      <c r="A1680" t="s">
        <v>1271</v>
      </c>
      <c r="B1680" t="s">
        <v>31</v>
      </c>
      <c r="C1680" t="s">
        <v>964</v>
      </c>
    </row>
    <row r="1681" spans="1:3" x14ac:dyDescent="0.25">
      <c r="A1681" t="s">
        <v>1271</v>
      </c>
      <c r="B1681" t="s">
        <v>33</v>
      </c>
      <c r="C1681" t="s">
        <v>202</v>
      </c>
    </row>
    <row r="1682" spans="1:3" x14ac:dyDescent="0.25">
      <c r="A1682" t="s">
        <v>1272</v>
      </c>
      <c r="B1682" t="s">
        <v>3</v>
      </c>
      <c r="C1682" t="s">
        <v>179</v>
      </c>
    </row>
    <row r="1683" spans="1:3" x14ac:dyDescent="0.25">
      <c r="A1683" t="s">
        <v>1272</v>
      </c>
      <c r="B1683" t="s">
        <v>5</v>
      </c>
      <c r="C1683" t="s">
        <v>4</v>
      </c>
    </row>
    <row r="1684" spans="1:3" x14ac:dyDescent="0.25">
      <c r="A1684" t="s">
        <v>1272</v>
      </c>
      <c r="B1684" t="s">
        <v>7</v>
      </c>
      <c r="C1684" t="s">
        <v>396</v>
      </c>
    </row>
    <row r="1685" spans="1:3" x14ac:dyDescent="0.25">
      <c r="A1685" t="s">
        <v>1272</v>
      </c>
      <c r="B1685" t="s">
        <v>9</v>
      </c>
      <c r="C1685" t="s">
        <v>10</v>
      </c>
    </row>
    <row r="1686" spans="1:3" x14ac:dyDescent="0.25">
      <c r="A1686" t="s">
        <v>1272</v>
      </c>
      <c r="B1686" t="s">
        <v>11</v>
      </c>
      <c r="C1686" t="s">
        <v>52</v>
      </c>
    </row>
    <row r="1687" spans="1:3" x14ac:dyDescent="0.25">
      <c r="A1687" t="s">
        <v>1272</v>
      </c>
      <c r="B1687" t="s">
        <v>13</v>
      </c>
      <c r="C1687" t="s">
        <v>14</v>
      </c>
    </row>
    <row r="1688" spans="1:3" x14ac:dyDescent="0.25">
      <c r="A1688" t="s">
        <v>1272</v>
      </c>
      <c r="B1688" t="s">
        <v>15</v>
      </c>
      <c r="C1688" t="s">
        <v>694</v>
      </c>
    </row>
    <row r="1689" spans="1:3" x14ac:dyDescent="0.25">
      <c r="A1689" t="s">
        <v>1272</v>
      </c>
      <c r="B1689" t="s">
        <v>17</v>
      </c>
      <c r="C1689" t="s">
        <v>666</v>
      </c>
    </row>
    <row r="1690" spans="1:3" x14ac:dyDescent="0.25">
      <c r="A1690" t="s">
        <v>1272</v>
      </c>
      <c r="B1690" t="s">
        <v>19</v>
      </c>
      <c r="C1690" t="s">
        <v>711</v>
      </c>
    </row>
    <row r="1691" spans="1:3" x14ac:dyDescent="0.25">
      <c r="A1691" t="s">
        <v>1272</v>
      </c>
      <c r="B1691" t="s">
        <v>21</v>
      </c>
      <c r="C1691" t="s">
        <v>759</v>
      </c>
    </row>
    <row r="1692" spans="1:3" x14ac:dyDescent="0.25">
      <c r="A1692" t="s">
        <v>1272</v>
      </c>
      <c r="B1692" t="s">
        <v>23</v>
      </c>
      <c r="C1692" t="s">
        <v>965</v>
      </c>
    </row>
    <row r="1693" spans="1:3" x14ac:dyDescent="0.25">
      <c r="A1693" t="s">
        <v>1272</v>
      </c>
      <c r="B1693" t="s">
        <v>25</v>
      </c>
      <c r="C1693" t="s">
        <v>349</v>
      </c>
    </row>
    <row r="1694" spans="1:3" x14ac:dyDescent="0.25">
      <c r="A1694" t="s">
        <v>1272</v>
      </c>
      <c r="B1694" t="s">
        <v>27</v>
      </c>
      <c r="C1694" t="s">
        <v>656</v>
      </c>
    </row>
    <row r="1695" spans="1:3" x14ac:dyDescent="0.25">
      <c r="A1695" t="s">
        <v>1272</v>
      </c>
      <c r="B1695" t="s">
        <v>29</v>
      </c>
      <c r="C1695" t="s">
        <v>217</v>
      </c>
    </row>
    <row r="1696" spans="1:3" x14ac:dyDescent="0.25">
      <c r="A1696" t="s">
        <v>1272</v>
      </c>
      <c r="B1696" t="s">
        <v>31</v>
      </c>
      <c r="C1696" t="s">
        <v>966</v>
      </c>
    </row>
    <row r="1697" spans="1:3" x14ac:dyDescent="0.25">
      <c r="A1697" t="s">
        <v>1272</v>
      </c>
      <c r="B1697" t="s">
        <v>33</v>
      </c>
      <c r="C1697" t="s">
        <v>645</v>
      </c>
    </row>
    <row r="1698" spans="1:3" x14ac:dyDescent="0.25">
      <c r="A1698" t="s">
        <v>1273</v>
      </c>
      <c r="B1698" t="s">
        <v>3</v>
      </c>
      <c r="C1698" t="s">
        <v>691</v>
      </c>
    </row>
    <row r="1699" spans="1:3" x14ac:dyDescent="0.25">
      <c r="A1699" t="s">
        <v>1273</v>
      </c>
      <c r="B1699" t="s">
        <v>5</v>
      </c>
      <c r="C1699" t="s">
        <v>576</v>
      </c>
    </row>
    <row r="1700" spans="1:3" x14ac:dyDescent="0.25">
      <c r="A1700" t="s">
        <v>1273</v>
      </c>
      <c r="B1700" t="s">
        <v>7</v>
      </c>
      <c r="C1700" t="s">
        <v>967</v>
      </c>
    </row>
    <row r="1701" spans="1:3" x14ac:dyDescent="0.25">
      <c r="A1701" t="s">
        <v>1273</v>
      </c>
      <c r="B1701" t="s">
        <v>9</v>
      </c>
      <c r="C1701" t="s">
        <v>968</v>
      </c>
    </row>
    <row r="1702" spans="1:3" x14ac:dyDescent="0.25">
      <c r="A1702" t="s">
        <v>1273</v>
      </c>
      <c r="B1702" t="s">
        <v>11</v>
      </c>
      <c r="C1702" t="s">
        <v>109</v>
      </c>
    </row>
    <row r="1703" spans="1:3" x14ac:dyDescent="0.25">
      <c r="A1703" t="s">
        <v>1273</v>
      </c>
      <c r="B1703" t="s">
        <v>13</v>
      </c>
      <c r="C1703" t="s">
        <v>40</v>
      </c>
    </row>
    <row r="1704" spans="1:3" x14ac:dyDescent="0.25">
      <c r="A1704" t="s">
        <v>1273</v>
      </c>
      <c r="B1704" t="s">
        <v>15</v>
      </c>
      <c r="C1704" t="s">
        <v>969</v>
      </c>
    </row>
    <row r="1705" spans="1:3" x14ac:dyDescent="0.25">
      <c r="A1705" t="s">
        <v>1273</v>
      </c>
      <c r="B1705" t="s">
        <v>17</v>
      </c>
      <c r="C1705" t="s">
        <v>970</v>
      </c>
    </row>
    <row r="1706" spans="1:3" x14ac:dyDescent="0.25">
      <c r="A1706" t="s">
        <v>1273</v>
      </c>
      <c r="B1706" t="s">
        <v>19</v>
      </c>
      <c r="C1706" t="s">
        <v>613</v>
      </c>
    </row>
    <row r="1707" spans="1:3" x14ac:dyDescent="0.25">
      <c r="A1707" t="s">
        <v>1273</v>
      </c>
      <c r="B1707" t="s">
        <v>21</v>
      </c>
      <c r="C1707" t="s">
        <v>971</v>
      </c>
    </row>
    <row r="1708" spans="1:3" x14ac:dyDescent="0.25">
      <c r="A1708" t="s">
        <v>1273</v>
      </c>
      <c r="B1708" t="s">
        <v>23</v>
      </c>
      <c r="C1708" t="s">
        <v>907</v>
      </c>
    </row>
    <row r="1709" spans="1:3" x14ac:dyDescent="0.25">
      <c r="A1709" t="s">
        <v>1273</v>
      </c>
      <c r="B1709" t="s">
        <v>25</v>
      </c>
      <c r="C1709" t="s">
        <v>572</v>
      </c>
    </row>
    <row r="1710" spans="1:3" x14ac:dyDescent="0.25">
      <c r="A1710" t="s">
        <v>1273</v>
      </c>
      <c r="B1710" t="s">
        <v>27</v>
      </c>
      <c r="C1710" t="s">
        <v>908</v>
      </c>
    </row>
    <row r="1711" spans="1:3" x14ac:dyDescent="0.25">
      <c r="A1711" t="s">
        <v>1273</v>
      </c>
      <c r="B1711" t="s">
        <v>29</v>
      </c>
      <c r="C1711" t="s">
        <v>383</v>
      </c>
    </row>
    <row r="1712" spans="1:3" x14ac:dyDescent="0.25">
      <c r="A1712" t="s">
        <v>1273</v>
      </c>
      <c r="B1712" t="s">
        <v>31</v>
      </c>
      <c r="C1712" t="s">
        <v>175</v>
      </c>
    </row>
    <row r="1713" spans="1:3" x14ac:dyDescent="0.25">
      <c r="A1713" t="s">
        <v>1273</v>
      </c>
      <c r="B1713" t="s">
        <v>33</v>
      </c>
      <c r="C1713" t="s">
        <v>90</v>
      </c>
    </row>
    <row r="1714" spans="1:3" x14ac:dyDescent="0.25">
      <c r="A1714" t="s">
        <v>1274</v>
      </c>
      <c r="B1714" t="s">
        <v>3</v>
      </c>
      <c r="C1714" t="s">
        <v>972</v>
      </c>
    </row>
    <row r="1715" spans="1:3" x14ac:dyDescent="0.25">
      <c r="A1715" t="s">
        <v>1274</v>
      </c>
      <c r="B1715" t="s">
        <v>5</v>
      </c>
      <c r="C1715" t="s">
        <v>746</v>
      </c>
    </row>
    <row r="1716" spans="1:3" x14ac:dyDescent="0.25">
      <c r="A1716" t="s">
        <v>1274</v>
      </c>
      <c r="B1716" t="s">
        <v>7</v>
      </c>
      <c r="C1716" t="s">
        <v>135</v>
      </c>
    </row>
    <row r="1717" spans="1:3" x14ac:dyDescent="0.25">
      <c r="A1717" t="s">
        <v>1274</v>
      </c>
      <c r="B1717" t="s">
        <v>9</v>
      </c>
      <c r="C1717" t="s">
        <v>891</v>
      </c>
    </row>
    <row r="1718" spans="1:3" x14ac:dyDescent="0.25">
      <c r="A1718" t="s">
        <v>1274</v>
      </c>
      <c r="B1718" t="s">
        <v>11</v>
      </c>
      <c r="C1718" t="s">
        <v>167</v>
      </c>
    </row>
    <row r="1719" spans="1:3" x14ac:dyDescent="0.25">
      <c r="A1719" t="s">
        <v>1274</v>
      </c>
      <c r="B1719" t="s">
        <v>13</v>
      </c>
      <c r="C1719" t="s">
        <v>40</v>
      </c>
    </row>
    <row r="1720" spans="1:3" x14ac:dyDescent="0.25">
      <c r="A1720" t="s">
        <v>1274</v>
      </c>
      <c r="B1720" t="s">
        <v>15</v>
      </c>
      <c r="C1720" t="s">
        <v>579</v>
      </c>
    </row>
    <row r="1721" spans="1:3" x14ac:dyDescent="0.25">
      <c r="A1721" t="s">
        <v>1274</v>
      </c>
      <c r="B1721" t="s">
        <v>17</v>
      </c>
      <c r="C1721" t="s">
        <v>973</v>
      </c>
    </row>
    <row r="1722" spans="1:3" x14ac:dyDescent="0.25">
      <c r="A1722" t="s">
        <v>1274</v>
      </c>
      <c r="B1722" t="s">
        <v>19</v>
      </c>
      <c r="C1722" t="s">
        <v>350</v>
      </c>
    </row>
    <row r="1723" spans="1:3" x14ac:dyDescent="0.25">
      <c r="A1723" t="s">
        <v>1274</v>
      </c>
      <c r="B1723" t="s">
        <v>21</v>
      </c>
      <c r="C1723" t="s">
        <v>974</v>
      </c>
    </row>
    <row r="1724" spans="1:3" x14ac:dyDescent="0.25">
      <c r="A1724" t="s">
        <v>1274</v>
      </c>
      <c r="B1724" t="s">
        <v>23</v>
      </c>
      <c r="C1724" t="s">
        <v>975</v>
      </c>
    </row>
    <row r="1725" spans="1:3" x14ac:dyDescent="0.25">
      <c r="A1725" t="s">
        <v>1274</v>
      </c>
      <c r="B1725" t="s">
        <v>25</v>
      </c>
      <c r="C1725" t="s">
        <v>976</v>
      </c>
    </row>
    <row r="1726" spans="1:3" x14ac:dyDescent="0.25">
      <c r="A1726" t="s">
        <v>1274</v>
      </c>
      <c r="B1726" t="s">
        <v>27</v>
      </c>
      <c r="C1726" t="s">
        <v>214</v>
      </c>
    </row>
    <row r="1727" spans="1:3" x14ac:dyDescent="0.25">
      <c r="A1727" t="s">
        <v>1274</v>
      </c>
      <c r="B1727" t="s">
        <v>29</v>
      </c>
      <c r="C1727" t="s">
        <v>867</v>
      </c>
    </row>
    <row r="1728" spans="1:3" x14ac:dyDescent="0.25">
      <c r="A1728" t="s">
        <v>1274</v>
      </c>
      <c r="B1728" t="s">
        <v>31</v>
      </c>
      <c r="C1728" t="s">
        <v>977</v>
      </c>
    </row>
    <row r="1729" spans="1:3" x14ac:dyDescent="0.25">
      <c r="A1729" t="s">
        <v>1274</v>
      </c>
      <c r="B1729" t="s">
        <v>33</v>
      </c>
      <c r="C1729" t="s">
        <v>978</v>
      </c>
    </row>
    <row r="1730" spans="1:3" x14ac:dyDescent="0.25">
      <c r="A1730" t="s">
        <v>1275</v>
      </c>
      <c r="B1730" t="s">
        <v>134</v>
      </c>
      <c r="C1730" t="s">
        <v>979</v>
      </c>
    </row>
    <row r="1731" spans="1:3" x14ac:dyDescent="0.25">
      <c r="A1731" t="s">
        <v>1275</v>
      </c>
      <c r="B1731" t="s">
        <v>136</v>
      </c>
      <c r="C1731" t="s">
        <v>37</v>
      </c>
    </row>
    <row r="1732" spans="1:3" x14ac:dyDescent="0.25">
      <c r="A1732" t="s">
        <v>1275</v>
      </c>
      <c r="B1732" t="s">
        <v>7</v>
      </c>
      <c r="C1732" t="s">
        <v>726</v>
      </c>
    </row>
    <row r="1733" spans="1:3" x14ac:dyDescent="0.25">
      <c r="A1733" t="s">
        <v>1275</v>
      </c>
      <c r="B1733" t="s">
        <v>139</v>
      </c>
      <c r="C1733" t="s">
        <v>980</v>
      </c>
    </row>
    <row r="1734" spans="1:3" x14ac:dyDescent="0.25">
      <c r="A1734" t="s">
        <v>1275</v>
      </c>
      <c r="B1734" t="s">
        <v>141</v>
      </c>
      <c r="C1734" t="s">
        <v>53</v>
      </c>
    </row>
    <row r="1735" spans="1:3" x14ac:dyDescent="0.25">
      <c r="A1735" t="s">
        <v>1275</v>
      </c>
      <c r="B1735" t="s">
        <v>143</v>
      </c>
      <c r="C1735" t="s">
        <v>298</v>
      </c>
    </row>
    <row r="1736" spans="1:3" x14ac:dyDescent="0.25">
      <c r="A1736" t="s">
        <v>1275</v>
      </c>
      <c r="B1736" t="s">
        <v>144</v>
      </c>
      <c r="C1736" t="s">
        <v>981</v>
      </c>
    </row>
    <row r="1737" spans="1:3" x14ac:dyDescent="0.25">
      <c r="A1737" t="s">
        <v>1275</v>
      </c>
      <c r="B1737" t="s">
        <v>146</v>
      </c>
      <c r="C1737" t="s">
        <v>982</v>
      </c>
    </row>
    <row r="1738" spans="1:3" x14ac:dyDescent="0.25">
      <c r="A1738" t="s">
        <v>1275</v>
      </c>
      <c r="B1738" t="s">
        <v>148</v>
      </c>
      <c r="C1738" t="s">
        <v>983</v>
      </c>
    </row>
    <row r="1739" spans="1:3" x14ac:dyDescent="0.25">
      <c r="A1739" t="s">
        <v>1275</v>
      </c>
      <c r="B1739" t="s">
        <v>150</v>
      </c>
      <c r="C1739" t="s">
        <v>984</v>
      </c>
    </row>
    <row r="1740" spans="1:3" x14ac:dyDescent="0.25">
      <c r="A1740" t="s">
        <v>1275</v>
      </c>
      <c r="B1740" t="s">
        <v>152</v>
      </c>
      <c r="C1740" t="s">
        <v>985</v>
      </c>
    </row>
    <row r="1741" spans="1:3" x14ac:dyDescent="0.25">
      <c r="A1741" t="s">
        <v>1275</v>
      </c>
      <c r="B1741" t="s">
        <v>154</v>
      </c>
      <c r="C1741" t="s">
        <v>131</v>
      </c>
    </row>
    <row r="1742" spans="1:3" x14ac:dyDescent="0.25">
      <c r="A1742" t="s">
        <v>1275</v>
      </c>
      <c r="B1742" t="s">
        <v>27</v>
      </c>
      <c r="C1742" t="s">
        <v>834</v>
      </c>
    </row>
    <row r="1743" spans="1:3" x14ac:dyDescent="0.25">
      <c r="A1743" t="s">
        <v>1275</v>
      </c>
      <c r="B1743" t="s">
        <v>157</v>
      </c>
      <c r="C1743" t="s">
        <v>986</v>
      </c>
    </row>
    <row r="1744" spans="1:3" x14ac:dyDescent="0.25">
      <c r="A1744" t="s">
        <v>1275</v>
      </c>
      <c r="B1744" t="s">
        <v>159</v>
      </c>
      <c r="C1744" t="s">
        <v>987</v>
      </c>
    </row>
    <row r="1745" spans="1:3" x14ac:dyDescent="0.25">
      <c r="A1745" t="s">
        <v>1275</v>
      </c>
      <c r="B1745" t="s">
        <v>161</v>
      </c>
      <c r="C1745" t="s">
        <v>537</v>
      </c>
    </row>
    <row r="1746" spans="1:3" x14ac:dyDescent="0.25">
      <c r="A1746" t="s">
        <v>1276</v>
      </c>
      <c r="B1746" t="s">
        <v>3</v>
      </c>
      <c r="C1746" t="s">
        <v>169</v>
      </c>
    </row>
    <row r="1747" spans="1:3" x14ac:dyDescent="0.25">
      <c r="A1747" t="s">
        <v>1276</v>
      </c>
      <c r="B1747" t="s">
        <v>5</v>
      </c>
      <c r="C1747" t="s">
        <v>219</v>
      </c>
    </row>
    <row r="1748" spans="1:3" x14ac:dyDescent="0.25">
      <c r="A1748" t="s">
        <v>1276</v>
      </c>
      <c r="B1748" t="s">
        <v>7</v>
      </c>
      <c r="C1748" t="s">
        <v>320</v>
      </c>
    </row>
    <row r="1749" spans="1:3" x14ac:dyDescent="0.25">
      <c r="A1749" t="s">
        <v>1276</v>
      </c>
      <c r="B1749" t="s">
        <v>9</v>
      </c>
      <c r="C1749" t="s">
        <v>988</v>
      </c>
    </row>
    <row r="1750" spans="1:3" x14ac:dyDescent="0.25">
      <c r="A1750" t="s">
        <v>1276</v>
      </c>
      <c r="B1750" t="s">
        <v>11</v>
      </c>
      <c r="C1750" t="s">
        <v>167</v>
      </c>
    </row>
    <row r="1751" spans="1:3" x14ac:dyDescent="0.25">
      <c r="A1751" t="s">
        <v>1276</v>
      </c>
      <c r="B1751" t="s">
        <v>13</v>
      </c>
      <c r="C1751" t="s">
        <v>109</v>
      </c>
    </row>
    <row r="1752" spans="1:3" x14ac:dyDescent="0.25">
      <c r="A1752" t="s">
        <v>1276</v>
      </c>
      <c r="B1752" t="s">
        <v>15</v>
      </c>
      <c r="C1752" t="s">
        <v>285</v>
      </c>
    </row>
    <row r="1753" spans="1:3" x14ac:dyDescent="0.25">
      <c r="A1753" t="s">
        <v>1276</v>
      </c>
      <c r="B1753" t="s">
        <v>17</v>
      </c>
      <c r="C1753" t="s">
        <v>453</v>
      </c>
    </row>
    <row r="1754" spans="1:3" x14ac:dyDescent="0.25">
      <c r="A1754" t="s">
        <v>1276</v>
      </c>
      <c r="B1754" t="s">
        <v>19</v>
      </c>
      <c r="C1754" t="s">
        <v>569</v>
      </c>
    </row>
    <row r="1755" spans="1:3" x14ac:dyDescent="0.25">
      <c r="A1755" t="s">
        <v>1276</v>
      </c>
      <c r="B1755" t="s">
        <v>21</v>
      </c>
      <c r="C1755" t="s">
        <v>813</v>
      </c>
    </row>
    <row r="1756" spans="1:3" x14ac:dyDescent="0.25">
      <c r="A1756" t="s">
        <v>1276</v>
      </c>
      <c r="B1756" t="s">
        <v>23</v>
      </c>
      <c r="C1756" t="s">
        <v>923</v>
      </c>
    </row>
    <row r="1757" spans="1:3" x14ac:dyDescent="0.25">
      <c r="A1757" t="s">
        <v>1276</v>
      </c>
      <c r="B1757" t="s">
        <v>25</v>
      </c>
      <c r="C1757" t="s">
        <v>86</v>
      </c>
    </row>
    <row r="1758" spans="1:3" x14ac:dyDescent="0.25">
      <c r="A1758" t="s">
        <v>1276</v>
      </c>
      <c r="B1758" t="s">
        <v>27</v>
      </c>
      <c r="C1758" t="s">
        <v>945</v>
      </c>
    </row>
    <row r="1759" spans="1:3" x14ac:dyDescent="0.25">
      <c r="A1759" t="s">
        <v>1276</v>
      </c>
      <c r="B1759" t="s">
        <v>29</v>
      </c>
      <c r="C1759" t="s">
        <v>305</v>
      </c>
    </row>
    <row r="1760" spans="1:3" x14ac:dyDescent="0.25">
      <c r="A1760" t="s">
        <v>1276</v>
      </c>
      <c r="B1760" t="s">
        <v>31</v>
      </c>
      <c r="C1760" t="s">
        <v>526</v>
      </c>
    </row>
    <row r="1761" spans="1:3" x14ac:dyDescent="0.25">
      <c r="A1761" t="s">
        <v>1276</v>
      </c>
      <c r="B1761" t="s">
        <v>33</v>
      </c>
      <c r="C1761" t="s">
        <v>989</v>
      </c>
    </row>
    <row r="1762" spans="1:3" x14ac:dyDescent="0.25">
      <c r="A1762" t="s">
        <v>1277</v>
      </c>
      <c r="B1762" t="s">
        <v>3</v>
      </c>
      <c r="C1762" t="s">
        <v>430</v>
      </c>
    </row>
    <row r="1763" spans="1:3" x14ac:dyDescent="0.25">
      <c r="A1763" t="s">
        <v>1277</v>
      </c>
      <c r="B1763" t="s">
        <v>5</v>
      </c>
      <c r="C1763" t="s">
        <v>855</v>
      </c>
    </row>
    <row r="1764" spans="1:3" x14ac:dyDescent="0.25">
      <c r="A1764" t="s">
        <v>1277</v>
      </c>
      <c r="B1764" t="s">
        <v>7</v>
      </c>
      <c r="C1764" t="s">
        <v>990</v>
      </c>
    </row>
    <row r="1765" spans="1:3" x14ac:dyDescent="0.25">
      <c r="A1765" t="s">
        <v>1277</v>
      </c>
      <c r="B1765" t="s">
        <v>9</v>
      </c>
      <c r="C1765" t="s">
        <v>991</v>
      </c>
    </row>
    <row r="1766" spans="1:3" x14ac:dyDescent="0.25">
      <c r="A1766" t="s">
        <v>1277</v>
      </c>
      <c r="B1766" t="s">
        <v>11</v>
      </c>
      <c r="C1766" t="s">
        <v>39</v>
      </c>
    </row>
    <row r="1767" spans="1:3" x14ac:dyDescent="0.25">
      <c r="A1767" t="s">
        <v>1277</v>
      </c>
      <c r="B1767" t="s">
        <v>13</v>
      </c>
      <c r="C1767" t="s">
        <v>40</v>
      </c>
    </row>
    <row r="1768" spans="1:3" x14ac:dyDescent="0.25">
      <c r="A1768" t="s">
        <v>1277</v>
      </c>
      <c r="B1768" t="s">
        <v>15</v>
      </c>
      <c r="C1768" t="s">
        <v>992</v>
      </c>
    </row>
    <row r="1769" spans="1:3" x14ac:dyDescent="0.25">
      <c r="A1769" t="s">
        <v>1277</v>
      </c>
      <c r="B1769" t="s">
        <v>17</v>
      </c>
      <c r="C1769" t="s">
        <v>993</v>
      </c>
    </row>
    <row r="1770" spans="1:3" x14ac:dyDescent="0.25">
      <c r="A1770" t="s">
        <v>1277</v>
      </c>
      <c r="B1770" t="s">
        <v>19</v>
      </c>
      <c r="C1770" t="s">
        <v>994</v>
      </c>
    </row>
    <row r="1771" spans="1:3" x14ac:dyDescent="0.25">
      <c r="A1771" t="s">
        <v>1277</v>
      </c>
      <c r="B1771" t="s">
        <v>21</v>
      </c>
      <c r="C1771" t="s">
        <v>237</v>
      </c>
    </row>
    <row r="1772" spans="1:3" x14ac:dyDescent="0.25">
      <c r="A1772" t="s">
        <v>1277</v>
      </c>
      <c r="B1772" t="s">
        <v>23</v>
      </c>
      <c r="C1772" t="s">
        <v>995</v>
      </c>
    </row>
    <row r="1773" spans="1:3" x14ac:dyDescent="0.25">
      <c r="A1773" t="s">
        <v>1277</v>
      </c>
      <c r="B1773" t="s">
        <v>25</v>
      </c>
      <c r="C1773" t="s">
        <v>381</v>
      </c>
    </row>
    <row r="1774" spans="1:3" x14ac:dyDescent="0.25">
      <c r="A1774" t="s">
        <v>1277</v>
      </c>
      <c r="B1774" t="s">
        <v>27</v>
      </c>
      <c r="C1774" t="s">
        <v>670</v>
      </c>
    </row>
    <row r="1775" spans="1:3" x14ac:dyDescent="0.25">
      <c r="A1775" t="s">
        <v>1277</v>
      </c>
      <c r="B1775" t="s">
        <v>29</v>
      </c>
      <c r="C1775" t="s">
        <v>117</v>
      </c>
    </row>
    <row r="1776" spans="1:3" x14ac:dyDescent="0.25">
      <c r="A1776" t="s">
        <v>1277</v>
      </c>
      <c r="B1776" t="s">
        <v>31</v>
      </c>
      <c r="C1776" t="s">
        <v>834</v>
      </c>
    </row>
    <row r="1777" spans="1:3" x14ac:dyDescent="0.25">
      <c r="A1777" t="s">
        <v>1277</v>
      </c>
      <c r="B1777" t="s">
        <v>33</v>
      </c>
      <c r="C1777" t="s">
        <v>996</v>
      </c>
    </row>
    <row r="1778" spans="1:3" x14ac:dyDescent="0.25">
      <c r="A1778" t="s">
        <v>1278</v>
      </c>
      <c r="B1778" t="s">
        <v>3</v>
      </c>
      <c r="C1778" t="s">
        <v>364</v>
      </c>
    </row>
    <row r="1779" spans="1:3" x14ac:dyDescent="0.25">
      <c r="A1779" t="s">
        <v>1278</v>
      </c>
      <c r="B1779" t="s">
        <v>5</v>
      </c>
      <c r="C1779" t="s">
        <v>712</v>
      </c>
    </row>
    <row r="1780" spans="1:3" x14ac:dyDescent="0.25">
      <c r="A1780" t="s">
        <v>1278</v>
      </c>
      <c r="B1780" t="s">
        <v>7</v>
      </c>
      <c r="C1780" t="s">
        <v>972</v>
      </c>
    </row>
    <row r="1781" spans="1:3" x14ac:dyDescent="0.25">
      <c r="A1781" t="s">
        <v>1278</v>
      </c>
      <c r="B1781" t="s">
        <v>9</v>
      </c>
      <c r="C1781" t="s">
        <v>997</v>
      </c>
    </row>
    <row r="1782" spans="1:3" x14ac:dyDescent="0.25">
      <c r="A1782" t="s">
        <v>1278</v>
      </c>
      <c r="B1782" t="s">
        <v>11</v>
      </c>
      <c r="C1782" t="s">
        <v>476</v>
      </c>
    </row>
    <row r="1783" spans="1:3" x14ac:dyDescent="0.25">
      <c r="A1783" t="s">
        <v>1278</v>
      </c>
      <c r="B1783" t="s">
        <v>13</v>
      </c>
      <c r="C1783" t="s">
        <v>51</v>
      </c>
    </row>
    <row r="1784" spans="1:3" x14ac:dyDescent="0.25">
      <c r="A1784" t="s">
        <v>1278</v>
      </c>
      <c r="B1784" t="s">
        <v>15</v>
      </c>
      <c r="C1784" t="s">
        <v>67</v>
      </c>
    </row>
    <row r="1785" spans="1:3" x14ac:dyDescent="0.25">
      <c r="A1785" t="s">
        <v>1278</v>
      </c>
      <c r="B1785" t="s">
        <v>17</v>
      </c>
      <c r="C1785" t="s">
        <v>998</v>
      </c>
    </row>
    <row r="1786" spans="1:3" x14ac:dyDescent="0.25">
      <c r="A1786" t="s">
        <v>1278</v>
      </c>
      <c r="B1786" t="s">
        <v>19</v>
      </c>
      <c r="C1786" t="s">
        <v>687</v>
      </c>
    </row>
    <row r="1787" spans="1:3" x14ac:dyDescent="0.25">
      <c r="A1787" t="s">
        <v>1278</v>
      </c>
      <c r="B1787" t="s">
        <v>21</v>
      </c>
      <c r="C1787" t="s">
        <v>129</v>
      </c>
    </row>
    <row r="1788" spans="1:3" x14ac:dyDescent="0.25">
      <c r="A1788" t="s">
        <v>1278</v>
      </c>
      <c r="B1788" t="s">
        <v>23</v>
      </c>
      <c r="C1788" t="s">
        <v>251</v>
      </c>
    </row>
    <row r="1789" spans="1:3" x14ac:dyDescent="0.25">
      <c r="A1789" t="s">
        <v>1278</v>
      </c>
      <c r="B1789" t="s">
        <v>25</v>
      </c>
      <c r="C1789" t="s">
        <v>655</v>
      </c>
    </row>
    <row r="1790" spans="1:3" x14ac:dyDescent="0.25">
      <c r="A1790" t="s">
        <v>1278</v>
      </c>
      <c r="B1790" t="s">
        <v>27</v>
      </c>
      <c r="C1790" t="s">
        <v>656</v>
      </c>
    </row>
    <row r="1791" spans="1:3" x14ac:dyDescent="0.25">
      <c r="A1791" t="s">
        <v>1278</v>
      </c>
      <c r="B1791" t="s">
        <v>29</v>
      </c>
      <c r="C1791" t="s">
        <v>174</v>
      </c>
    </row>
    <row r="1792" spans="1:3" x14ac:dyDescent="0.25">
      <c r="A1792" t="s">
        <v>1278</v>
      </c>
      <c r="B1792" t="s">
        <v>31</v>
      </c>
      <c r="C1792" t="s">
        <v>293</v>
      </c>
    </row>
    <row r="1793" spans="1:3" x14ac:dyDescent="0.25">
      <c r="A1793" t="s">
        <v>1278</v>
      </c>
      <c r="B1793" t="s">
        <v>33</v>
      </c>
      <c r="C1793" t="s">
        <v>105</v>
      </c>
    </row>
    <row r="1794" spans="1:3" x14ac:dyDescent="0.25">
      <c r="A1794" t="s">
        <v>1279</v>
      </c>
      <c r="B1794" t="s">
        <v>134</v>
      </c>
      <c r="C1794" t="s">
        <v>538</v>
      </c>
    </row>
    <row r="1795" spans="1:3" x14ac:dyDescent="0.25">
      <c r="A1795" t="s">
        <v>1279</v>
      </c>
      <c r="B1795" t="s">
        <v>136</v>
      </c>
      <c r="C1795" t="s">
        <v>268</v>
      </c>
    </row>
    <row r="1796" spans="1:3" x14ac:dyDescent="0.25">
      <c r="A1796" t="s">
        <v>1279</v>
      </c>
      <c r="B1796" t="s">
        <v>7</v>
      </c>
      <c r="C1796" t="s">
        <v>294</v>
      </c>
    </row>
    <row r="1797" spans="1:3" x14ac:dyDescent="0.25">
      <c r="A1797" t="s">
        <v>1279</v>
      </c>
      <c r="B1797" t="s">
        <v>139</v>
      </c>
      <c r="C1797" t="s">
        <v>891</v>
      </c>
    </row>
    <row r="1798" spans="1:3" x14ac:dyDescent="0.25">
      <c r="A1798" t="s">
        <v>1279</v>
      </c>
      <c r="B1798" t="s">
        <v>141</v>
      </c>
      <c r="C1798" t="s">
        <v>167</v>
      </c>
    </row>
    <row r="1799" spans="1:3" x14ac:dyDescent="0.25">
      <c r="A1799" t="s">
        <v>1279</v>
      </c>
      <c r="B1799" t="s">
        <v>143</v>
      </c>
      <c r="C1799" t="s">
        <v>52</v>
      </c>
    </row>
    <row r="1800" spans="1:3" x14ac:dyDescent="0.25">
      <c r="A1800" t="s">
        <v>1279</v>
      </c>
      <c r="B1800" t="s">
        <v>144</v>
      </c>
      <c r="C1800" t="s">
        <v>285</v>
      </c>
    </row>
    <row r="1801" spans="1:3" x14ac:dyDescent="0.25">
      <c r="A1801" t="s">
        <v>1279</v>
      </c>
      <c r="B1801" t="s">
        <v>146</v>
      </c>
      <c r="C1801" t="s">
        <v>999</v>
      </c>
    </row>
    <row r="1802" spans="1:3" x14ac:dyDescent="0.25">
      <c r="A1802" t="s">
        <v>1279</v>
      </c>
      <c r="B1802" t="s">
        <v>148</v>
      </c>
      <c r="C1802" t="s">
        <v>1000</v>
      </c>
    </row>
    <row r="1803" spans="1:3" x14ac:dyDescent="0.25">
      <c r="A1803" t="s">
        <v>1279</v>
      </c>
      <c r="B1803" t="s">
        <v>150</v>
      </c>
      <c r="C1803" t="s">
        <v>302</v>
      </c>
    </row>
    <row r="1804" spans="1:3" x14ac:dyDescent="0.25">
      <c r="A1804" t="s">
        <v>1279</v>
      </c>
      <c r="B1804" t="s">
        <v>152</v>
      </c>
      <c r="C1804" t="s">
        <v>1001</v>
      </c>
    </row>
    <row r="1805" spans="1:3" x14ac:dyDescent="0.25">
      <c r="A1805" t="s">
        <v>1279</v>
      </c>
      <c r="B1805" t="s">
        <v>154</v>
      </c>
      <c r="C1805" t="s">
        <v>471</v>
      </c>
    </row>
    <row r="1806" spans="1:3" x14ac:dyDescent="0.25">
      <c r="A1806" t="s">
        <v>1279</v>
      </c>
      <c r="B1806" t="s">
        <v>27</v>
      </c>
      <c r="C1806" t="s">
        <v>160</v>
      </c>
    </row>
    <row r="1807" spans="1:3" x14ac:dyDescent="0.25">
      <c r="A1807" t="s">
        <v>1279</v>
      </c>
      <c r="B1807" t="s">
        <v>157</v>
      </c>
      <c r="C1807" t="s">
        <v>1002</v>
      </c>
    </row>
    <row r="1808" spans="1:3" x14ac:dyDescent="0.25">
      <c r="A1808" t="s">
        <v>1279</v>
      </c>
      <c r="B1808" t="s">
        <v>159</v>
      </c>
      <c r="C1808" t="s">
        <v>760</v>
      </c>
    </row>
    <row r="1809" spans="1:3" x14ac:dyDescent="0.25">
      <c r="A1809" t="s">
        <v>1279</v>
      </c>
      <c r="B1809" t="s">
        <v>161</v>
      </c>
      <c r="C1809" t="s">
        <v>537</v>
      </c>
    </row>
    <row r="1810" spans="1:3" x14ac:dyDescent="0.25">
      <c r="A1810" t="s">
        <v>1280</v>
      </c>
      <c r="B1810" t="s">
        <v>134</v>
      </c>
      <c r="C1810" t="s">
        <v>63</v>
      </c>
    </row>
    <row r="1811" spans="1:3" x14ac:dyDescent="0.25">
      <c r="A1811" t="s">
        <v>1280</v>
      </c>
      <c r="B1811" t="s">
        <v>136</v>
      </c>
      <c r="C1811" t="s">
        <v>868</v>
      </c>
    </row>
    <row r="1812" spans="1:3" x14ac:dyDescent="0.25">
      <c r="A1812" t="s">
        <v>1280</v>
      </c>
      <c r="B1812" t="s">
        <v>7</v>
      </c>
      <c r="C1812" t="s">
        <v>903</v>
      </c>
    </row>
    <row r="1813" spans="1:3" x14ac:dyDescent="0.25">
      <c r="A1813" t="s">
        <v>1280</v>
      </c>
      <c r="B1813" t="s">
        <v>139</v>
      </c>
      <c r="C1813" t="s">
        <v>876</v>
      </c>
    </row>
    <row r="1814" spans="1:3" x14ac:dyDescent="0.25">
      <c r="A1814" t="s">
        <v>1280</v>
      </c>
      <c r="B1814" t="s">
        <v>141</v>
      </c>
      <c r="C1814" t="s">
        <v>476</v>
      </c>
    </row>
    <row r="1815" spans="1:3" x14ac:dyDescent="0.25">
      <c r="A1815" t="s">
        <v>1280</v>
      </c>
      <c r="B1815" t="s">
        <v>143</v>
      </c>
      <c r="C1815" t="s">
        <v>14</v>
      </c>
    </row>
    <row r="1816" spans="1:3" x14ac:dyDescent="0.25">
      <c r="A1816" t="s">
        <v>1280</v>
      </c>
      <c r="B1816" t="s">
        <v>144</v>
      </c>
      <c r="C1816" t="s">
        <v>678</v>
      </c>
    </row>
    <row r="1817" spans="1:3" x14ac:dyDescent="0.25">
      <c r="A1817" t="s">
        <v>1280</v>
      </c>
      <c r="B1817" t="s">
        <v>146</v>
      </c>
      <c r="C1817" t="s">
        <v>1003</v>
      </c>
    </row>
    <row r="1818" spans="1:3" x14ac:dyDescent="0.25">
      <c r="A1818" t="s">
        <v>1280</v>
      </c>
      <c r="B1818" t="s">
        <v>148</v>
      </c>
      <c r="C1818" t="s">
        <v>941</v>
      </c>
    </row>
    <row r="1819" spans="1:3" x14ac:dyDescent="0.25">
      <c r="A1819" t="s">
        <v>1280</v>
      </c>
      <c r="B1819" t="s">
        <v>150</v>
      </c>
      <c r="C1819" t="s">
        <v>1004</v>
      </c>
    </row>
    <row r="1820" spans="1:3" x14ac:dyDescent="0.25">
      <c r="A1820" t="s">
        <v>1280</v>
      </c>
      <c r="B1820" t="s">
        <v>152</v>
      </c>
      <c r="C1820" t="s">
        <v>468</v>
      </c>
    </row>
    <row r="1821" spans="1:3" x14ac:dyDescent="0.25">
      <c r="A1821" t="s">
        <v>1280</v>
      </c>
      <c r="B1821" t="s">
        <v>154</v>
      </c>
      <c r="C1821" t="s">
        <v>58</v>
      </c>
    </row>
    <row r="1822" spans="1:3" x14ac:dyDescent="0.25">
      <c r="A1822" t="s">
        <v>1280</v>
      </c>
      <c r="B1822" t="s">
        <v>27</v>
      </c>
      <c r="C1822" t="s">
        <v>483</v>
      </c>
    </row>
    <row r="1823" spans="1:3" x14ac:dyDescent="0.25">
      <c r="A1823" t="s">
        <v>1280</v>
      </c>
      <c r="B1823" t="s">
        <v>157</v>
      </c>
      <c r="C1823" t="s">
        <v>620</v>
      </c>
    </row>
    <row r="1824" spans="1:3" x14ac:dyDescent="0.25">
      <c r="A1824" t="s">
        <v>1280</v>
      </c>
      <c r="B1824" t="s">
        <v>159</v>
      </c>
      <c r="C1824" t="s">
        <v>304</v>
      </c>
    </row>
    <row r="1825" spans="1:3" x14ac:dyDescent="0.25">
      <c r="A1825" t="s">
        <v>1280</v>
      </c>
      <c r="B1825" t="s">
        <v>161</v>
      </c>
      <c r="C1825" t="s">
        <v>414</v>
      </c>
    </row>
    <row r="1826" spans="1:3" x14ac:dyDescent="0.25">
      <c r="A1826" t="s">
        <v>1281</v>
      </c>
      <c r="B1826" t="s">
        <v>3</v>
      </c>
      <c r="C1826" t="s">
        <v>915</v>
      </c>
    </row>
    <row r="1827" spans="1:3" x14ac:dyDescent="0.25">
      <c r="A1827" t="s">
        <v>1281</v>
      </c>
      <c r="B1827" t="s">
        <v>5</v>
      </c>
      <c r="C1827" t="s">
        <v>1005</v>
      </c>
    </row>
    <row r="1828" spans="1:3" x14ac:dyDescent="0.25">
      <c r="A1828" t="s">
        <v>1281</v>
      </c>
      <c r="B1828" t="s">
        <v>7</v>
      </c>
      <c r="C1828" t="s">
        <v>1006</v>
      </c>
    </row>
    <row r="1829" spans="1:3" x14ac:dyDescent="0.25">
      <c r="A1829" t="s">
        <v>1281</v>
      </c>
      <c r="B1829" t="s">
        <v>9</v>
      </c>
      <c r="C1829" t="s">
        <v>1007</v>
      </c>
    </row>
    <row r="1830" spans="1:3" x14ac:dyDescent="0.25">
      <c r="A1830" t="s">
        <v>1281</v>
      </c>
      <c r="B1830" t="s">
        <v>11</v>
      </c>
      <c r="C1830" t="s">
        <v>335</v>
      </c>
    </row>
    <row r="1831" spans="1:3" x14ac:dyDescent="0.25">
      <c r="A1831" t="s">
        <v>1281</v>
      </c>
      <c r="B1831" t="s">
        <v>13</v>
      </c>
      <c r="C1831" t="s">
        <v>270</v>
      </c>
    </row>
    <row r="1832" spans="1:3" x14ac:dyDescent="0.25">
      <c r="A1832" t="s">
        <v>1281</v>
      </c>
      <c r="B1832" t="s">
        <v>15</v>
      </c>
      <c r="C1832" t="s">
        <v>838</v>
      </c>
    </row>
    <row r="1833" spans="1:3" x14ac:dyDescent="0.25">
      <c r="A1833" t="s">
        <v>1281</v>
      </c>
      <c r="B1833" t="s">
        <v>17</v>
      </c>
      <c r="C1833" t="s">
        <v>666</v>
      </c>
    </row>
    <row r="1834" spans="1:3" x14ac:dyDescent="0.25">
      <c r="A1834" t="s">
        <v>1281</v>
      </c>
      <c r="B1834" t="s">
        <v>19</v>
      </c>
      <c r="C1834" t="s">
        <v>83</v>
      </c>
    </row>
    <row r="1835" spans="1:3" x14ac:dyDescent="0.25">
      <c r="A1835" t="s">
        <v>1281</v>
      </c>
      <c r="B1835" t="s">
        <v>21</v>
      </c>
      <c r="C1835" t="s">
        <v>734</v>
      </c>
    </row>
    <row r="1836" spans="1:3" x14ac:dyDescent="0.25">
      <c r="A1836" t="s">
        <v>1281</v>
      </c>
      <c r="B1836" t="s">
        <v>23</v>
      </c>
      <c r="C1836" t="s">
        <v>1008</v>
      </c>
    </row>
    <row r="1837" spans="1:3" x14ac:dyDescent="0.25">
      <c r="A1837" t="s">
        <v>1281</v>
      </c>
      <c r="B1837" t="s">
        <v>25</v>
      </c>
      <c r="C1837" t="s">
        <v>186</v>
      </c>
    </row>
    <row r="1838" spans="1:3" x14ac:dyDescent="0.25">
      <c r="A1838" t="s">
        <v>1281</v>
      </c>
      <c r="B1838" t="s">
        <v>27</v>
      </c>
      <c r="C1838" t="s">
        <v>1009</v>
      </c>
    </row>
    <row r="1839" spans="1:3" x14ac:dyDescent="0.25">
      <c r="A1839" t="s">
        <v>1281</v>
      </c>
      <c r="B1839" t="s">
        <v>29</v>
      </c>
      <c r="C1839" t="s">
        <v>926</v>
      </c>
    </row>
    <row r="1840" spans="1:3" x14ac:dyDescent="0.25">
      <c r="A1840" t="s">
        <v>1281</v>
      </c>
      <c r="B1840" t="s">
        <v>31</v>
      </c>
      <c r="C1840" t="s">
        <v>1010</v>
      </c>
    </row>
    <row r="1841" spans="1:3" x14ac:dyDescent="0.25">
      <c r="A1841" t="s">
        <v>1281</v>
      </c>
      <c r="B1841" t="s">
        <v>33</v>
      </c>
      <c r="C1841" t="s">
        <v>279</v>
      </c>
    </row>
    <row r="1842" spans="1:3" x14ac:dyDescent="0.25">
      <c r="A1842" t="s">
        <v>1282</v>
      </c>
      <c r="B1842" t="s">
        <v>3</v>
      </c>
      <c r="C1842" t="s">
        <v>106</v>
      </c>
    </row>
    <row r="1843" spans="1:3" x14ac:dyDescent="0.25">
      <c r="A1843" t="s">
        <v>1282</v>
      </c>
      <c r="B1843" t="s">
        <v>5</v>
      </c>
      <c r="C1843" t="s">
        <v>806</v>
      </c>
    </row>
    <row r="1844" spans="1:3" x14ac:dyDescent="0.25">
      <c r="A1844" t="s">
        <v>1282</v>
      </c>
      <c r="B1844" t="s">
        <v>7</v>
      </c>
      <c r="C1844" t="s">
        <v>308</v>
      </c>
    </row>
    <row r="1845" spans="1:3" x14ac:dyDescent="0.25">
      <c r="A1845" t="s">
        <v>1282</v>
      </c>
      <c r="B1845" t="s">
        <v>9</v>
      </c>
      <c r="C1845" t="s">
        <v>518</v>
      </c>
    </row>
    <row r="1846" spans="1:3" x14ac:dyDescent="0.25">
      <c r="A1846" t="s">
        <v>1282</v>
      </c>
      <c r="B1846" t="s">
        <v>11</v>
      </c>
      <c r="C1846" t="s">
        <v>52</v>
      </c>
    </row>
    <row r="1847" spans="1:3" x14ac:dyDescent="0.25">
      <c r="A1847" t="s">
        <v>1282</v>
      </c>
      <c r="B1847" t="s">
        <v>13</v>
      </c>
      <c r="C1847" t="s">
        <v>40</v>
      </c>
    </row>
    <row r="1848" spans="1:3" x14ac:dyDescent="0.25">
      <c r="A1848" t="s">
        <v>1282</v>
      </c>
      <c r="B1848" t="s">
        <v>15</v>
      </c>
      <c r="C1848" t="s">
        <v>1011</v>
      </c>
    </row>
    <row r="1849" spans="1:3" x14ac:dyDescent="0.25">
      <c r="A1849" t="s">
        <v>1282</v>
      </c>
      <c r="B1849" t="s">
        <v>17</v>
      </c>
      <c r="C1849" t="s">
        <v>998</v>
      </c>
    </row>
    <row r="1850" spans="1:3" x14ac:dyDescent="0.25">
      <c r="A1850" t="s">
        <v>1282</v>
      </c>
      <c r="B1850" t="s">
        <v>19</v>
      </c>
      <c r="C1850" t="s">
        <v>287</v>
      </c>
    </row>
    <row r="1851" spans="1:3" x14ac:dyDescent="0.25">
      <c r="A1851" t="s">
        <v>1282</v>
      </c>
      <c r="B1851" t="s">
        <v>21</v>
      </c>
      <c r="C1851" t="s">
        <v>379</v>
      </c>
    </row>
    <row r="1852" spans="1:3" x14ac:dyDescent="0.25">
      <c r="A1852" t="s">
        <v>1282</v>
      </c>
      <c r="B1852" t="s">
        <v>23</v>
      </c>
      <c r="C1852" t="s">
        <v>1012</v>
      </c>
    </row>
    <row r="1853" spans="1:3" x14ac:dyDescent="0.25">
      <c r="A1853" t="s">
        <v>1282</v>
      </c>
      <c r="B1853" t="s">
        <v>25</v>
      </c>
      <c r="C1853" t="s">
        <v>115</v>
      </c>
    </row>
    <row r="1854" spans="1:3" x14ac:dyDescent="0.25">
      <c r="A1854" t="s">
        <v>1282</v>
      </c>
      <c r="B1854" t="s">
        <v>27</v>
      </c>
      <c r="C1854" t="s">
        <v>229</v>
      </c>
    </row>
    <row r="1855" spans="1:3" x14ac:dyDescent="0.25">
      <c r="A1855" t="s">
        <v>1282</v>
      </c>
      <c r="B1855" t="s">
        <v>29</v>
      </c>
      <c r="C1855" t="s">
        <v>494</v>
      </c>
    </row>
    <row r="1856" spans="1:3" x14ac:dyDescent="0.25">
      <c r="A1856" t="s">
        <v>1282</v>
      </c>
      <c r="B1856" t="s">
        <v>31</v>
      </c>
      <c r="C1856" t="s">
        <v>1013</v>
      </c>
    </row>
    <row r="1857" spans="1:3" x14ac:dyDescent="0.25">
      <c r="A1857" t="s">
        <v>1282</v>
      </c>
      <c r="B1857" t="s">
        <v>33</v>
      </c>
      <c r="C1857" t="s">
        <v>404</v>
      </c>
    </row>
    <row r="1858" spans="1:3" x14ac:dyDescent="0.25">
      <c r="A1858" t="s">
        <v>1283</v>
      </c>
      <c r="B1858" t="s">
        <v>3</v>
      </c>
      <c r="C1858" t="s">
        <v>746</v>
      </c>
    </row>
    <row r="1859" spans="1:3" x14ac:dyDescent="0.25">
      <c r="A1859" t="s">
        <v>1283</v>
      </c>
      <c r="B1859" t="s">
        <v>5</v>
      </c>
      <c r="C1859" t="s">
        <v>1014</v>
      </c>
    </row>
    <row r="1860" spans="1:3" x14ac:dyDescent="0.25">
      <c r="A1860" t="s">
        <v>1283</v>
      </c>
      <c r="B1860" t="s">
        <v>7</v>
      </c>
      <c r="C1860" t="s">
        <v>343</v>
      </c>
    </row>
    <row r="1861" spans="1:3" x14ac:dyDescent="0.25">
      <c r="A1861" t="s">
        <v>1283</v>
      </c>
      <c r="B1861" t="s">
        <v>9</v>
      </c>
      <c r="C1861" t="s">
        <v>1015</v>
      </c>
    </row>
    <row r="1862" spans="1:3" x14ac:dyDescent="0.25">
      <c r="A1862" t="s">
        <v>1283</v>
      </c>
      <c r="B1862" t="s">
        <v>11</v>
      </c>
      <c r="C1862" t="s">
        <v>1016</v>
      </c>
    </row>
    <row r="1863" spans="1:3" x14ac:dyDescent="0.25">
      <c r="A1863" t="s">
        <v>1283</v>
      </c>
      <c r="B1863" t="s">
        <v>13</v>
      </c>
      <c r="C1863" t="s">
        <v>476</v>
      </c>
    </row>
    <row r="1864" spans="1:3" x14ac:dyDescent="0.25">
      <c r="A1864" t="s">
        <v>1283</v>
      </c>
      <c r="B1864" t="s">
        <v>15</v>
      </c>
      <c r="C1864" t="s">
        <v>600</v>
      </c>
    </row>
    <row r="1865" spans="1:3" x14ac:dyDescent="0.25">
      <c r="A1865" t="s">
        <v>1283</v>
      </c>
      <c r="B1865" t="s">
        <v>17</v>
      </c>
      <c r="C1865" t="s">
        <v>286</v>
      </c>
    </row>
    <row r="1866" spans="1:3" x14ac:dyDescent="0.25">
      <c r="A1866" t="s">
        <v>1283</v>
      </c>
      <c r="B1866" t="s">
        <v>19</v>
      </c>
      <c r="C1866" t="s">
        <v>112</v>
      </c>
    </row>
    <row r="1867" spans="1:3" x14ac:dyDescent="0.25">
      <c r="A1867" t="s">
        <v>1283</v>
      </c>
      <c r="B1867" t="s">
        <v>21</v>
      </c>
      <c r="C1867" t="s">
        <v>448</v>
      </c>
    </row>
    <row r="1868" spans="1:3" x14ac:dyDescent="0.25">
      <c r="A1868" t="s">
        <v>1283</v>
      </c>
      <c r="B1868" t="s">
        <v>23</v>
      </c>
      <c r="C1868" t="s">
        <v>380</v>
      </c>
    </row>
    <row r="1869" spans="1:3" x14ac:dyDescent="0.25">
      <c r="A1869" t="s">
        <v>1283</v>
      </c>
      <c r="B1869" t="s">
        <v>25</v>
      </c>
      <c r="C1869" t="s">
        <v>450</v>
      </c>
    </row>
    <row r="1870" spans="1:3" x14ac:dyDescent="0.25">
      <c r="A1870" t="s">
        <v>1283</v>
      </c>
      <c r="B1870" t="s">
        <v>27</v>
      </c>
      <c r="C1870" t="s">
        <v>908</v>
      </c>
    </row>
    <row r="1871" spans="1:3" x14ac:dyDescent="0.25">
      <c r="A1871" t="s">
        <v>1283</v>
      </c>
      <c r="B1871" t="s">
        <v>29</v>
      </c>
      <c r="C1871" t="s">
        <v>383</v>
      </c>
    </row>
    <row r="1872" spans="1:3" x14ac:dyDescent="0.25">
      <c r="A1872" t="s">
        <v>1283</v>
      </c>
      <c r="B1872" t="s">
        <v>31</v>
      </c>
      <c r="C1872" t="s">
        <v>812</v>
      </c>
    </row>
    <row r="1873" spans="1:3" x14ac:dyDescent="0.25">
      <c r="A1873" t="s">
        <v>1283</v>
      </c>
      <c r="B1873" t="s">
        <v>33</v>
      </c>
      <c r="C1873" t="s">
        <v>241</v>
      </c>
    </row>
    <row r="1874" spans="1:3" x14ac:dyDescent="0.25">
      <c r="A1874" t="s">
        <v>1284</v>
      </c>
      <c r="B1874" t="s">
        <v>3</v>
      </c>
      <c r="C1874" t="s">
        <v>106</v>
      </c>
    </row>
    <row r="1875" spans="1:3" x14ac:dyDescent="0.25">
      <c r="A1875" t="s">
        <v>1284</v>
      </c>
      <c r="B1875" t="s">
        <v>5</v>
      </c>
      <c r="C1875" t="s">
        <v>352</v>
      </c>
    </row>
    <row r="1876" spans="1:3" x14ac:dyDescent="0.25">
      <c r="A1876" t="s">
        <v>1284</v>
      </c>
      <c r="B1876" t="s">
        <v>7</v>
      </c>
      <c r="C1876" t="s">
        <v>282</v>
      </c>
    </row>
    <row r="1877" spans="1:3" x14ac:dyDescent="0.25">
      <c r="A1877" t="s">
        <v>1284</v>
      </c>
      <c r="B1877" t="s">
        <v>9</v>
      </c>
      <c r="C1877" t="s">
        <v>1017</v>
      </c>
    </row>
    <row r="1878" spans="1:3" x14ac:dyDescent="0.25">
      <c r="A1878" t="s">
        <v>1284</v>
      </c>
      <c r="B1878" t="s">
        <v>11</v>
      </c>
      <c r="C1878" t="s">
        <v>14</v>
      </c>
    </row>
    <row r="1879" spans="1:3" x14ac:dyDescent="0.25">
      <c r="A1879" t="s">
        <v>1284</v>
      </c>
      <c r="B1879" t="s">
        <v>13</v>
      </c>
      <c r="C1879" t="s">
        <v>167</v>
      </c>
    </row>
    <row r="1880" spans="1:3" x14ac:dyDescent="0.25">
      <c r="A1880" t="s">
        <v>1284</v>
      </c>
      <c r="B1880" t="s">
        <v>15</v>
      </c>
      <c r="C1880" t="s">
        <v>1011</v>
      </c>
    </row>
    <row r="1881" spans="1:3" x14ac:dyDescent="0.25">
      <c r="A1881" t="s">
        <v>1284</v>
      </c>
      <c r="B1881" t="s">
        <v>17</v>
      </c>
      <c r="C1881" t="s">
        <v>1018</v>
      </c>
    </row>
    <row r="1882" spans="1:3" x14ac:dyDescent="0.25">
      <c r="A1882" t="s">
        <v>1284</v>
      </c>
      <c r="B1882" t="s">
        <v>19</v>
      </c>
      <c r="C1882" t="s">
        <v>1019</v>
      </c>
    </row>
    <row r="1883" spans="1:3" x14ac:dyDescent="0.25">
      <c r="A1883" t="s">
        <v>1284</v>
      </c>
      <c r="B1883" t="s">
        <v>21</v>
      </c>
      <c r="C1883" t="s">
        <v>1020</v>
      </c>
    </row>
    <row r="1884" spans="1:3" x14ac:dyDescent="0.25">
      <c r="A1884" t="s">
        <v>1284</v>
      </c>
      <c r="B1884" t="s">
        <v>23</v>
      </c>
      <c r="C1884" t="s">
        <v>1021</v>
      </c>
    </row>
    <row r="1885" spans="1:3" x14ac:dyDescent="0.25">
      <c r="A1885" t="s">
        <v>1284</v>
      </c>
      <c r="B1885" t="s">
        <v>25</v>
      </c>
      <c r="C1885" t="s">
        <v>493</v>
      </c>
    </row>
    <row r="1886" spans="1:3" x14ac:dyDescent="0.25">
      <c r="A1886" t="s">
        <v>1284</v>
      </c>
      <c r="B1886" t="s">
        <v>27</v>
      </c>
      <c r="C1886" t="s">
        <v>87</v>
      </c>
    </row>
    <row r="1887" spans="1:3" x14ac:dyDescent="0.25">
      <c r="A1887" t="s">
        <v>1284</v>
      </c>
      <c r="B1887" t="s">
        <v>29</v>
      </c>
      <c r="C1887" t="s">
        <v>174</v>
      </c>
    </row>
    <row r="1888" spans="1:3" x14ac:dyDescent="0.25">
      <c r="A1888" t="s">
        <v>1284</v>
      </c>
      <c r="B1888" t="s">
        <v>31</v>
      </c>
      <c r="C1888" t="s">
        <v>1022</v>
      </c>
    </row>
    <row r="1889" spans="1:3" x14ac:dyDescent="0.25">
      <c r="A1889" t="s">
        <v>1284</v>
      </c>
      <c r="B1889" t="s">
        <v>33</v>
      </c>
      <c r="C1889" t="s">
        <v>372</v>
      </c>
    </row>
    <row r="1890" spans="1:3" x14ac:dyDescent="0.25">
      <c r="A1890" t="s">
        <v>1285</v>
      </c>
      <c r="B1890" t="s">
        <v>3</v>
      </c>
      <c r="C1890" t="s">
        <v>1023</v>
      </c>
    </row>
    <row r="1891" spans="1:3" x14ac:dyDescent="0.25">
      <c r="A1891" t="s">
        <v>1285</v>
      </c>
      <c r="B1891" t="s">
        <v>5</v>
      </c>
      <c r="C1891" t="s">
        <v>527</v>
      </c>
    </row>
    <row r="1892" spans="1:3" x14ac:dyDescent="0.25">
      <c r="A1892" t="s">
        <v>1285</v>
      </c>
      <c r="B1892" t="s">
        <v>7</v>
      </c>
      <c r="C1892" t="s">
        <v>65</v>
      </c>
    </row>
    <row r="1893" spans="1:3" x14ac:dyDescent="0.25">
      <c r="A1893" t="s">
        <v>1285</v>
      </c>
      <c r="B1893" t="s">
        <v>9</v>
      </c>
      <c r="C1893" t="s">
        <v>1024</v>
      </c>
    </row>
    <row r="1894" spans="1:3" x14ac:dyDescent="0.25">
      <c r="A1894" t="s">
        <v>1285</v>
      </c>
      <c r="B1894" t="s">
        <v>11</v>
      </c>
      <c r="C1894" t="s">
        <v>500</v>
      </c>
    </row>
    <row r="1895" spans="1:3" x14ac:dyDescent="0.25">
      <c r="A1895" t="s">
        <v>1285</v>
      </c>
      <c r="B1895" t="s">
        <v>13</v>
      </c>
      <c r="C1895" t="s">
        <v>222</v>
      </c>
    </row>
    <row r="1896" spans="1:3" x14ac:dyDescent="0.25">
      <c r="A1896" t="s">
        <v>1285</v>
      </c>
      <c r="B1896" t="s">
        <v>15</v>
      </c>
      <c r="C1896" t="s">
        <v>1025</v>
      </c>
    </row>
    <row r="1897" spans="1:3" x14ac:dyDescent="0.25">
      <c r="A1897" t="s">
        <v>1285</v>
      </c>
      <c r="B1897" t="s">
        <v>17</v>
      </c>
      <c r="C1897" t="s">
        <v>1026</v>
      </c>
    </row>
    <row r="1898" spans="1:3" x14ac:dyDescent="0.25">
      <c r="A1898" t="s">
        <v>1285</v>
      </c>
      <c r="B1898" t="s">
        <v>19</v>
      </c>
      <c r="C1898" t="s">
        <v>832</v>
      </c>
    </row>
    <row r="1899" spans="1:3" x14ac:dyDescent="0.25">
      <c r="A1899" t="s">
        <v>1285</v>
      </c>
      <c r="B1899" t="s">
        <v>21</v>
      </c>
      <c r="C1899" t="s">
        <v>1027</v>
      </c>
    </row>
    <row r="1900" spans="1:3" x14ac:dyDescent="0.25">
      <c r="A1900" t="s">
        <v>1285</v>
      </c>
      <c r="B1900" t="s">
        <v>23</v>
      </c>
      <c r="C1900" t="s">
        <v>1028</v>
      </c>
    </row>
    <row r="1901" spans="1:3" x14ac:dyDescent="0.25">
      <c r="A1901" t="s">
        <v>1285</v>
      </c>
      <c r="B1901" t="s">
        <v>25</v>
      </c>
      <c r="C1901" t="s">
        <v>513</v>
      </c>
    </row>
    <row r="1902" spans="1:3" x14ac:dyDescent="0.25">
      <c r="A1902" t="s">
        <v>1285</v>
      </c>
      <c r="B1902" t="s">
        <v>27</v>
      </c>
      <c r="C1902" t="s">
        <v>724</v>
      </c>
    </row>
    <row r="1903" spans="1:3" x14ac:dyDescent="0.25">
      <c r="A1903" t="s">
        <v>1285</v>
      </c>
      <c r="B1903" t="s">
        <v>29</v>
      </c>
      <c r="C1903" t="s">
        <v>471</v>
      </c>
    </row>
    <row r="1904" spans="1:3" x14ac:dyDescent="0.25">
      <c r="A1904" t="s">
        <v>1285</v>
      </c>
      <c r="B1904" t="s">
        <v>31</v>
      </c>
      <c r="C1904" t="s">
        <v>914</v>
      </c>
    </row>
    <row r="1905" spans="1:3" x14ac:dyDescent="0.25">
      <c r="A1905" t="s">
        <v>1285</v>
      </c>
      <c r="B1905" t="s">
        <v>33</v>
      </c>
      <c r="C1905" t="s">
        <v>901</v>
      </c>
    </row>
    <row r="1906" spans="1:3" x14ac:dyDescent="0.25">
      <c r="A1906" t="s">
        <v>1286</v>
      </c>
      <c r="B1906" t="s">
        <v>3</v>
      </c>
      <c r="C1906" t="s">
        <v>755</v>
      </c>
    </row>
    <row r="1907" spans="1:3" x14ac:dyDescent="0.25">
      <c r="A1907" t="s">
        <v>1286</v>
      </c>
      <c r="B1907" t="s">
        <v>5</v>
      </c>
      <c r="C1907" t="s">
        <v>1029</v>
      </c>
    </row>
    <row r="1908" spans="1:3" x14ac:dyDescent="0.25">
      <c r="A1908" t="s">
        <v>1286</v>
      </c>
      <c r="B1908" t="s">
        <v>7</v>
      </c>
      <c r="C1908" t="s">
        <v>396</v>
      </c>
    </row>
    <row r="1909" spans="1:3" x14ac:dyDescent="0.25">
      <c r="A1909" t="s">
        <v>1286</v>
      </c>
      <c r="B1909" t="s">
        <v>9</v>
      </c>
      <c r="C1909" t="s">
        <v>1030</v>
      </c>
    </row>
    <row r="1910" spans="1:3" x14ac:dyDescent="0.25">
      <c r="A1910" t="s">
        <v>1286</v>
      </c>
      <c r="B1910" t="s">
        <v>11</v>
      </c>
      <c r="C1910" t="s">
        <v>52</v>
      </c>
    </row>
    <row r="1911" spans="1:3" x14ac:dyDescent="0.25">
      <c r="A1911" t="s">
        <v>1286</v>
      </c>
      <c r="B1911" t="s">
        <v>13</v>
      </c>
      <c r="C1911" t="s">
        <v>40</v>
      </c>
    </row>
    <row r="1912" spans="1:3" x14ac:dyDescent="0.25">
      <c r="A1912" t="s">
        <v>1286</v>
      </c>
      <c r="B1912" t="s">
        <v>15</v>
      </c>
      <c r="C1912" t="s">
        <v>500</v>
      </c>
    </row>
    <row r="1913" spans="1:3" x14ac:dyDescent="0.25">
      <c r="A1913" t="s">
        <v>1286</v>
      </c>
      <c r="B1913" t="s">
        <v>17</v>
      </c>
      <c r="C1913" t="s">
        <v>300</v>
      </c>
    </row>
    <row r="1914" spans="1:3" x14ac:dyDescent="0.25">
      <c r="A1914" t="s">
        <v>1286</v>
      </c>
      <c r="B1914" t="s">
        <v>19</v>
      </c>
      <c r="C1914" t="s">
        <v>791</v>
      </c>
    </row>
    <row r="1915" spans="1:3" x14ac:dyDescent="0.25">
      <c r="A1915" t="s">
        <v>1286</v>
      </c>
      <c r="B1915" t="s">
        <v>21</v>
      </c>
      <c r="C1915" t="s">
        <v>1031</v>
      </c>
    </row>
    <row r="1916" spans="1:3" x14ac:dyDescent="0.25">
      <c r="A1916" t="s">
        <v>1286</v>
      </c>
      <c r="B1916" t="s">
        <v>23</v>
      </c>
      <c r="C1916" t="s">
        <v>708</v>
      </c>
    </row>
    <row r="1917" spans="1:3" x14ac:dyDescent="0.25">
      <c r="A1917" t="s">
        <v>1286</v>
      </c>
      <c r="B1917" t="s">
        <v>25</v>
      </c>
      <c r="C1917" t="s">
        <v>471</v>
      </c>
    </row>
    <row r="1918" spans="1:3" x14ac:dyDescent="0.25">
      <c r="A1918" t="s">
        <v>1286</v>
      </c>
      <c r="B1918" t="s">
        <v>27</v>
      </c>
      <c r="C1918" t="s">
        <v>612</v>
      </c>
    </row>
    <row r="1919" spans="1:3" x14ac:dyDescent="0.25">
      <c r="A1919" t="s">
        <v>1286</v>
      </c>
      <c r="B1919" t="s">
        <v>29</v>
      </c>
      <c r="C1919" t="s">
        <v>1032</v>
      </c>
    </row>
    <row r="1920" spans="1:3" x14ac:dyDescent="0.25">
      <c r="A1920" t="s">
        <v>1286</v>
      </c>
      <c r="B1920" t="s">
        <v>31</v>
      </c>
      <c r="C1920" t="s">
        <v>112</v>
      </c>
    </row>
    <row r="1921" spans="1:3" x14ac:dyDescent="0.25">
      <c r="A1921" t="s">
        <v>1286</v>
      </c>
      <c r="B1921" t="s">
        <v>33</v>
      </c>
      <c r="C1921" t="s">
        <v>1033</v>
      </c>
    </row>
    <row r="1922" spans="1:3" x14ac:dyDescent="0.25">
      <c r="A1922" t="s">
        <v>1287</v>
      </c>
      <c r="B1922" t="s">
        <v>134</v>
      </c>
      <c r="C1922" t="s">
        <v>1034</v>
      </c>
    </row>
    <row r="1923" spans="1:3" x14ac:dyDescent="0.25">
      <c r="A1923" t="s">
        <v>1287</v>
      </c>
      <c r="B1923" t="s">
        <v>136</v>
      </c>
      <c r="C1923" t="s">
        <v>1035</v>
      </c>
    </row>
    <row r="1924" spans="1:3" x14ac:dyDescent="0.25">
      <c r="A1924" t="s">
        <v>1287</v>
      </c>
      <c r="B1924" t="s">
        <v>7</v>
      </c>
      <c r="C1924" t="s">
        <v>65</v>
      </c>
    </row>
    <row r="1925" spans="1:3" x14ac:dyDescent="0.25">
      <c r="A1925" t="s">
        <v>1287</v>
      </c>
      <c r="B1925" t="s">
        <v>139</v>
      </c>
      <c r="C1925" t="s">
        <v>1036</v>
      </c>
    </row>
    <row r="1926" spans="1:3" x14ac:dyDescent="0.25">
      <c r="A1926" t="s">
        <v>1287</v>
      </c>
      <c r="B1926" t="s">
        <v>141</v>
      </c>
      <c r="C1926" t="s">
        <v>1016</v>
      </c>
    </row>
    <row r="1927" spans="1:3" x14ac:dyDescent="0.25">
      <c r="A1927" t="s">
        <v>1287</v>
      </c>
      <c r="B1927" t="s">
        <v>143</v>
      </c>
      <c r="C1927" t="s">
        <v>12</v>
      </c>
    </row>
    <row r="1928" spans="1:3" x14ac:dyDescent="0.25">
      <c r="A1928" t="s">
        <v>1287</v>
      </c>
      <c r="B1928" t="s">
        <v>144</v>
      </c>
      <c r="C1928" t="s">
        <v>1037</v>
      </c>
    </row>
    <row r="1929" spans="1:3" x14ac:dyDescent="0.25">
      <c r="A1929" t="s">
        <v>1287</v>
      </c>
      <c r="B1929" t="s">
        <v>146</v>
      </c>
      <c r="C1929" t="s">
        <v>1038</v>
      </c>
    </row>
    <row r="1930" spans="1:3" x14ac:dyDescent="0.25">
      <c r="A1930" t="s">
        <v>1287</v>
      </c>
      <c r="B1930" t="s">
        <v>148</v>
      </c>
      <c r="C1930" t="s">
        <v>1039</v>
      </c>
    </row>
    <row r="1931" spans="1:3" x14ac:dyDescent="0.25">
      <c r="A1931" t="s">
        <v>1287</v>
      </c>
      <c r="B1931" t="s">
        <v>150</v>
      </c>
      <c r="C1931" t="s">
        <v>543</v>
      </c>
    </row>
    <row r="1932" spans="1:3" x14ac:dyDescent="0.25">
      <c r="A1932" t="s">
        <v>1287</v>
      </c>
      <c r="B1932" t="s">
        <v>152</v>
      </c>
      <c r="C1932" t="s">
        <v>1040</v>
      </c>
    </row>
    <row r="1933" spans="1:3" x14ac:dyDescent="0.25">
      <c r="A1933" t="s">
        <v>1287</v>
      </c>
      <c r="B1933" t="s">
        <v>154</v>
      </c>
      <c r="C1933" t="s">
        <v>471</v>
      </c>
    </row>
    <row r="1934" spans="1:3" x14ac:dyDescent="0.25">
      <c r="A1934" t="s">
        <v>1287</v>
      </c>
      <c r="B1934" t="s">
        <v>27</v>
      </c>
      <c r="C1934" t="s">
        <v>264</v>
      </c>
    </row>
    <row r="1935" spans="1:3" x14ac:dyDescent="0.25">
      <c r="A1935" t="s">
        <v>1287</v>
      </c>
      <c r="B1935" t="s">
        <v>157</v>
      </c>
      <c r="C1935" t="s">
        <v>1002</v>
      </c>
    </row>
    <row r="1936" spans="1:3" x14ac:dyDescent="0.25">
      <c r="A1936" t="s">
        <v>1287</v>
      </c>
      <c r="B1936" t="s">
        <v>159</v>
      </c>
      <c r="C1936" t="s">
        <v>1041</v>
      </c>
    </row>
    <row r="1937" spans="1:3" x14ac:dyDescent="0.25">
      <c r="A1937" t="s">
        <v>1287</v>
      </c>
      <c r="B1937" t="s">
        <v>161</v>
      </c>
      <c r="C1937" t="s">
        <v>640</v>
      </c>
    </row>
    <row r="1938" spans="1:3" x14ac:dyDescent="0.25">
      <c r="A1938" t="s">
        <v>1288</v>
      </c>
      <c r="B1938" t="s">
        <v>134</v>
      </c>
      <c r="C1938" t="s">
        <v>1042</v>
      </c>
    </row>
    <row r="1939" spans="1:3" x14ac:dyDescent="0.25">
      <c r="A1939" t="s">
        <v>1288</v>
      </c>
      <c r="B1939" t="s">
        <v>136</v>
      </c>
      <c r="C1939" t="s">
        <v>219</v>
      </c>
    </row>
    <row r="1940" spans="1:3" x14ac:dyDescent="0.25">
      <c r="A1940" t="s">
        <v>1288</v>
      </c>
      <c r="B1940" t="s">
        <v>7</v>
      </c>
      <c r="C1940" t="s">
        <v>407</v>
      </c>
    </row>
    <row r="1941" spans="1:3" x14ac:dyDescent="0.25">
      <c r="A1941" t="s">
        <v>1288</v>
      </c>
      <c r="B1941" t="s">
        <v>139</v>
      </c>
      <c r="C1941" t="s">
        <v>958</v>
      </c>
    </row>
    <row r="1942" spans="1:3" x14ac:dyDescent="0.25">
      <c r="A1942" t="s">
        <v>1288</v>
      </c>
      <c r="B1942" t="s">
        <v>141</v>
      </c>
      <c r="C1942" t="s">
        <v>616</v>
      </c>
    </row>
    <row r="1943" spans="1:3" x14ac:dyDescent="0.25">
      <c r="A1943" t="s">
        <v>1288</v>
      </c>
      <c r="B1943" t="s">
        <v>143</v>
      </c>
      <c r="C1943" t="s">
        <v>270</v>
      </c>
    </row>
    <row r="1944" spans="1:3" x14ac:dyDescent="0.25">
      <c r="A1944" t="s">
        <v>1288</v>
      </c>
      <c r="B1944" t="s">
        <v>144</v>
      </c>
      <c r="C1944" t="s">
        <v>1043</v>
      </c>
    </row>
    <row r="1945" spans="1:3" x14ac:dyDescent="0.25">
      <c r="A1945" t="s">
        <v>1288</v>
      </c>
      <c r="B1945" t="s">
        <v>146</v>
      </c>
      <c r="C1945" t="s">
        <v>1044</v>
      </c>
    </row>
    <row r="1946" spans="1:3" x14ac:dyDescent="0.25">
      <c r="A1946" t="s">
        <v>1288</v>
      </c>
      <c r="B1946" t="s">
        <v>148</v>
      </c>
      <c r="C1946" t="s">
        <v>1045</v>
      </c>
    </row>
    <row r="1947" spans="1:3" x14ac:dyDescent="0.25">
      <c r="A1947" t="s">
        <v>1288</v>
      </c>
      <c r="B1947" t="s">
        <v>150</v>
      </c>
      <c r="C1947" t="s">
        <v>1046</v>
      </c>
    </row>
    <row r="1948" spans="1:3" x14ac:dyDescent="0.25">
      <c r="A1948" t="s">
        <v>1288</v>
      </c>
      <c r="B1948" t="s">
        <v>152</v>
      </c>
      <c r="C1948" t="s">
        <v>533</v>
      </c>
    </row>
    <row r="1949" spans="1:3" x14ac:dyDescent="0.25">
      <c r="A1949" t="s">
        <v>1288</v>
      </c>
      <c r="B1949" t="s">
        <v>154</v>
      </c>
      <c r="C1949" t="s">
        <v>103</v>
      </c>
    </row>
    <row r="1950" spans="1:3" x14ac:dyDescent="0.25">
      <c r="A1950" t="s">
        <v>1288</v>
      </c>
      <c r="B1950" t="s">
        <v>27</v>
      </c>
      <c r="C1950" t="s">
        <v>638</v>
      </c>
    </row>
    <row r="1951" spans="1:3" x14ac:dyDescent="0.25">
      <c r="A1951" t="s">
        <v>1288</v>
      </c>
      <c r="B1951" t="s">
        <v>157</v>
      </c>
      <c r="C1951" t="s">
        <v>950</v>
      </c>
    </row>
    <row r="1952" spans="1:3" x14ac:dyDescent="0.25">
      <c r="A1952" t="s">
        <v>1288</v>
      </c>
      <c r="B1952" t="s">
        <v>159</v>
      </c>
      <c r="C1952" t="s">
        <v>1047</v>
      </c>
    </row>
    <row r="1953" spans="1:3" x14ac:dyDescent="0.25">
      <c r="A1953" t="s">
        <v>1288</v>
      </c>
      <c r="B1953" t="s">
        <v>161</v>
      </c>
      <c r="C1953" t="s">
        <v>901</v>
      </c>
    </row>
    <row r="1954" spans="1:3" x14ac:dyDescent="0.25">
      <c r="A1954" t="s">
        <v>1289</v>
      </c>
      <c r="B1954" t="s">
        <v>3</v>
      </c>
      <c r="C1954" t="s">
        <v>1048</v>
      </c>
    </row>
    <row r="1955" spans="1:3" x14ac:dyDescent="0.25">
      <c r="A1955" t="s">
        <v>1289</v>
      </c>
      <c r="B1955" t="s">
        <v>5</v>
      </c>
      <c r="C1955" t="s">
        <v>546</v>
      </c>
    </row>
    <row r="1956" spans="1:3" x14ac:dyDescent="0.25">
      <c r="A1956" t="s">
        <v>1289</v>
      </c>
      <c r="B1956" t="s">
        <v>7</v>
      </c>
      <c r="C1956" t="s">
        <v>747</v>
      </c>
    </row>
    <row r="1957" spans="1:3" x14ac:dyDescent="0.25">
      <c r="A1957" t="s">
        <v>1289</v>
      </c>
      <c r="B1957" t="s">
        <v>9</v>
      </c>
      <c r="C1957" t="s">
        <v>1049</v>
      </c>
    </row>
    <row r="1958" spans="1:3" x14ac:dyDescent="0.25">
      <c r="A1958" t="s">
        <v>1289</v>
      </c>
      <c r="B1958" t="s">
        <v>11</v>
      </c>
      <c r="C1958" t="s">
        <v>1016</v>
      </c>
    </row>
    <row r="1959" spans="1:3" x14ac:dyDescent="0.25">
      <c r="A1959" t="s">
        <v>1289</v>
      </c>
      <c r="B1959" t="s">
        <v>13</v>
      </c>
      <c r="C1959" t="s">
        <v>41</v>
      </c>
    </row>
    <row r="1960" spans="1:3" x14ac:dyDescent="0.25">
      <c r="A1960" t="s">
        <v>1289</v>
      </c>
      <c r="B1960" t="s">
        <v>15</v>
      </c>
      <c r="C1960" t="s">
        <v>1050</v>
      </c>
    </row>
    <row r="1961" spans="1:3" x14ac:dyDescent="0.25">
      <c r="A1961" t="s">
        <v>1289</v>
      </c>
      <c r="B1961" t="s">
        <v>17</v>
      </c>
      <c r="C1961" t="s">
        <v>1051</v>
      </c>
    </row>
    <row r="1962" spans="1:3" x14ac:dyDescent="0.25">
      <c r="A1962" t="s">
        <v>1289</v>
      </c>
      <c r="B1962" t="s">
        <v>19</v>
      </c>
      <c r="C1962" t="s">
        <v>118</v>
      </c>
    </row>
    <row r="1963" spans="1:3" x14ac:dyDescent="0.25">
      <c r="A1963" t="s">
        <v>1289</v>
      </c>
      <c r="B1963" t="s">
        <v>21</v>
      </c>
      <c r="C1963" t="s">
        <v>1052</v>
      </c>
    </row>
    <row r="1964" spans="1:3" x14ac:dyDescent="0.25">
      <c r="A1964" t="s">
        <v>1289</v>
      </c>
      <c r="B1964" t="s">
        <v>23</v>
      </c>
      <c r="C1964" t="s">
        <v>814</v>
      </c>
    </row>
    <row r="1965" spans="1:3" x14ac:dyDescent="0.25">
      <c r="A1965" t="s">
        <v>1289</v>
      </c>
      <c r="B1965" t="s">
        <v>25</v>
      </c>
      <c r="C1965" t="s">
        <v>1053</v>
      </c>
    </row>
    <row r="1966" spans="1:3" x14ac:dyDescent="0.25">
      <c r="A1966" t="s">
        <v>1289</v>
      </c>
      <c r="B1966" t="s">
        <v>27</v>
      </c>
      <c r="C1966" t="s">
        <v>656</v>
      </c>
    </row>
    <row r="1967" spans="1:3" x14ac:dyDescent="0.25">
      <c r="A1967" t="s">
        <v>1289</v>
      </c>
      <c r="B1967" t="s">
        <v>29</v>
      </c>
      <c r="C1967" t="s">
        <v>459</v>
      </c>
    </row>
    <row r="1968" spans="1:3" x14ac:dyDescent="0.25">
      <c r="A1968" t="s">
        <v>1289</v>
      </c>
      <c r="B1968" t="s">
        <v>31</v>
      </c>
      <c r="C1968" t="s">
        <v>1054</v>
      </c>
    </row>
    <row r="1969" spans="1:3" x14ac:dyDescent="0.25">
      <c r="A1969" t="s">
        <v>1289</v>
      </c>
      <c r="B1969" t="s">
        <v>33</v>
      </c>
      <c r="C1969" t="s">
        <v>414</v>
      </c>
    </row>
    <row r="1970" spans="1:3" x14ac:dyDescent="0.25">
      <c r="A1970" t="s">
        <v>1290</v>
      </c>
      <c r="B1970" t="s">
        <v>3</v>
      </c>
      <c r="C1970" t="s">
        <v>868</v>
      </c>
    </row>
    <row r="1971" spans="1:3" x14ac:dyDescent="0.25">
      <c r="A1971" t="s">
        <v>1290</v>
      </c>
      <c r="B1971" t="s">
        <v>5</v>
      </c>
      <c r="C1971" t="s">
        <v>342</v>
      </c>
    </row>
    <row r="1972" spans="1:3" x14ac:dyDescent="0.25">
      <c r="A1972" t="s">
        <v>1290</v>
      </c>
      <c r="B1972" t="s">
        <v>7</v>
      </c>
      <c r="C1972" t="s">
        <v>648</v>
      </c>
    </row>
    <row r="1973" spans="1:3" x14ac:dyDescent="0.25">
      <c r="A1973" t="s">
        <v>1290</v>
      </c>
      <c r="B1973" t="s">
        <v>9</v>
      </c>
      <c r="C1973" t="s">
        <v>1055</v>
      </c>
    </row>
    <row r="1974" spans="1:3" x14ac:dyDescent="0.25">
      <c r="A1974" t="s">
        <v>1290</v>
      </c>
      <c r="B1974" t="s">
        <v>11</v>
      </c>
      <c r="C1974" t="s">
        <v>335</v>
      </c>
    </row>
    <row r="1975" spans="1:3" x14ac:dyDescent="0.25">
      <c r="A1975" t="s">
        <v>1290</v>
      </c>
      <c r="B1975" t="s">
        <v>13</v>
      </c>
      <c r="C1975" t="s">
        <v>12</v>
      </c>
    </row>
    <row r="1976" spans="1:3" x14ac:dyDescent="0.25">
      <c r="A1976" t="s">
        <v>1290</v>
      </c>
      <c r="B1976" t="s">
        <v>15</v>
      </c>
      <c r="C1976" t="s">
        <v>749</v>
      </c>
    </row>
    <row r="1977" spans="1:3" x14ac:dyDescent="0.25">
      <c r="A1977" t="s">
        <v>1290</v>
      </c>
      <c r="B1977" t="s">
        <v>17</v>
      </c>
      <c r="C1977" t="s">
        <v>1056</v>
      </c>
    </row>
    <row r="1978" spans="1:3" x14ac:dyDescent="0.25">
      <c r="A1978" t="s">
        <v>1290</v>
      </c>
      <c r="B1978" t="s">
        <v>19</v>
      </c>
      <c r="C1978" t="s">
        <v>858</v>
      </c>
    </row>
    <row r="1979" spans="1:3" x14ac:dyDescent="0.25">
      <c r="A1979" t="s">
        <v>1290</v>
      </c>
      <c r="B1979" t="s">
        <v>21</v>
      </c>
      <c r="C1979" t="s">
        <v>1057</v>
      </c>
    </row>
    <row r="1980" spans="1:3" x14ac:dyDescent="0.25">
      <c r="A1980" t="s">
        <v>1290</v>
      </c>
      <c r="B1980" t="s">
        <v>23</v>
      </c>
      <c r="C1980" t="s">
        <v>766</v>
      </c>
    </row>
    <row r="1981" spans="1:3" x14ac:dyDescent="0.25">
      <c r="A1981" t="s">
        <v>1290</v>
      </c>
      <c r="B1981" t="s">
        <v>25</v>
      </c>
      <c r="C1981" t="s">
        <v>252</v>
      </c>
    </row>
    <row r="1982" spans="1:3" x14ac:dyDescent="0.25">
      <c r="A1982" t="s">
        <v>1290</v>
      </c>
      <c r="B1982" t="s">
        <v>27</v>
      </c>
      <c r="C1982" t="s">
        <v>908</v>
      </c>
    </row>
    <row r="1983" spans="1:3" x14ac:dyDescent="0.25">
      <c r="A1983" t="s">
        <v>1290</v>
      </c>
      <c r="B1983" t="s">
        <v>29</v>
      </c>
      <c r="C1983" t="s">
        <v>327</v>
      </c>
    </row>
    <row r="1984" spans="1:3" x14ac:dyDescent="0.25">
      <c r="A1984" t="s">
        <v>1290</v>
      </c>
      <c r="B1984" t="s">
        <v>31</v>
      </c>
      <c r="C1984" t="s">
        <v>1058</v>
      </c>
    </row>
    <row r="1985" spans="1:3" x14ac:dyDescent="0.25">
      <c r="A1985" t="s">
        <v>1290</v>
      </c>
      <c r="B1985" t="s">
        <v>33</v>
      </c>
      <c r="C1985" t="s">
        <v>1059</v>
      </c>
    </row>
    <row r="1986" spans="1:3" x14ac:dyDescent="0.25">
      <c r="A1986" t="s">
        <v>1291</v>
      </c>
      <c r="B1986" t="s">
        <v>134</v>
      </c>
      <c r="C1986" t="s">
        <v>527</v>
      </c>
    </row>
    <row r="1987" spans="1:3" x14ac:dyDescent="0.25">
      <c r="A1987" t="s">
        <v>1291</v>
      </c>
      <c r="B1987" t="s">
        <v>136</v>
      </c>
      <c r="C1987" t="s">
        <v>1060</v>
      </c>
    </row>
    <row r="1988" spans="1:3" x14ac:dyDescent="0.25">
      <c r="A1988" t="s">
        <v>1291</v>
      </c>
      <c r="B1988" t="s">
        <v>7</v>
      </c>
      <c r="C1988" t="s">
        <v>77</v>
      </c>
    </row>
    <row r="1989" spans="1:3" x14ac:dyDescent="0.25">
      <c r="A1989" t="s">
        <v>1291</v>
      </c>
      <c r="B1989" t="s">
        <v>139</v>
      </c>
      <c r="C1989" t="s">
        <v>1061</v>
      </c>
    </row>
    <row r="1990" spans="1:3" x14ac:dyDescent="0.25">
      <c r="A1990" t="s">
        <v>1291</v>
      </c>
      <c r="B1990" t="s">
        <v>141</v>
      </c>
      <c r="C1990" t="s">
        <v>665</v>
      </c>
    </row>
    <row r="1991" spans="1:3" x14ac:dyDescent="0.25">
      <c r="A1991" t="s">
        <v>1291</v>
      </c>
      <c r="B1991" t="s">
        <v>143</v>
      </c>
      <c r="C1991" t="s">
        <v>222</v>
      </c>
    </row>
    <row r="1992" spans="1:3" x14ac:dyDescent="0.25">
      <c r="A1992" t="s">
        <v>1291</v>
      </c>
      <c r="B1992" t="s">
        <v>144</v>
      </c>
      <c r="C1992" t="s">
        <v>714</v>
      </c>
    </row>
    <row r="1993" spans="1:3" x14ac:dyDescent="0.25">
      <c r="A1993" t="s">
        <v>1291</v>
      </c>
      <c r="B1993" t="s">
        <v>146</v>
      </c>
      <c r="C1993" t="s">
        <v>1062</v>
      </c>
    </row>
    <row r="1994" spans="1:3" x14ac:dyDescent="0.25">
      <c r="A1994" t="s">
        <v>1291</v>
      </c>
      <c r="B1994" t="s">
        <v>148</v>
      </c>
      <c r="C1994" t="s">
        <v>1063</v>
      </c>
    </row>
    <row r="1995" spans="1:3" x14ac:dyDescent="0.25">
      <c r="A1995" t="s">
        <v>1291</v>
      </c>
      <c r="B1995" t="s">
        <v>150</v>
      </c>
      <c r="C1995" t="s">
        <v>697</v>
      </c>
    </row>
    <row r="1996" spans="1:3" x14ac:dyDescent="0.25">
      <c r="A1996" t="s">
        <v>1291</v>
      </c>
      <c r="B1996" t="s">
        <v>152</v>
      </c>
      <c r="C1996" t="s">
        <v>1064</v>
      </c>
    </row>
    <row r="1997" spans="1:3" x14ac:dyDescent="0.25">
      <c r="A1997" t="s">
        <v>1291</v>
      </c>
      <c r="B1997" t="s">
        <v>154</v>
      </c>
      <c r="C1997" t="s">
        <v>317</v>
      </c>
    </row>
    <row r="1998" spans="1:3" x14ac:dyDescent="0.25">
      <c r="A1998" t="s">
        <v>1291</v>
      </c>
      <c r="B1998" t="s">
        <v>27</v>
      </c>
      <c r="C1998" t="s">
        <v>1065</v>
      </c>
    </row>
    <row r="1999" spans="1:3" x14ac:dyDescent="0.25">
      <c r="A1999" t="s">
        <v>1291</v>
      </c>
      <c r="B1999" t="s">
        <v>157</v>
      </c>
      <c r="C1999" t="s">
        <v>200</v>
      </c>
    </row>
    <row r="2000" spans="1:3" x14ac:dyDescent="0.25">
      <c r="A2000" t="s">
        <v>1291</v>
      </c>
      <c r="B2000" t="s">
        <v>159</v>
      </c>
      <c r="C2000" t="s">
        <v>835</v>
      </c>
    </row>
    <row r="2001" spans="1:3" x14ac:dyDescent="0.25">
      <c r="A2001" t="s">
        <v>1291</v>
      </c>
      <c r="B2001" t="s">
        <v>161</v>
      </c>
      <c r="C2001" t="s">
        <v>330</v>
      </c>
    </row>
    <row r="2002" spans="1:3" x14ac:dyDescent="0.25">
      <c r="A2002" t="s">
        <v>1292</v>
      </c>
      <c r="B2002" t="s">
        <v>134</v>
      </c>
      <c r="C2002" t="s">
        <v>418</v>
      </c>
    </row>
    <row r="2003" spans="1:3" x14ac:dyDescent="0.25">
      <c r="A2003" t="s">
        <v>1292</v>
      </c>
      <c r="B2003" t="s">
        <v>136</v>
      </c>
      <c r="C2003" t="s">
        <v>1066</v>
      </c>
    </row>
    <row r="2004" spans="1:3" x14ac:dyDescent="0.25">
      <c r="A2004" t="s">
        <v>1292</v>
      </c>
      <c r="B2004" t="s">
        <v>7</v>
      </c>
      <c r="C2004" t="s">
        <v>47</v>
      </c>
    </row>
    <row r="2005" spans="1:3" x14ac:dyDescent="0.25">
      <c r="A2005" t="s">
        <v>1292</v>
      </c>
      <c r="B2005" t="s">
        <v>139</v>
      </c>
      <c r="C2005" t="s">
        <v>1067</v>
      </c>
    </row>
    <row r="2006" spans="1:3" x14ac:dyDescent="0.25">
      <c r="A2006" t="s">
        <v>1292</v>
      </c>
      <c r="B2006" t="s">
        <v>141</v>
      </c>
      <c r="C2006" t="s">
        <v>124</v>
      </c>
    </row>
    <row r="2007" spans="1:3" x14ac:dyDescent="0.25">
      <c r="A2007" t="s">
        <v>1292</v>
      </c>
      <c r="B2007" t="s">
        <v>143</v>
      </c>
      <c r="C2007" t="s">
        <v>51</v>
      </c>
    </row>
    <row r="2008" spans="1:3" x14ac:dyDescent="0.25">
      <c r="A2008" t="s">
        <v>1292</v>
      </c>
      <c r="B2008" t="s">
        <v>144</v>
      </c>
      <c r="C2008" t="s">
        <v>579</v>
      </c>
    </row>
    <row r="2009" spans="1:3" x14ac:dyDescent="0.25">
      <c r="A2009" t="s">
        <v>1292</v>
      </c>
      <c r="B2009" t="s">
        <v>146</v>
      </c>
      <c r="C2009" t="s">
        <v>839</v>
      </c>
    </row>
    <row r="2010" spans="1:3" x14ac:dyDescent="0.25">
      <c r="A2010" t="s">
        <v>1292</v>
      </c>
      <c r="B2010" t="s">
        <v>148</v>
      </c>
      <c r="C2010" t="s">
        <v>490</v>
      </c>
    </row>
    <row r="2011" spans="1:3" x14ac:dyDescent="0.25">
      <c r="A2011" t="s">
        <v>1292</v>
      </c>
      <c r="B2011" t="s">
        <v>150</v>
      </c>
      <c r="C2011" t="s">
        <v>288</v>
      </c>
    </row>
    <row r="2012" spans="1:3" x14ac:dyDescent="0.25">
      <c r="A2012" t="s">
        <v>1292</v>
      </c>
      <c r="B2012" t="s">
        <v>152</v>
      </c>
      <c r="C2012" t="s">
        <v>1068</v>
      </c>
    </row>
    <row r="2013" spans="1:3" x14ac:dyDescent="0.25">
      <c r="A2013" t="s">
        <v>1292</v>
      </c>
      <c r="B2013" t="s">
        <v>154</v>
      </c>
      <c r="C2013" t="s">
        <v>471</v>
      </c>
    </row>
    <row r="2014" spans="1:3" x14ac:dyDescent="0.25">
      <c r="A2014" t="s">
        <v>1292</v>
      </c>
      <c r="B2014" t="s">
        <v>27</v>
      </c>
      <c r="C2014" t="s">
        <v>1069</v>
      </c>
    </row>
    <row r="2015" spans="1:3" x14ac:dyDescent="0.25">
      <c r="A2015" t="s">
        <v>1292</v>
      </c>
      <c r="B2015" t="s">
        <v>157</v>
      </c>
      <c r="C2015" t="s">
        <v>535</v>
      </c>
    </row>
    <row r="2016" spans="1:3" x14ac:dyDescent="0.25">
      <c r="A2016" t="s">
        <v>1292</v>
      </c>
      <c r="B2016" t="s">
        <v>159</v>
      </c>
      <c r="C2016" t="s">
        <v>1070</v>
      </c>
    </row>
    <row r="2017" spans="1:3" x14ac:dyDescent="0.25">
      <c r="A2017" t="s">
        <v>1292</v>
      </c>
      <c r="B2017" t="s">
        <v>161</v>
      </c>
      <c r="C2017" t="s">
        <v>657</v>
      </c>
    </row>
    <row r="2018" spans="1:3" x14ac:dyDescent="0.25">
      <c r="A2018" t="s">
        <v>1293</v>
      </c>
      <c r="B2018" t="s">
        <v>3</v>
      </c>
      <c r="C2018" t="s">
        <v>36</v>
      </c>
    </row>
    <row r="2019" spans="1:3" x14ac:dyDescent="0.25">
      <c r="A2019" t="s">
        <v>1293</v>
      </c>
      <c r="B2019" t="s">
        <v>5</v>
      </c>
      <c r="C2019" t="s">
        <v>342</v>
      </c>
    </row>
    <row r="2020" spans="1:3" x14ac:dyDescent="0.25">
      <c r="A2020" t="s">
        <v>1293</v>
      </c>
      <c r="B2020" t="s">
        <v>7</v>
      </c>
      <c r="C2020" t="s">
        <v>396</v>
      </c>
    </row>
    <row r="2021" spans="1:3" x14ac:dyDescent="0.25">
      <c r="A2021" t="s">
        <v>1293</v>
      </c>
      <c r="B2021" t="s">
        <v>9</v>
      </c>
      <c r="C2021" t="s">
        <v>846</v>
      </c>
    </row>
    <row r="2022" spans="1:3" x14ac:dyDescent="0.25">
      <c r="A2022" t="s">
        <v>1293</v>
      </c>
      <c r="B2022" t="s">
        <v>11</v>
      </c>
      <c r="C2022" t="s">
        <v>181</v>
      </c>
    </row>
    <row r="2023" spans="1:3" x14ac:dyDescent="0.25">
      <c r="A2023" t="s">
        <v>1293</v>
      </c>
      <c r="B2023" t="s">
        <v>13</v>
      </c>
      <c r="C2023" t="s">
        <v>167</v>
      </c>
    </row>
    <row r="2024" spans="1:3" x14ac:dyDescent="0.25">
      <c r="A2024" t="s">
        <v>1293</v>
      </c>
      <c r="B2024" t="s">
        <v>15</v>
      </c>
      <c r="C2024" t="s">
        <v>260</v>
      </c>
    </row>
    <row r="2025" spans="1:3" x14ac:dyDescent="0.25">
      <c r="A2025" t="s">
        <v>1293</v>
      </c>
      <c r="B2025" t="s">
        <v>17</v>
      </c>
      <c r="C2025" t="s">
        <v>1071</v>
      </c>
    </row>
    <row r="2026" spans="1:3" x14ac:dyDescent="0.25">
      <c r="A2026" t="s">
        <v>1293</v>
      </c>
      <c r="B2026" t="s">
        <v>19</v>
      </c>
      <c r="C2026" t="s">
        <v>1072</v>
      </c>
    </row>
    <row r="2027" spans="1:3" x14ac:dyDescent="0.25">
      <c r="A2027" t="s">
        <v>1293</v>
      </c>
      <c r="B2027" t="s">
        <v>21</v>
      </c>
      <c r="C2027" t="s">
        <v>1073</v>
      </c>
    </row>
    <row r="2028" spans="1:3" x14ac:dyDescent="0.25">
      <c r="A2028" t="s">
        <v>1293</v>
      </c>
      <c r="B2028" t="s">
        <v>23</v>
      </c>
      <c r="C2028" t="s">
        <v>1074</v>
      </c>
    </row>
    <row r="2029" spans="1:3" x14ac:dyDescent="0.25">
      <c r="A2029" t="s">
        <v>1293</v>
      </c>
      <c r="B2029" t="s">
        <v>25</v>
      </c>
      <c r="C2029" t="s">
        <v>1053</v>
      </c>
    </row>
    <row r="2030" spans="1:3" x14ac:dyDescent="0.25">
      <c r="A2030" t="s">
        <v>1293</v>
      </c>
      <c r="B2030" t="s">
        <v>27</v>
      </c>
      <c r="C2030" t="s">
        <v>470</v>
      </c>
    </row>
    <row r="2031" spans="1:3" x14ac:dyDescent="0.25">
      <c r="A2031" t="s">
        <v>1293</v>
      </c>
      <c r="B2031" t="s">
        <v>29</v>
      </c>
      <c r="C2031" t="s">
        <v>103</v>
      </c>
    </row>
    <row r="2032" spans="1:3" x14ac:dyDescent="0.25">
      <c r="A2032" t="s">
        <v>1293</v>
      </c>
      <c r="B2032" t="s">
        <v>31</v>
      </c>
      <c r="C2032" t="s">
        <v>964</v>
      </c>
    </row>
    <row r="2033" spans="1:3" x14ac:dyDescent="0.25">
      <c r="A2033" t="s">
        <v>1293</v>
      </c>
      <c r="B2033" t="s">
        <v>33</v>
      </c>
      <c r="C2033" t="s">
        <v>996</v>
      </c>
    </row>
    <row r="2034" spans="1:3" x14ac:dyDescent="0.25">
      <c r="A2034" t="s">
        <v>1294</v>
      </c>
      <c r="B2034" t="s">
        <v>3</v>
      </c>
      <c r="C2034" t="s">
        <v>352</v>
      </c>
    </row>
    <row r="2035" spans="1:3" x14ac:dyDescent="0.25">
      <c r="A2035" t="s">
        <v>1294</v>
      </c>
      <c r="B2035" t="s">
        <v>5</v>
      </c>
      <c r="C2035" t="s">
        <v>363</v>
      </c>
    </row>
    <row r="2036" spans="1:3" x14ac:dyDescent="0.25">
      <c r="A2036" t="s">
        <v>1294</v>
      </c>
      <c r="B2036" t="s">
        <v>7</v>
      </c>
      <c r="C2036" t="s">
        <v>135</v>
      </c>
    </row>
    <row r="2037" spans="1:3" x14ac:dyDescent="0.25">
      <c r="A2037" t="s">
        <v>1294</v>
      </c>
      <c r="B2037" t="s">
        <v>9</v>
      </c>
      <c r="C2037" t="s">
        <v>588</v>
      </c>
    </row>
    <row r="2038" spans="1:3" x14ac:dyDescent="0.25">
      <c r="A2038" t="s">
        <v>1294</v>
      </c>
      <c r="B2038" t="s">
        <v>11</v>
      </c>
      <c r="C2038" t="s">
        <v>52</v>
      </c>
    </row>
    <row r="2039" spans="1:3" x14ac:dyDescent="0.25">
      <c r="A2039" t="s">
        <v>1294</v>
      </c>
      <c r="B2039" t="s">
        <v>13</v>
      </c>
      <c r="C2039" t="s">
        <v>40</v>
      </c>
    </row>
    <row r="2040" spans="1:3" x14ac:dyDescent="0.25">
      <c r="A2040" t="s">
        <v>1294</v>
      </c>
      <c r="B2040" t="s">
        <v>15</v>
      </c>
      <c r="C2040" t="s">
        <v>607</v>
      </c>
    </row>
    <row r="2041" spans="1:3" x14ac:dyDescent="0.25">
      <c r="A2041" t="s">
        <v>1294</v>
      </c>
      <c r="B2041" t="s">
        <v>17</v>
      </c>
      <c r="C2041" t="s">
        <v>1075</v>
      </c>
    </row>
    <row r="2042" spans="1:3" x14ac:dyDescent="0.25">
      <c r="A2042" t="s">
        <v>1294</v>
      </c>
      <c r="B2042" t="s">
        <v>19</v>
      </c>
      <c r="C2042" t="s">
        <v>683</v>
      </c>
    </row>
    <row r="2043" spans="1:3" x14ac:dyDescent="0.25">
      <c r="A2043" t="s">
        <v>1294</v>
      </c>
      <c r="B2043" t="s">
        <v>21</v>
      </c>
      <c r="C2043" t="s">
        <v>153</v>
      </c>
    </row>
    <row r="2044" spans="1:3" x14ac:dyDescent="0.25">
      <c r="A2044" t="s">
        <v>1294</v>
      </c>
      <c r="B2044" t="s">
        <v>23</v>
      </c>
      <c r="C2044" t="s">
        <v>965</v>
      </c>
    </row>
    <row r="2045" spans="1:3" x14ac:dyDescent="0.25">
      <c r="A2045" t="s">
        <v>1294</v>
      </c>
      <c r="B2045" t="s">
        <v>25</v>
      </c>
      <c r="C2045" t="s">
        <v>252</v>
      </c>
    </row>
    <row r="2046" spans="1:3" x14ac:dyDescent="0.25">
      <c r="A2046" t="s">
        <v>1294</v>
      </c>
      <c r="B2046" t="s">
        <v>27</v>
      </c>
      <c r="C2046" t="s">
        <v>426</v>
      </c>
    </row>
    <row r="2047" spans="1:3" x14ac:dyDescent="0.25">
      <c r="A2047" t="s">
        <v>1294</v>
      </c>
      <c r="B2047" t="s">
        <v>29</v>
      </c>
      <c r="C2047" t="s">
        <v>371</v>
      </c>
    </row>
    <row r="2048" spans="1:3" x14ac:dyDescent="0.25">
      <c r="A2048" t="s">
        <v>1294</v>
      </c>
      <c r="B2048" t="s">
        <v>31</v>
      </c>
      <c r="C2048" t="s">
        <v>328</v>
      </c>
    </row>
    <row r="2049" spans="1:3" x14ac:dyDescent="0.25">
      <c r="A2049" t="s">
        <v>1294</v>
      </c>
      <c r="B2049" t="s">
        <v>33</v>
      </c>
      <c r="C2049" t="s">
        <v>428</v>
      </c>
    </row>
    <row r="2050" spans="1:3" x14ac:dyDescent="0.25">
      <c r="A2050" t="s">
        <v>1295</v>
      </c>
      <c r="B2050" t="s">
        <v>3</v>
      </c>
      <c r="C2050" t="s">
        <v>179</v>
      </c>
    </row>
    <row r="2051" spans="1:3" x14ac:dyDescent="0.25">
      <c r="A2051" t="s">
        <v>1295</v>
      </c>
      <c r="B2051" t="s">
        <v>5</v>
      </c>
      <c r="C2051" t="s">
        <v>48</v>
      </c>
    </row>
    <row r="2052" spans="1:3" x14ac:dyDescent="0.25">
      <c r="A2052" t="s">
        <v>1295</v>
      </c>
      <c r="B2052" t="s">
        <v>7</v>
      </c>
      <c r="C2052" t="s">
        <v>47</v>
      </c>
    </row>
    <row r="2053" spans="1:3" x14ac:dyDescent="0.25">
      <c r="A2053" t="s">
        <v>1295</v>
      </c>
      <c r="B2053" t="s">
        <v>9</v>
      </c>
      <c r="C2053" t="s">
        <v>1076</v>
      </c>
    </row>
    <row r="2054" spans="1:3" x14ac:dyDescent="0.25">
      <c r="A2054" t="s">
        <v>1295</v>
      </c>
      <c r="B2054" t="s">
        <v>11</v>
      </c>
      <c r="C2054" t="s">
        <v>14</v>
      </c>
    </row>
    <row r="2055" spans="1:3" x14ac:dyDescent="0.25">
      <c r="A2055" t="s">
        <v>1295</v>
      </c>
      <c r="B2055" t="s">
        <v>13</v>
      </c>
      <c r="C2055" t="s">
        <v>167</v>
      </c>
    </row>
    <row r="2056" spans="1:3" x14ac:dyDescent="0.25">
      <c r="A2056" t="s">
        <v>1295</v>
      </c>
      <c r="B2056" t="s">
        <v>15</v>
      </c>
      <c r="C2056" t="s">
        <v>1077</v>
      </c>
    </row>
    <row r="2057" spans="1:3" x14ac:dyDescent="0.25">
      <c r="A2057" t="s">
        <v>1295</v>
      </c>
      <c r="B2057" t="s">
        <v>17</v>
      </c>
      <c r="C2057" t="s">
        <v>1078</v>
      </c>
    </row>
    <row r="2058" spans="1:3" x14ac:dyDescent="0.25">
      <c r="A2058" t="s">
        <v>1295</v>
      </c>
      <c r="B2058" t="s">
        <v>19</v>
      </c>
      <c r="C2058" t="s">
        <v>479</v>
      </c>
    </row>
    <row r="2059" spans="1:3" x14ac:dyDescent="0.25">
      <c r="A2059" t="s">
        <v>1295</v>
      </c>
      <c r="B2059" t="s">
        <v>21</v>
      </c>
      <c r="C2059" t="s">
        <v>423</v>
      </c>
    </row>
    <row r="2060" spans="1:3" x14ac:dyDescent="0.25">
      <c r="A2060" t="s">
        <v>1295</v>
      </c>
      <c r="B2060" t="s">
        <v>23</v>
      </c>
      <c r="C2060" t="s">
        <v>1079</v>
      </c>
    </row>
    <row r="2061" spans="1:3" x14ac:dyDescent="0.25">
      <c r="A2061" t="s">
        <v>1295</v>
      </c>
      <c r="B2061" t="s">
        <v>25</v>
      </c>
      <c r="C2061" t="s">
        <v>493</v>
      </c>
    </row>
    <row r="2062" spans="1:3" x14ac:dyDescent="0.25">
      <c r="A2062" t="s">
        <v>1295</v>
      </c>
      <c r="B2062" t="s">
        <v>27</v>
      </c>
      <c r="C2062" t="s">
        <v>382</v>
      </c>
    </row>
    <row r="2063" spans="1:3" x14ac:dyDescent="0.25">
      <c r="A2063" t="s">
        <v>1295</v>
      </c>
      <c r="B2063" t="s">
        <v>29</v>
      </c>
      <c r="C2063" t="s">
        <v>58</v>
      </c>
    </row>
    <row r="2064" spans="1:3" x14ac:dyDescent="0.25">
      <c r="A2064" t="s">
        <v>1295</v>
      </c>
      <c r="B2064" t="s">
        <v>31</v>
      </c>
      <c r="C2064" t="s">
        <v>866</v>
      </c>
    </row>
    <row r="2065" spans="1:3" x14ac:dyDescent="0.25">
      <c r="A2065" t="s">
        <v>1295</v>
      </c>
      <c r="B2065" t="s">
        <v>33</v>
      </c>
      <c r="C2065" t="s">
        <v>119</v>
      </c>
    </row>
    <row r="2066" spans="1:3" x14ac:dyDescent="0.25">
      <c r="A2066" t="s">
        <v>1296</v>
      </c>
      <c r="B2066" t="s">
        <v>134</v>
      </c>
      <c r="C2066" t="s">
        <v>452</v>
      </c>
    </row>
    <row r="2067" spans="1:3" x14ac:dyDescent="0.25">
      <c r="A2067" t="s">
        <v>1296</v>
      </c>
      <c r="B2067" t="s">
        <v>136</v>
      </c>
      <c r="C2067" t="s">
        <v>8</v>
      </c>
    </row>
    <row r="2068" spans="1:3" x14ac:dyDescent="0.25">
      <c r="A2068" t="s">
        <v>1296</v>
      </c>
      <c r="B2068" t="s">
        <v>7</v>
      </c>
      <c r="C2068" t="s">
        <v>257</v>
      </c>
    </row>
    <row r="2069" spans="1:3" x14ac:dyDescent="0.25">
      <c r="A2069" t="s">
        <v>1296</v>
      </c>
      <c r="B2069" t="s">
        <v>139</v>
      </c>
      <c r="C2069" t="s">
        <v>1080</v>
      </c>
    </row>
    <row r="2070" spans="1:3" x14ac:dyDescent="0.25">
      <c r="A2070" t="s">
        <v>1296</v>
      </c>
      <c r="B2070" t="s">
        <v>141</v>
      </c>
      <c r="C2070" t="s">
        <v>40</v>
      </c>
    </row>
    <row r="2071" spans="1:3" x14ac:dyDescent="0.25">
      <c r="A2071" t="s">
        <v>1296</v>
      </c>
      <c r="B2071" t="s">
        <v>143</v>
      </c>
      <c r="C2071" t="s">
        <v>51</v>
      </c>
    </row>
    <row r="2072" spans="1:3" x14ac:dyDescent="0.25">
      <c r="A2072" t="s">
        <v>1296</v>
      </c>
      <c r="B2072" t="s">
        <v>144</v>
      </c>
      <c r="C2072" t="s">
        <v>607</v>
      </c>
    </row>
    <row r="2073" spans="1:3" x14ac:dyDescent="0.25">
      <c r="A2073" t="s">
        <v>1296</v>
      </c>
      <c r="B2073" t="s">
        <v>146</v>
      </c>
      <c r="C2073" t="s">
        <v>1081</v>
      </c>
    </row>
    <row r="2074" spans="1:3" x14ac:dyDescent="0.25">
      <c r="A2074" t="s">
        <v>1296</v>
      </c>
      <c r="B2074" t="s">
        <v>148</v>
      </c>
      <c r="C2074" t="s">
        <v>104</v>
      </c>
    </row>
    <row r="2075" spans="1:3" x14ac:dyDescent="0.25">
      <c r="A2075" t="s">
        <v>1296</v>
      </c>
      <c r="B2075" t="s">
        <v>150</v>
      </c>
      <c r="C2075" t="s">
        <v>697</v>
      </c>
    </row>
    <row r="2076" spans="1:3" x14ac:dyDescent="0.25">
      <c r="A2076" t="s">
        <v>1296</v>
      </c>
      <c r="B2076" t="s">
        <v>152</v>
      </c>
      <c r="C2076" t="s">
        <v>717</v>
      </c>
    </row>
    <row r="2077" spans="1:3" x14ac:dyDescent="0.25">
      <c r="A2077" t="s">
        <v>1296</v>
      </c>
      <c r="B2077" t="s">
        <v>154</v>
      </c>
      <c r="C2077" t="s">
        <v>671</v>
      </c>
    </row>
    <row r="2078" spans="1:3" x14ac:dyDescent="0.25">
      <c r="A2078" t="s">
        <v>1296</v>
      </c>
      <c r="B2078" t="s">
        <v>27</v>
      </c>
      <c r="C2078" t="s">
        <v>866</v>
      </c>
    </row>
    <row r="2079" spans="1:3" x14ac:dyDescent="0.25">
      <c r="A2079" t="s">
        <v>1296</v>
      </c>
      <c r="B2079" t="s">
        <v>157</v>
      </c>
      <c r="C2079" t="s">
        <v>200</v>
      </c>
    </row>
    <row r="2080" spans="1:3" x14ac:dyDescent="0.25">
      <c r="A2080" t="s">
        <v>1296</v>
      </c>
      <c r="B2080" t="s">
        <v>159</v>
      </c>
      <c r="C2080" t="s">
        <v>1082</v>
      </c>
    </row>
    <row r="2081" spans="1:3" x14ac:dyDescent="0.25">
      <c r="A2081" t="s">
        <v>1296</v>
      </c>
      <c r="B2081" t="s">
        <v>161</v>
      </c>
      <c r="C2081" t="s">
        <v>292</v>
      </c>
    </row>
    <row r="2082" spans="1:3" x14ac:dyDescent="0.25">
      <c r="A2082" t="s">
        <v>1297</v>
      </c>
      <c r="B2082" t="s">
        <v>134</v>
      </c>
      <c r="C2082" t="s">
        <v>1083</v>
      </c>
    </row>
    <row r="2083" spans="1:3" x14ac:dyDescent="0.25">
      <c r="A2083" t="s">
        <v>1297</v>
      </c>
      <c r="B2083" t="s">
        <v>136</v>
      </c>
      <c r="C2083" t="s">
        <v>362</v>
      </c>
    </row>
    <row r="2084" spans="1:3" x14ac:dyDescent="0.25">
      <c r="A2084" t="s">
        <v>1297</v>
      </c>
      <c r="B2084" t="s">
        <v>7</v>
      </c>
      <c r="C2084" t="s">
        <v>1084</v>
      </c>
    </row>
    <row r="2085" spans="1:3" x14ac:dyDescent="0.25">
      <c r="A2085" t="s">
        <v>1297</v>
      </c>
      <c r="B2085" t="s">
        <v>139</v>
      </c>
      <c r="C2085" t="s">
        <v>1085</v>
      </c>
    </row>
    <row r="2086" spans="1:3" x14ac:dyDescent="0.25">
      <c r="A2086" t="s">
        <v>1297</v>
      </c>
      <c r="B2086" t="s">
        <v>141</v>
      </c>
      <c r="C2086" t="s">
        <v>39</v>
      </c>
    </row>
    <row r="2087" spans="1:3" x14ac:dyDescent="0.25">
      <c r="A2087" t="s">
        <v>1297</v>
      </c>
      <c r="B2087" t="s">
        <v>143</v>
      </c>
      <c r="C2087" t="s">
        <v>51</v>
      </c>
    </row>
    <row r="2088" spans="1:3" x14ac:dyDescent="0.25">
      <c r="A2088" t="s">
        <v>1297</v>
      </c>
      <c r="B2088" t="s">
        <v>144</v>
      </c>
      <c r="C2088" t="s">
        <v>1086</v>
      </c>
    </row>
    <row r="2089" spans="1:3" x14ac:dyDescent="0.25">
      <c r="A2089" t="s">
        <v>1297</v>
      </c>
      <c r="B2089" t="s">
        <v>146</v>
      </c>
      <c r="C2089" t="s">
        <v>1087</v>
      </c>
    </row>
    <row r="2090" spans="1:3" x14ac:dyDescent="0.25">
      <c r="A2090" t="s">
        <v>1297</v>
      </c>
      <c r="B2090" t="s">
        <v>148</v>
      </c>
      <c r="C2090" t="s">
        <v>170</v>
      </c>
    </row>
    <row r="2091" spans="1:3" x14ac:dyDescent="0.25">
      <c r="A2091" t="s">
        <v>1297</v>
      </c>
      <c r="B2091" t="s">
        <v>150</v>
      </c>
      <c r="C2091" t="s">
        <v>1088</v>
      </c>
    </row>
    <row r="2092" spans="1:3" x14ac:dyDescent="0.25">
      <c r="A2092" t="s">
        <v>1297</v>
      </c>
      <c r="B2092" t="s">
        <v>152</v>
      </c>
      <c r="C2092" t="s">
        <v>326</v>
      </c>
    </row>
    <row r="2093" spans="1:3" x14ac:dyDescent="0.25">
      <c r="A2093" t="s">
        <v>1297</v>
      </c>
      <c r="B2093" t="s">
        <v>154</v>
      </c>
      <c r="C2093" t="s">
        <v>1089</v>
      </c>
    </row>
    <row r="2094" spans="1:3" x14ac:dyDescent="0.25">
      <c r="A2094" t="s">
        <v>1297</v>
      </c>
      <c r="B2094" t="s">
        <v>27</v>
      </c>
      <c r="C2094" t="s">
        <v>1069</v>
      </c>
    </row>
    <row r="2095" spans="1:3" x14ac:dyDescent="0.25">
      <c r="A2095" t="s">
        <v>1297</v>
      </c>
      <c r="B2095" t="s">
        <v>157</v>
      </c>
      <c r="C2095" t="s">
        <v>392</v>
      </c>
    </row>
    <row r="2096" spans="1:3" x14ac:dyDescent="0.25">
      <c r="A2096" t="s">
        <v>1297</v>
      </c>
      <c r="B2096" t="s">
        <v>159</v>
      </c>
      <c r="C2096" t="s">
        <v>1090</v>
      </c>
    </row>
    <row r="2097" spans="1:3" x14ac:dyDescent="0.25">
      <c r="A2097" t="s">
        <v>1297</v>
      </c>
      <c r="B2097" t="s">
        <v>161</v>
      </c>
      <c r="C2097" t="s">
        <v>1091</v>
      </c>
    </row>
    <row r="2098" spans="1:3" x14ac:dyDescent="0.25">
      <c r="A2098" t="s">
        <v>1298</v>
      </c>
      <c r="B2098" t="s">
        <v>134</v>
      </c>
      <c r="C2098" t="s">
        <v>546</v>
      </c>
    </row>
    <row r="2099" spans="1:3" x14ac:dyDescent="0.25">
      <c r="A2099" t="s">
        <v>1298</v>
      </c>
      <c r="B2099" t="s">
        <v>136</v>
      </c>
      <c r="C2099" t="s">
        <v>1092</v>
      </c>
    </row>
    <row r="2100" spans="1:3" x14ac:dyDescent="0.25">
      <c r="A2100" t="s">
        <v>1298</v>
      </c>
      <c r="B2100" t="s">
        <v>7</v>
      </c>
      <c r="C2100" t="s">
        <v>517</v>
      </c>
    </row>
    <row r="2101" spans="1:3" x14ac:dyDescent="0.25">
      <c r="A2101" t="s">
        <v>1298</v>
      </c>
      <c r="B2101" t="s">
        <v>139</v>
      </c>
      <c r="C2101" t="s">
        <v>1093</v>
      </c>
    </row>
    <row r="2102" spans="1:3" x14ac:dyDescent="0.25">
      <c r="A2102" t="s">
        <v>1298</v>
      </c>
      <c r="B2102" t="s">
        <v>141</v>
      </c>
      <c r="C2102" t="s">
        <v>322</v>
      </c>
    </row>
    <row r="2103" spans="1:3" x14ac:dyDescent="0.25">
      <c r="A2103" t="s">
        <v>1298</v>
      </c>
      <c r="B2103" t="s">
        <v>143</v>
      </c>
      <c r="C2103" t="s">
        <v>109</v>
      </c>
    </row>
    <row r="2104" spans="1:3" x14ac:dyDescent="0.25">
      <c r="A2104" t="s">
        <v>1298</v>
      </c>
      <c r="B2104" t="s">
        <v>144</v>
      </c>
      <c r="C2104" t="s">
        <v>1094</v>
      </c>
    </row>
    <row r="2105" spans="1:3" x14ac:dyDescent="0.25">
      <c r="A2105" t="s">
        <v>1298</v>
      </c>
      <c r="B2105" t="s">
        <v>146</v>
      </c>
      <c r="C2105" t="s">
        <v>1095</v>
      </c>
    </row>
    <row r="2106" spans="1:3" x14ac:dyDescent="0.25">
      <c r="A2106" t="s">
        <v>1298</v>
      </c>
      <c r="B2106" t="s">
        <v>148</v>
      </c>
      <c r="C2106" t="s">
        <v>1010</v>
      </c>
    </row>
    <row r="2107" spans="1:3" x14ac:dyDescent="0.25">
      <c r="A2107" t="s">
        <v>1298</v>
      </c>
      <c r="B2107" t="s">
        <v>150</v>
      </c>
      <c r="C2107" t="s">
        <v>1096</v>
      </c>
    </row>
    <row r="2108" spans="1:3" x14ac:dyDescent="0.25">
      <c r="A2108" t="s">
        <v>1298</v>
      </c>
      <c r="B2108" t="s">
        <v>152</v>
      </c>
      <c r="C2108" t="s">
        <v>184</v>
      </c>
    </row>
    <row r="2109" spans="1:3" x14ac:dyDescent="0.25">
      <c r="A2109" t="s">
        <v>1298</v>
      </c>
      <c r="B2109" t="s">
        <v>154</v>
      </c>
      <c r="C2109" t="s">
        <v>88</v>
      </c>
    </row>
    <row r="2110" spans="1:3" x14ac:dyDescent="0.25">
      <c r="A2110" t="s">
        <v>1298</v>
      </c>
      <c r="B2110" t="s">
        <v>27</v>
      </c>
      <c r="C2110" t="s">
        <v>1097</v>
      </c>
    </row>
    <row r="2111" spans="1:3" x14ac:dyDescent="0.25">
      <c r="A2111" t="s">
        <v>1298</v>
      </c>
      <c r="B2111" t="s">
        <v>157</v>
      </c>
      <c r="C2111" t="s">
        <v>1032</v>
      </c>
    </row>
    <row r="2112" spans="1:3" x14ac:dyDescent="0.25">
      <c r="A2112" t="s">
        <v>1298</v>
      </c>
      <c r="B2112" t="s">
        <v>159</v>
      </c>
      <c r="C2112" t="s">
        <v>1098</v>
      </c>
    </row>
    <row r="2113" spans="1:3" x14ac:dyDescent="0.25">
      <c r="A2113" t="s">
        <v>1298</v>
      </c>
      <c r="B2113" t="s">
        <v>161</v>
      </c>
      <c r="C2113" t="s">
        <v>989</v>
      </c>
    </row>
    <row r="2114" spans="1:3" x14ac:dyDescent="0.25">
      <c r="A2114" t="s">
        <v>1299</v>
      </c>
      <c r="B2114" t="s">
        <v>134</v>
      </c>
      <c r="C2114" t="s">
        <v>453</v>
      </c>
    </row>
    <row r="2115" spans="1:3" x14ac:dyDescent="0.25">
      <c r="A2115" t="s">
        <v>1299</v>
      </c>
      <c r="B2115" t="s">
        <v>136</v>
      </c>
      <c r="C2115" t="s">
        <v>1099</v>
      </c>
    </row>
    <row r="2116" spans="1:3" x14ac:dyDescent="0.25">
      <c r="A2116" t="s">
        <v>1299</v>
      </c>
      <c r="B2116" t="s">
        <v>7</v>
      </c>
      <c r="C2116" t="s">
        <v>219</v>
      </c>
    </row>
    <row r="2117" spans="1:3" x14ac:dyDescent="0.25">
      <c r="A2117" t="s">
        <v>1299</v>
      </c>
      <c r="B2117" t="s">
        <v>139</v>
      </c>
      <c r="C2117" t="s">
        <v>1100</v>
      </c>
    </row>
    <row r="2118" spans="1:3" x14ac:dyDescent="0.25">
      <c r="A2118" t="s">
        <v>1299</v>
      </c>
      <c r="B2118" t="s">
        <v>141</v>
      </c>
      <c r="C2118" t="s">
        <v>142</v>
      </c>
    </row>
    <row r="2119" spans="1:3" x14ac:dyDescent="0.25">
      <c r="A2119" t="s">
        <v>1299</v>
      </c>
      <c r="B2119" t="s">
        <v>143</v>
      </c>
      <c r="C2119" t="s">
        <v>14</v>
      </c>
    </row>
    <row r="2120" spans="1:3" x14ac:dyDescent="0.25">
      <c r="A2120" t="s">
        <v>1299</v>
      </c>
      <c r="B2120" t="s">
        <v>144</v>
      </c>
      <c r="C2120" t="s">
        <v>1101</v>
      </c>
    </row>
    <row r="2121" spans="1:3" x14ac:dyDescent="0.25">
      <c r="A2121" t="s">
        <v>1299</v>
      </c>
      <c r="B2121" t="s">
        <v>146</v>
      </c>
      <c r="C2121" t="s">
        <v>1102</v>
      </c>
    </row>
    <row r="2122" spans="1:3" x14ac:dyDescent="0.25">
      <c r="A2122" t="s">
        <v>1299</v>
      </c>
      <c r="B2122" t="s">
        <v>148</v>
      </c>
      <c r="C2122" t="s">
        <v>1103</v>
      </c>
    </row>
    <row r="2123" spans="1:3" x14ac:dyDescent="0.25">
      <c r="A2123" t="s">
        <v>1299</v>
      </c>
      <c r="B2123" t="s">
        <v>150</v>
      </c>
      <c r="C2123" t="s">
        <v>1104</v>
      </c>
    </row>
    <row r="2124" spans="1:3" x14ac:dyDescent="0.25">
      <c r="A2124" t="s">
        <v>1299</v>
      </c>
      <c r="B2124" t="s">
        <v>152</v>
      </c>
      <c r="C2124" t="s">
        <v>1105</v>
      </c>
    </row>
    <row r="2125" spans="1:3" x14ac:dyDescent="0.25">
      <c r="A2125" t="s">
        <v>1299</v>
      </c>
      <c r="B2125" t="s">
        <v>154</v>
      </c>
      <c r="C2125" t="s">
        <v>1089</v>
      </c>
    </row>
    <row r="2126" spans="1:3" x14ac:dyDescent="0.25">
      <c r="A2126" t="s">
        <v>1299</v>
      </c>
      <c r="B2126" t="s">
        <v>27</v>
      </c>
      <c r="C2126" t="s">
        <v>156</v>
      </c>
    </row>
    <row r="2127" spans="1:3" x14ac:dyDescent="0.25">
      <c r="A2127" t="s">
        <v>1299</v>
      </c>
      <c r="B2127" t="s">
        <v>157</v>
      </c>
      <c r="C2127" t="s">
        <v>1106</v>
      </c>
    </row>
    <row r="2128" spans="1:3" x14ac:dyDescent="0.25">
      <c r="A2128" t="s">
        <v>1299</v>
      </c>
      <c r="B2128" t="s">
        <v>159</v>
      </c>
      <c r="C2128" t="s">
        <v>1107</v>
      </c>
    </row>
    <row r="2129" spans="1:3" x14ac:dyDescent="0.25">
      <c r="A2129" t="s">
        <v>1299</v>
      </c>
      <c r="B2129" t="s">
        <v>161</v>
      </c>
      <c r="C2129" t="s">
        <v>1091</v>
      </c>
    </row>
    <row r="2130" spans="1:3" x14ac:dyDescent="0.25">
      <c r="A2130" t="s">
        <v>1300</v>
      </c>
      <c r="B2130" t="s">
        <v>3</v>
      </c>
      <c r="C2130" t="s">
        <v>1108</v>
      </c>
    </row>
    <row r="2131" spans="1:3" x14ac:dyDescent="0.25">
      <c r="A2131" t="s">
        <v>1300</v>
      </c>
      <c r="B2131" t="s">
        <v>5</v>
      </c>
      <c r="C2131" t="s">
        <v>1109</v>
      </c>
    </row>
    <row r="2132" spans="1:3" x14ac:dyDescent="0.25">
      <c r="A2132" t="s">
        <v>1300</v>
      </c>
      <c r="B2132" t="s">
        <v>7</v>
      </c>
      <c r="C2132" t="s">
        <v>310</v>
      </c>
    </row>
    <row r="2133" spans="1:3" x14ac:dyDescent="0.25">
      <c r="A2133" t="s">
        <v>1300</v>
      </c>
      <c r="B2133" t="s">
        <v>9</v>
      </c>
      <c r="C2133" t="s">
        <v>1110</v>
      </c>
    </row>
    <row r="2134" spans="1:3" x14ac:dyDescent="0.25">
      <c r="A2134" t="s">
        <v>1300</v>
      </c>
      <c r="B2134" t="s">
        <v>11</v>
      </c>
      <c r="C2134" t="s">
        <v>270</v>
      </c>
    </row>
    <row r="2135" spans="1:3" x14ac:dyDescent="0.25">
      <c r="A2135" t="s">
        <v>1300</v>
      </c>
      <c r="B2135" t="s">
        <v>13</v>
      </c>
      <c r="C2135" t="s">
        <v>109</v>
      </c>
    </row>
    <row r="2136" spans="1:3" x14ac:dyDescent="0.25">
      <c r="A2136" t="s">
        <v>1300</v>
      </c>
      <c r="B2136" t="s">
        <v>15</v>
      </c>
      <c r="C2136" t="s">
        <v>1111</v>
      </c>
    </row>
    <row r="2137" spans="1:3" x14ac:dyDescent="0.25">
      <c r="A2137" t="s">
        <v>1300</v>
      </c>
      <c r="B2137" t="s">
        <v>17</v>
      </c>
      <c r="C2137" t="s">
        <v>138</v>
      </c>
    </row>
    <row r="2138" spans="1:3" x14ac:dyDescent="0.25">
      <c r="A2138" t="s">
        <v>1300</v>
      </c>
      <c r="B2138" t="s">
        <v>19</v>
      </c>
      <c r="C2138" t="s">
        <v>1112</v>
      </c>
    </row>
    <row r="2139" spans="1:3" x14ac:dyDescent="0.25">
      <c r="A2139" t="s">
        <v>1300</v>
      </c>
      <c r="B2139" t="s">
        <v>21</v>
      </c>
      <c r="C2139" t="s">
        <v>1113</v>
      </c>
    </row>
    <row r="2140" spans="1:3" x14ac:dyDescent="0.25">
      <c r="A2140" t="s">
        <v>1300</v>
      </c>
      <c r="B2140" t="s">
        <v>23</v>
      </c>
      <c r="C2140" t="s">
        <v>1114</v>
      </c>
    </row>
    <row r="2141" spans="1:3" x14ac:dyDescent="0.25">
      <c r="A2141" t="s">
        <v>1300</v>
      </c>
      <c r="B2141" t="s">
        <v>25</v>
      </c>
      <c r="C2141" t="s">
        <v>115</v>
      </c>
    </row>
    <row r="2142" spans="1:3" x14ac:dyDescent="0.25">
      <c r="A2142" t="s">
        <v>1300</v>
      </c>
      <c r="B2142" t="s">
        <v>27</v>
      </c>
      <c r="C2142" t="s">
        <v>382</v>
      </c>
    </row>
    <row r="2143" spans="1:3" x14ac:dyDescent="0.25">
      <c r="A2143" t="s">
        <v>1300</v>
      </c>
      <c r="B2143" t="s">
        <v>29</v>
      </c>
      <c r="C2143" t="s">
        <v>494</v>
      </c>
    </row>
    <row r="2144" spans="1:3" x14ac:dyDescent="0.25">
      <c r="A2144" t="s">
        <v>1300</v>
      </c>
      <c r="B2144" t="s">
        <v>31</v>
      </c>
      <c r="C2144" t="s">
        <v>514</v>
      </c>
    </row>
    <row r="2145" spans="1:3" x14ac:dyDescent="0.25">
      <c r="A2145" t="s">
        <v>1300</v>
      </c>
      <c r="B2145" t="s">
        <v>33</v>
      </c>
      <c r="C2145" t="s">
        <v>34</v>
      </c>
    </row>
    <row r="2146" spans="1:3" x14ac:dyDescent="0.25">
      <c r="A2146" t="s">
        <v>1301</v>
      </c>
      <c r="B2146" t="s">
        <v>134</v>
      </c>
      <c r="C2146" t="s">
        <v>343</v>
      </c>
    </row>
    <row r="2147" spans="1:3" x14ac:dyDescent="0.25">
      <c r="A2147" t="s">
        <v>1301</v>
      </c>
      <c r="B2147" t="s">
        <v>136</v>
      </c>
      <c r="C2147" t="s">
        <v>1115</v>
      </c>
    </row>
    <row r="2148" spans="1:3" x14ac:dyDescent="0.25">
      <c r="A2148" t="s">
        <v>1301</v>
      </c>
      <c r="B2148" t="s">
        <v>7</v>
      </c>
      <c r="C2148" t="s">
        <v>106</v>
      </c>
    </row>
    <row r="2149" spans="1:3" x14ac:dyDescent="0.25">
      <c r="A2149" t="s">
        <v>1301</v>
      </c>
      <c r="B2149" t="s">
        <v>139</v>
      </c>
      <c r="C2149" t="s">
        <v>1116</v>
      </c>
    </row>
    <row r="2150" spans="1:3" x14ac:dyDescent="0.25">
      <c r="A2150" t="s">
        <v>1301</v>
      </c>
      <c r="B2150" t="s">
        <v>141</v>
      </c>
      <c r="C2150" t="s">
        <v>897</v>
      </c>
    </row>
    <row r="2151" spans="1:3" x14ac:dyDescent="0.25">
      <c r="A2151" t="s">
        <v>1301</v>
      </c>
      <c r="B2151" t="s">
        <v>143</v>
      </c>
      <c r="C2151" t="s">
        <v>109</v>
      </c>
    </row>
    <row r="2152" spans="1:3" x14ac:dyDescent="0.25">
      <c r="A2152" t="s">
        <v>1301</v>
      </c>
      <c r="B2152" t="s">
        <v>144</v>
      </c>
      <c r="C2152" t="s">
        <v>355</v>
      </c>
    </row>
    <row r="2153" spans="1:3" x14ac:dyDescent="0.25">
      <c r="A2153" t="s">
        <v>1301</v>
      </c>
      <c r="B2153" t="s">
        <v>146</v>
      </c>
      <c r="C2153" t="s">
        <v>1117</v>
      </c>
    </row>
    <row r="2154" spans="1:3" x14ac:dyDescent="0.25">
      <c r="A2154" t="s">
        <v>1301</v>
      </c>
      <c r="B2154" t="s">
        <v>148</v>
      </c>
      <c r="C2154" t="s">
        <v>540</v>
      </c>
    </row>
    <row r="2155" spans="1:3" x14ac:dyDescent="0.25">
      <c r="A2155" t="s">
        <v>1301</v>
      </c>
      <c r="B2155" t="s">
        <v>150</v>
      </c>
      <c r="C2155" t="s">
        <v>1118</v>
      </c>
    </row>
    <row r="2156" spans="1:3" x14ac:dyDescent="0.25">
      <c r="A2156" t="s">
        <v>1301</v>
      </c>
      <c r="B2156" t="s">
        <v>152</v>
      </c>
      <c r="C2156" t="s">
        <v>1119</v>
      </c>
    </row>
    <row r="2157" spans="1:3" x14ac:dyDescent="0.25">
      <c r="A2157" t="s">
        <v>1301</v>
      </c>
      <c r="B2157" t="s">
        <v>154</v>
      </c>
      <c r="C2157" t="s">
        <v>1106</v>
      </c>
    </row>
    <row r="2158" spans="1:3" x14ac:dyDescent="0.25">
      <c r="A2158" t="s">
        <v>1301</v>
      </c>
      <c r="B2158" t="s">
        <v>27</v>
      </c>
      <c r="C2158" t="s">
        <v>304</v>
      </c>
    </row>
    <row r="2159" spans="1:3" x14ac:dyDescent="0.25">
      <c r="A2159" t="s">
        <v>1301</v>
      </c>
      <c r="B2159" t="s">
        <v>157</v>
      </c>
      <c r="C2159" t="s">
        <v>200</v>
      </c>
    </row>
    <row r="2160" spans="1:3" x14ac:dyDescent="0.25">
      <c r="A2160" t="s">
        <v>1301</v>
      </c>
      <c r="B2160" t="s">
        <v>159</v>
      </c>
      <c r="C2160" t="s">
        <v>1120</v>
      </c>
    </row>
    <row r="2161" spans="1:3" x14ac:dyDescent="0.25">
      <c r="A2161" t="s">
        <v>1301</v>
      </c>
      <c r="B2161" t="s">
        <v>161</v>
      </c>
      <c r="C2161" t="s">
        <v>428</v>
      </c>
    </row>
    <row r="2162" spans="1:3" x14ac:dyDescent="0.25">
      <c r="A2162" t="s">
        <v>1302</v>
      </c>
      <c r="B2162" t="s">
        <v>134</v>
      </c>
      <c r="C2162" t="s">
        <v>396</v>
      </c>
    </row>
    <row r="2163" spans="1:3" x14ac:dyDescent="0.25">
      <c r="A2163" t="s">
        <v>1302</v>
      </c>
      <c r="B2163" t="s">
        <v>136</v>
      </c>
      <c r="C2163" t="s">
        <v>1121</v>
      </c>
    </row>
    <row r="2164" spans="1:3" x14ac:dyDescent="0.25">
      <c r="A2164" t="s">
        <v>1302</v>
      </c>
      <c r="B2164" t="s">
        <v>7</v>
      </c>
      <c r="C2164" t="s">
        <v>517</v>
      </c>
    </row>
    <row r="2165" spans="1:3" x14ac:dyDescent="0.25">
      <c r="A2165" t="s">
        <v>1302</v>
      </c>
      <c r="B2165" t="s">
        <v>139</v>
      </c>
      <c r="C2165" t="s">
        <v>1007</v>
      </c>
    </row>
    <row r="2166" spans="1:3" x14ac:dyDescent="0.25">
      <c r="A2166" t="s">
        <v>1302</v>
      </c>
      <c r="B2166" t="s">
        <v>141</v>
      </c>
      <c r="C2166" t="s">
        <v>222</v>
      </c>
    </row>
    <row r="2167" spans="1:3" x14ac:dyDescent="0.25">
      <c r="A2167" t="s">
        <v>1302</v>
      </c>
      <c r="B2167" t="s">
        <v>143</v>
      </c>
      <c r="C2167" t="s">
        <v>51</v>
      </c>
    </row>
    <row r="2168" spans="1:3" x14ac:dyDescent="0.25">
      <c r="A2168" t="s">
        <v>1302</v>
      </c>
      <c r="B2168" t="s">
        <v>144</v>
      </c>
      <c r="C2168" t="s">
        <v>207</v>
      </c>
    </row>
    <row r="2169" spans="1:3" x14ac:dyDescent="0.25">
      <c r="A2169" t="s">
        <v>1302</v>
      </c>
      <c r="B2169" t="s">
        <v>146</v>
      </c>
      <c r="C2169" t="s">
        <v>1122</v>
      </c>
    </row>
    <row r="2170" spans="1:3" x14ac:dyDescent="0.25">
      <c r="A2170" t="s">
        <v>1302</v>
      </c>
      <c r="B2170" t="s">
        <v>148</v>
      </c>
      <c r="C2170" t="s">
        <v>1123</v>
      </c>
    </row>
    <row r="2171" spans="1:3" x14ac:dyDescent="0.25">
      <c r="A2171" t="s">
        <v>1302</v>
      </c>
      <c r="B2171" t="s">
        <v>150</v>
      </c>
      <c r="C2171" t="s">
        <v>1124</v>
      </c>
    </row>
    <row r="2172" spans="1:3" x14ac:dyDescent="0.25">
      <c r="A2172" t="s">
        <v>1302</v>
      </c>
      <c r="B2172" t="s">
        <v>152</v>
      </c>
      <c r="C2172" t="s">
        <v>956</v>
      </c>
    </row>
    <row r="2173" spans="1:3" x14ac:dyDescent="0.25">
      <c r="A2173" t="s">
        <v>1302</v>
      </c>
      <c r="B2173" t="s">
        <v>154</v>
      </c>
      <c r="C2173" t="s">
        <v>1089</v>
      </c>
    </row>
    <row r="2174" spans="1:3" x14ac:dyDescent="0.25">
      <c r="A2174" t="s">
        <v>1302</v>
      </c>
      <c r="B2174" t="s">
        <v>27</v>
      </c>
      <c r="C2174" t="s">
        <v>276</v>
      </c>
    </row>
    <row r="2175" spans="1:3" x14ac:dyDescent="0.25">
      <c r="A2175" t="s">
        <v>1302</v>
      </c>
      <c r="B2175" t="s">
        <v>157</v>
      </c>
      <c r="C2175" t="s">
        <v>155</v>
      </c>
    </row>
    <row r="2176" spans="1:3" x14ac:dyDescent="0.25">
      <c r="A2176" t="s">
        <v>1302</v>
      </c>
      <c r="B2176" t="s">
        <v>159</v>
      </c>
      <c r="C2176" t="s">
        <v>1125</v>
      </c>
    </row>
    <row r="2177" spans="1:3" x14ac:dyDescent="0.25">
      <c r="A2177" t="s">
        <v>1302</v>
      </c>
      <c r="B2177" t="s">
        <v>161</v>
      </c>
      <c r="C2177" t="s">
        <v>1091</v>
      </c>
    </row>
    <row r="2178" spans="1:3" x14ac:dyDescent="0.25">
      <c r="A2178" t="s">
        <v>1303</v>
      </c>
      <c r="B2178" t="s">
        <v>134</v>
      </c>
      <c r="C2178" t="s">
        <v>1126</v>
      </c>
    </row>
    <row r="2179" spans="1:3" x14ac:dyDescent="0.25">
      <c r="A2179" t="s">
        <v>1303</v>
      </c>
      <c r="B2179" t="s">
        <v>136</v>
      </c>
      <c r="C2179" t="s">
        <v>1127</v>
      </c>
    </row>
    <row r="2180" spans="1:3" x14ac:dyDescent="0.25">
      <c r="A2180" t="s">
        <v>1303</v>
      </c>
      <c r="B2180" t="s">
        <v>7</v>
      </c>
      <c r="C2180" t="s">
        <v>1127</v>
      </c>
    </row>
    <row r="2181" spans="1:3" x14ac:dyDescent="0.25">
      <c r="A2181" t="s">
        <v>1303</v>
      </c>
      <c r="B2181" t="s">
        <v>139</v>
      </c>
      <c r="C2181" t="s">
        <v>1128</v>
      </c>
    </row>
    <row r="2182" spans="1:3" x14ac:dyDescent="0.25">
      <c r="A2182" t="s">
        <v>1303</v>
      </c>
      <c r="B2182" t="s">
        <v>141</v>
      </c>
      <c r="C2182" t="s">
        <v>897</v>
      </c>
    </row>
    <row r="2183" spans="1:3" x14ac:dyDescent="0.25">
      <c r="A2183" t="s">
        <v>1303</v>
      </c>
      <c r="B2183" t="s">
        <v>143</v>
      </c>
      <c r="C2183" t="s">
        <v>897</v>
      </c>
    </row>
    <row r="2184" spans="1:3" x14ac:dyDescent="0.25">
      <c r="A2184" t="s">
        <v>1303</v>
      </c>
      <c r="B2184" t="s">
        <v>144</v>
      </c>
      <c r="C2184" t="s">
        <v>1129</v>
      </c>
    </row>
    <row r="2185" spans="1:3" x14ac:dyDescent="0.25">
      <c r="A2185" t="s">
        <v>1303</v>
      </c>
      <c r="B2185" t="s">
        <v>146</v>
      </c>
      <c r="C2185" t="s">
        <v>1130</v>
      </c>
    </row>
    <row r="2186" spans="1:3" x14ac:dyDescent="0.25">
      <c r="A2186" t="s">
        <v>1303</v>
      </c>
      <c r="B2186" t="s">
        <v>148</v>
      </c>
      <c r="C2186" t="s">
        <v>590</v>
      </c>
    </row>
    <row r="2187" spans="1:3" x14ac:dyDescent="0.25">
      <c r="A2187" t="s">
        <v>1303</v>
      </c>
      <c r="B2187" t="s">
        <v>150</v>
      </c>
      <c r="C2187" t="s">
        <v>1131</v>
      </c>
    </row>
    <row r="2188" spans="1:3" x14ac:dyDescent="0.25">
      <c r="A2188" t="s">
        <v>1303</v>
      </c>
      <c r="B2188" t="s">
        <v>152</v>
      </c>
      <c r="C2188" t="s">
        <v>1132</v>
      </c>
    </row>
    <row r="2189" spans="1:3" x14ac:dyDescent="0.25">
      <c r="A2189" t="s">
        <v>1303</v>
      </c>
      <c r="B2189" t="s">
        <v>154</v>
      </c>
      <c r="C2189" t="s">
        <v>657</v>
      </c>
    </row>
    <row r="2190" spans="1:3" x14ac:dyDescent="0.25">
      <c r="A2190" t="s">
        <v>1303</v>
      </c>
      <c r="B2190" t="s">
        <v>27</v>
      </c>
      <c r="C2190" t="s">
        <v>328</v>
      </c>
    </row>
    <row r="2191" spans="1:3" x14ac:dyDescent="0.25">
      <c r="A2191" t="s">
        <v>1303</v>
      </c>
      <c r="B2191" t="s">
        <v>157</v>
      </c>
      <c r="C2191" t="s">
        <v>277</v>
      </c>
    </row>
    <row r="2192" spans="1:3" x14ac:dyDescent="0.25">
      <c r="A2192" t="s">
        <v>1303</v>
      </c>
      <c r="B2192" t="s">
        <v>159</v>
      </c>
      <c r="C2192" t="s">
        <v>1133</v>
      </c>
    </row>
    <row r="2193" spans="1:3" x14ac:dyDescent="0.25">
      <c r="A2193" t="s">
        <v>1303</v>
      </c>
      <c r="B2193" t="s">
        <v>161</v>
      </c>
      <c r="C2193" t="s">
        <v>217</v>
      </c>
    </row>
    <row r="2194" spans="1:3" x14ac:dyDescent="0.25">
      <c r="A2194" t="s">
        <v>1304</v>
      </c>
      <c r="B2194" t="s">
        <v>3</v>
      </c>
      <c r="C2194" t="s">
        <v>64</v>
      </c>
    </row>
    <row r="2195" spans="1:3" x14ac:dyDescent="0.25">
      <c r="A2195" t="s">
        <v>1304</v>
      </c>
      <c r="B2195" t="s">
        <v>5</v>
      </c>
      <c r="C2195" t="s">
        <v>35</v>
      </c>
    </row>
    <row r="2196" spans="1:3" x14ac:dyDescent="0.25">
      <c r="A2196" t="s">
        <v>1304</v>
      </c>
      <c r="B2196" t="s">
        <v>7</v>
      </c>
      <c r="C2196" t="s">
        <v>1134</v>
      </c>
    </row>
    <row r="2197" spans="1:3" x14ac:dyDescent="0.25">
      <c r="A2197" t="s">
        <v>1304</v>
      </c>
      <c r="B2197" t="s">
        <v>9</v>
      </c>
      <c r="C2197" t="s">
        <v>1135</v>
      </c>
    </row>
    <row r="2198" spans="1:3" x14ac:dyDescent="0.25">
      <c r="A2198" t="s">
        <v>1304</v>
      </c>
      <c r="B2198" t="s">
        <v>11</v>
      </c>
      <c r="C2198" t="s">
        <v>40</v>
      </c>
    </row>
    <row r="2199" spans="1:3" x14ac:dyDescent="0.25">
      <c r="A2199" t="s">
        <v>1304</v>
      </c>
      <c r="B2199" t="s">
        <v>13</v>
      </c>
      <c r="C2199" t="s">
        <v>51</v>
      </c>
    </row>
    <row r="2200" spans="1:3" x14ac:dyDescent="0.25">
      <c r="A2200" t="s">
        <v>1304</v>
      </c>
      <c r="B2200" t="s">
        <v>15</v>
      </c>
      <c r="C2200" t="s">
        <v>1136</v>
      </c>
    </row>
    <row r="2201" spans="1:3" x14ac:dyDescent="0.25">
      <c r="A2201" t="s">
        <v>1304</v>
      </c>
      <c r="B2201" t="s">
        <v>17</v>
      </c>
      <c r="C2201" t="s">
        <v>1137</v>
      </c>
    </row>
    <row r="2202" spans="1:3" x14ac:dyDescent="0.25">
      <c r="A2202" t="s">
        <v>1304</v>
      </c>
      <c r="B2202" t="s">
        <v>19</v>
      </c>
      <c r="C2202" t="s">
        <v>415</v>
      </c>
    </row>
    <row r="2203" spans="1:3" x14ac:dyDescent="0.25">
      <c r="A2203" t="s">
        <v>1304</v>
      </c>
      <c r="B2203" t="s">
        <v>21</v>
      </c>
      <c r="C2203" t="s">
        <v>1138</v>
      </c>
    </row>
    <row r="2204" spans="1:3" x14ac:dyDescent="0.25">
      <c r="A2204" t="s">
        <v>1304</v>
      </c>
      <c r="B2204" t="s">
        <v>23</v>
      </c>
      <c r="C2204" t="s">
        <v>1139</v>
      </c>
    </row>
    <row r="2205" spans="1:3" x14ac:dyDescent="0.25">
      <c r="A2205" t="s">
        <v>1304</v>
      </c>
      <c r="B2205" t="s">
        <v>25</v>
      </c>
      <c r="C2205" t="s">
        <v>736</v>
      </c>
    </row>
    <row r="2206" spans="1:3" x14ac:dyDescent="0.25">
      <c r="A2206" t="s">
        <v>1304</v>
      </c>
      <c r="B2206" t="s">
        <v>27</v>
      </c>
      <c r="C2206" t="s">
        <v>73</v>
      </c>
    </row>
    <row r="2207" spans="1:3" x14ac:dyDescent="0.25">
      <c r="A2207" t="s">
        <v>1304</v>
      </c>
      <c r="B2207" t="s">
        <v>29</v>
      </c>
      <c r="C2207" t="s">
        <v>494</v>
      </c>
    </row>
    <row r="2208" spans="1:3" x14ac:dyDescent="0.25">
      <c r="A2208" t="s">
        <v>1304</v>
      </c>
      <c r="B2208" t="s">
        <v>31</v>
      </c>
      <c r="C2208" t="s">
        <v>1009</v>
      </c>
    </row>
    <row r="2209" spans="1:3" x14ac:dyDescent="0.25">
      <c r="A2209" t="s">
        <v>1304</v>
      </c>
      <c r="B2209" t="s">
        <v>33</v>
      </c>
      <c r="C2209" t="s">
        <v>202</v>
      </c>
    </row>
    <row r="2210" spans="1:3" x14ac:dyDescent="0.25">
      <c r="A2210" t="s">
        <v>1183</v>
      </c>
      <c r="B2210" t="s">
        <v>3</v>
      </c>
      <c r="C2210" t="s">
        <v>719</v>
      </c>
    </row>
    <row r="2211" spans="1:3" x14ac:dyDescent="0.25">
      <c r="A2211" t="s">
        <v>1183</v>
      </c>
      <c r="B2211" t="s">
        <v>5</v>
      </c>
      <c r="C2211" t="s">
        <v>363</v>
      </c>
    </row>
    <row r="2212" spans="1:3" x14ac:dyDescent="0.25">
      <c r="A2212" t="s">
        <v>1183</v>
      </c>
      <c r="B2212" t="s">
        <v>7</v>
      </c>
      <c r="C2212" t="s">
        <v>648</v>
      </c>
    </row>
    <row r="2213" spans="1:3" x14ac:dyDescent="0.25">
      <c r="A2213" t="s">
        <v>1183</v>
      </c>
      <c r="B2213" t="s">
        <v>9</v>
      </c>
      <c r="C2213" t="s">
        <v>1140</v>
      </c>
    </row>
    <row r="2214" spans="1:3" x14ac:dyDescent="0.25">
      <c r="A2214" t="s">
        <v>1183</v>
      </c>
      <c r="B2214" t="s">
        <v>11</v>
      </c>
      <c r="C2214" t="s">
        <v>142</v>
      </c>
    </row>
    <row r="2215" spans="1:3" x14ac:dyDescent="0.25">
      <c r="A2215" t="s">
        <v>1183</v>
      </c>
      <c r="B2215" t="s">
        <v>13</v>
      </c>
      <c r="C2215" t="s">
        <v>109</v>
      </c>
    </row>
    <row r="2216" spans="1:3" x14ac:dyDescent="0.25">
      <c r="A2216" t="s">
        <v>1183</v>
      </c>
      <c r="B2216" t="s">
        <v>15</v>
      </c>
      <c r="C2216" t="s">
        <v>1141</v>
      </c>
    </row>
    <row r="2217" spans="1:3" x14ac:dyDescent="0.25">
      <c r="A2217" t="s">
        <v>1183</v>
      </c>
      <c r="B2217" t="s">
        <v>17</v>
      </c>
      <c r="C2217" t="s">
        <v>179</v>
      </c>
    </row>
    <row r="2218" spans="1:3" x14ac:dyDescent="0.25">
      <c r="A2218" t="s">
        <v>1183</v>
      </c>
      <c r="B2218" t="s">
        <v>19</v>
      </c>
      <c r="C2218" t="s">
        <v>132</v>
      </c>
    </row>
    <row r="2219" spans="1:3" x14ac:dyDescent="0.25">
      <c r="A2219" t="s">
        <v>1183</v>
      </c>
      <c r="B2219" t="s">
        <v>21</v>
      </c>
      <c r="C2219" t="s">
        <v>480</v>
      </c>
    </row>
    <row r="2220" spans="1:3" x14ac:dyDescent="0.25">
      <c r="A2220" t="s">
        <v>1183</v>
      </c>
      <c r="B2220" t="s">
        <v>23</v>
      </c>
      <c r="C2220" t="s">
        <v>689</v>
      </c>
    </row>
    <row r="2221" spans="1:3" x14ac:dyDescent="0.25">
      <c r="A2221" t="s">
        <v>1183</v>
      </c>
      <c r="B2221" t="s">
        <v>25</v>
      </c>
      <c r="C2221" t="s">
        <v>252</v>
      </c>
    </row>
    <row r="2222" spans="1:3" x14ac:dyDescent="0.25">
      <c r="A2222" t="s">
        <v>1183</v>
      </c>
      <c r="B2222" t="s">
        <v>27</v>
      </c>
      <c r="C2222" t="s">
        <v>265</v>
      </c>
    </row>
    <row r="2223" spans="1:3" x14ac:dyDescent="0.25">
      <c r="A2223" t="s">
        <v>1183</v>
      </c>
      <c r="B2223" t="s">
        <v>29</v>
      </c>
      <c r="C2223" t="s">
        <v>525</v>
      </c>
    </row>
    <row r="2224" spans="1:3" x14ac:dyDescent="0.25">
      <c r="A2224" t="s">
        <v>1183</v>
      </c>
      <c r="B2224" t="s">
        <v>31</v>
      </c>
      <c r="C2224" t="s">
        <v>1142</v>
      </c>
    </row>
    <row r="2225" spans="1:3" x14ac:dyDescent="0.25">
      <c r="A2225" t="s">
        <v>1183</v>
      </c>
      <c r="B2225" t="s">
        <v>33</v>
      </c>
      <c r="C2225" t="s">
        <v>90</v>
      </c>
    </row>
    <row r="2226" spans="1:3" x14ac:dyDescent="0.25">
      <c r="A2226" t="s">
        <v>1305</v>
      </c>
      <c r="B2226" t="s">
        <v>3</v>
      </c>
      <c r="C2226" t="s">
        <v>465</v>
      </c>
    </row>
    <row r="2227" spans="1:3" x14ac:dyDescent="0.25">
      <c r="A2227" t="s">
        <v>1305</v>
      </c>
      <c r="B2227" t="s">
        <v>5</v>
      </c>
      <c r="C2227" t="s">
        <v>47</v>
      </c>
    </row>
    <row r="2228" spans="1:3" x14ac:dyDescent="0.25">
      <c r="A2228" t="s">
        <v>1305</v>
      </c>
      <c r="B2228" t="s">
        <v>7</v>
      </c>
      <c r="C2228" t="s">
        <v>453</v>
      </c>
    </row>
    <row r="2229" spans="1:3" x14ac:dyDescent="0.25">
      <c r="A2229" t="s">
        <v>1305</v>
      </c>
      <c r="B2229" t="s">
        <v>9</v>
      </c>
      <c r="C2229" t="s">
        <v>79</v>
      </c>
    </row>
    <row r="2230" spans="1:3" x14ac:dyDescent="0.25">
      <c r="A2230" t="s">
        <v>1305</v>
      </c>
      <c r="B2230" t="s">
        <v>11</v>
      </c>
      <c r="C2230" t="s">
        <v>14</v>
      </c>
    </row>
    <row r="2231" spans="1:3" x14ac:dyDescent="0.25">
      <c r="A2231" t="s">
        <v>1305</v>
      </c>
      <c r="B2231" t="s">
        <v>13</v>
      </c>
      <c r="C2231" t="s">
        <v>51</v>
      </c>
    </row>
    <row r="2232" spans="1:3" x14ac:dyDescent="0.25">
      <c r="A2232" t="s">
        <v>1305</v>
      </c>
      <c r="B2232" t="s">
        <v>15</v>
      </c>
      <c r="C2232" t="s">
        <v>731</v>
      </c>
    </row>
    <row r="2233" spans="1:3" x14ac:dyDescent="0.25">
      <c r="A2233" t="s">
        <v>1305</v>
      </c>
      <c r="B2233" t="s">
        <v>17</v>
      </c>
      <c r="C2233" t="s">
        <v>1143</v>
      </c>
    </row>
    <row r="2234" spans="1:3" x14ac:dyDescent="0.25">
      <c r="A2234" t="s">
        <v>1305</v>
      </c>
      <c r="B2234" t="s">
        <v>19</v>
      </c>
      <c r="C2234" t="s">
        <v>1144</v>
      </c>
    </row>
    <row r="2235" spans="1:3" x14ac:dyDescent="0.25">
      <c r="A2235" t="s">
        <v>1305</v>
      </c>
      <c r="B2235" t="s">
        <v>21</v>
      </c>
      <c r="C2235" t="s">
        <v>442</v>
      </c>
    </row>
    <row r="2236" spans="1:3" x14ac:dyDescent="0.25">
      <c r="A2236" t="s">
        <v>1305</v>
      </c>
      <c r="B2236" t="s">
        <v>23</v>
      </c>
      <c r="C2236" t="s">
        <v>1145</v>
      </c>
    </row>
    <row r="2237" spans="1:3" x14ac:dyDescent="0.25">
      <c r="A2237" t="s">
        <v>1305</v>
      </c>
      <c r="B2237" t="s">
        <v>25</v>
      </c>
      <c r="C2237" t="s">
        <v>359</v>
      </c>
    </row>
    <row r="2238" spans="1:3" x14ac:dyDescent="0.25">
      <c r="A2238" t="s">
        <v>1305</v>
      </c>
      <c r="B2238" t="s">
        <v>27</v>
      </c>
      <c r="C2238" t="s">
        <v>656</v>
      </c>
    </row>
    <row r="2239" spans="1:3" x14ac:dyDescent="0.25">
      <c r="A2239" t="s">
        <v>1305</v>
      </c>
      <c r="B2239" t="s">
        <v>29</v>
      </c>
      <c r="C2239" t="s">
        <v>341</v>
      </c>
    </row>
    <row r="2240" spans="1:3" x14ac:dyDescent="0.25">
      <c r="A2240" t="s">
        <v>1305</v>
      </c>
      <c r="B2240" t="s">
        <v>31</v>
      </c>
      <c r="C2240" t="s">
        <v>1146</v>
      </c>
    </row>
    <row r="2241" spans="1:3" x14ac:dyDescent="0.25">
      <c r="A2241" t="s">
        <v>1305</v>
      </c>
      <c r="B2241" t="s">
        <v>33</v>
      </c>
      <c r="C2241" t="s">
        <v>416</v>
      </c>
    </row>
    <row r="2242" spans="1:3" x14ac:dyDescent="0.25">
      <c r="A2242" t="s">
        <v>1306</v>
      </c>
      <c r="B2242" t="s">
        <v>3</v>
      </c>
      <c r="C2242" t="s">
        <v>1147</v>
      </c>
    </row>
    <row r="2243" spans="1:3" x14ac:dyDescent="0.25">
      <c r="A2243" t="s">
        <v>1306</v>
      </c>
      <c r="B2243" t="s">
        <v>5</v>
      </c>
      <c r="C2243" t="s">
        <v>757</v>
      </c>
    </row>
    <row r="2244" spans="1:3" x14ac:dyDescent="0.25">
      <c r="A2244" t="s">
        <v>1306</v>
      </c>
      <c r="B2244" t="s">
        <v>7</v>
      </c>
      <c r="C2244" t="s">
        <v>407</v>
      </c>
    </row>
    <row r="2245" spans="1:3" x14ac:dyDescent="0.25">
      <c r="A2245" t="s">
        <v>1306</v>
      </c>
      <c r="B2245" t="s">
        <v>9</v>
      </c>
      <c r="C2245" t="s">
        <v>797</v>
      </c>
    </row>
    <row r="2246" spans="1:3" x14ac:dyDescent="0.25">
      <c r="A2246" t="s">
        <v>1306</v>
      </c>
      <c r="B2246" t="s">
        <v>11</v>
      </c>
      <c r="C2246" t="s">
        <v>109</v>
      </c>
    </row>
    <row r="2247" spans="1:3" x14ac:dyDescent="0.25">
      <c r="A2247" t="s">
        <v>1306</v>
      </c>
      <c r="B2247" t="s">
        <v>13</v>
      </c>
      <c r="C2247" t="s">
        <v>14</v>
      </c>
    </row>
    <row r="2248" spans="1:3" x14ac:dyDescent="0.25">
      <c r="A2248" t="s">
        <v>1306</v>
      </c>
      <c r="B2248" t="s">
        <v>15</v>
      </c>
      <c r="C2248" t="s">
        <v>838</v>
      </c>
    </row>
    <row r="2249" spans="1:3" x14ac:dyDescent="0.25">
      <c r="A2249" t="s">
        <v>1306</v>
      </c>
      <c r="B2249" t="s">
        <v>17</v>
      </c>
      <c r="C2249" t="s">
        <v>1148</v>
      </c>
    </row>
    <row r="2250" spans="1:3" x14ac:dyDescent="0.25">
      <c r="A2250" t="s">
        <v>1306</v>
      </c>
      <c r="B2250" t="s">
        <v>19</v>
      </c>
      <c r="C2250" t="s">
        <v>683</v>
      </c>
    </row>
    <row r="2251" spans="1:3" x14ac:dyDescent="0.25">
      <c r="A2251" t="s">
        <v>1306</v>
      </c>
      <c r="B2251" t="s">
        <v>21</v>
      </c>
      <c r="C2251" t="s">
        <v>709</v>
      </c>
    </row>
    <row r="2252" spans="1:3" x14ac:dyDescent="0.25">
      <c r="A2252" t="s">
        <v>1306</v>
      </c>
      <c r="B2252" t="s">
        <v>23</v>
      </c>
      <c r="C2252" t="s">
        <v>1149</v>
      </c>
    </row>
    <row r="2253" spans="1:3" x14ac:dyDescent="0.25">
      <c r="A2253" t="s">
        <v>1306</v>
      </c>
      <c r="B2253" t="s">
        <v>25</v>
      </c>
      <c r="C2253" t="s">
        <v>450</v>
      </c>
    </row>
    <row r="2254" spans="1:3" x14ac:dyDescent="0.25">
      <c r="A2254" t="s">
        <v>1306</v>
      </c>
      <c r="B2254" t="s">
        <v>27</v>
      </c>
      <c r="C2254" t="s">
        <v>1150</v>
      </c>
    </row>
    <row r="2255" spans="1:3" x14ac:dyDescent="0.25">
      <c r="A2255" t="s">
        <v>1306</v>
      </c>
      <c r="B2255" t="s">
        <v>29</v>
      </c>
      <c r="C2255" t="s">
        <v>822</v>
      </c>
    </row>
    <row r="2256" spans="1:3" x14ac:dyDescent="0.25">
      <c r="A2256" t="s">
        <v>1306</v>
      </c>
      <c r="B2256" t="s">
        <v>31</v>
      </c>
      <c r="C2256" t="s">
        <v>1151</v>
      </c>
    </row>
    <row r="2257" spans="1:3" x14ac:dyDescent="0.25">
      <c r="A2257" t="s">
        <v>1306</v>
      </c>
      <c r="B2257" t="s">
        <v>33</v>
      </c>
      <c r="C2257" t="s">
        <v>315</v>
      </c>
    </row>
    <row r="2258" spans="1:3" x14ac:dyDescent="0.25">
      <c r="A2258" t="s">
        <v>1307</v>
      </c>
      <c r="B2258" t="s">
        <v>3</v>
      </c>
      <c r="C2258" t="s">
        <v>203</v>
      </c>
    </row>
    <row r="2259" spans="1:3" x14ac:dyDescent="0.25">
      <c r="A2259" t="s">
        <v>1307</v>
      </c>
      <c r="B2259" t="s">
        <v>5</v>
      </c>
      <c r="C2259" t="s">
        <v>63</v>
      </c>
    </row>
    <row r="2260" spans="1:3" x14ac:dyDescent="0.25">
      <c r="A2260" t="s">
        <v>1307</v>
      </c>
      <c r="B2260" t="s">
        <v>7</v>
      </c>
      <c r="C2260" t="s">
        <v>205</v>
      </c>
    </row>
    <row r="2261" spans="1:3" x14ac:dyDescent="0.25">
      <c r="A2261" t="s">
        <v>1307</v>
      </c>
      <c r="B2261" t="s">
        <v>9</v>
      </c>
      <c r="C2261" t="s">
        <v>221</v>
      </c>
    </row>
    <row r="2262" spans="1:3" x14ac:dyDescent="0.25">
      <c r="A2262" t="s">
        <v>1307</v>
      </c>
      <c r="B2262" t="s">
        <v>11</v>
      </c>
      <c r="C2262" t="s">
        <v>142</v>
      </c>
    </row>
    <row r="2263" spans="1:3" x14ac:dyDescent="0.25">
      <c r="A2263" t="s">
        <v>1307</v>
      </c>
      <c r="B2263" t="s">
        <v>13</v>
      </c>
      <c r="C2263" t="s">
        <v>167</v>
      </c>
    </row>
    <row r="2264" spans="1:3" x14ac:dyDescent="0.25">
      <c r="A2264" t="s">
        <v>1307</v>
      </c>
      <c r="B2264" t="s">
        <v>15</v>
      </c>
      <c r="C2264" t="s">
        <v>488</v>
      </c>
    </row>
    <row r="2265" spans="1:3" x14ac:dyDescent="0.25">
      <c r="A2265" t="s">
        <v>1307</v>
      </c>
      <c r="B2265" t="s">
        <v>17</v>
      </c>
      <c r="C2265" t="s">
        <v>1152</v>
      </c>
    </row>
    <row r="2266" spans="1:3" x14ac:dyDescent="0.25">
      <c r="A2266" t="s">
        <v>1307</v>
      </c>
      <c r="B2266" t="s">
        <v>19</v>
      </c>
      <c r="C2266" t="s">
        <v>1112</v>
      </c>
    </row>
    <row r="2267" spans="1:3" x14ac:dyDescent="0.25">
      <c r="A2267" t="s">
        <v>1307</v>
      </c>
      <c r="B2267" t="s">
        <v>21</v>
      </c>
      <c r="C2267" t="s">
        <v>1153</v>
      </c>
    </row>
    <row r="2268" spans="1:3" x14ac:dyDescent="0.25">
      <c r="A2268" t="s">
        <v>1307</v>
      </c>
      <c r="B2268" t="s">
        <v>23</v>
      </c>
      <c r="C2268" t="s">
        <v>1154</v>
      </c>
    </row>
    <row r="2269" spans="1:3" x14ac:dyDescent="0.25">
      <c r="A2269" t="s">
        <v>1307</v>
      </c>
      <c r="B2269" t="s">
        <v>25</v>
      </c>
      <c r="C2269" t="s">
        <v>450</v>
      </c>
    </row>
    <row r="2270" spans="1:3" x14ac:dyDescent="0.25">
      <c r="A2270" t="s">
        <v>1307</v>
      </c>
      <c r="B2270" t="s">
        <v>27</v>
      </c>
      <c r="C2270" t="s">
        <v>87</v>
      </c>
    </row>
    <row r="2271" spans="1:3" x14ac:dyDescent="0.25">
      <c r="A2271" t="s">
        <v>1307</v>
      </c>
      <c r="B2271" t="s">
        <v>29</v>
      </c>
      <c r="C2271" t="s">
        <v>414</v>
      </c>
    </row>
    <row r="2272" spans="1:3" x14ac:dyDescent="0.25">
      <c r="A2272" t="s">
        <v>1307</v>
      </c>
      <c r="B2272" t="s">
        <v>31</v>
      </c>
      <c r="C2272" t="s">
        <v>1155</v>
      </c>
    </row>
    <row r="2273" spans="1:3" x14ac:dyDescent="0.25">
      <c r="A2273" t="s">
        <v>1307</v>
      </c>
      <c r="B2273" t="s">
        <v>33</v>
      </c>
      <c r="C2273" t="s">
        <v>119</v>
      </c>
    </row>
    <row r="2274" spans="1:3" x14ac:dyDescent="0.25">
      <c r="A2274" t="s">
        <v>1308</v>
      </c>
      <c r="B2274" t="s">
        <v>134</v>
      </c>
      <c r="C2274" t="s">
        <v>280</v>
      </c>
    </row>
    <row r="2275" spans="1:3" x14ac:dyDescent="0.25">
      <c r="A2275" t="s">
        <v>1308</v>
      </c>
      <c r="B2275" t="s">
        <v>136</v>
      </c>
      <c r="C2275" t="s">
        <v>508</v>
      </c>
    </row>
    <row r="2276" spans="1:3" x14ac:dyDescent="0.25">
      <c r="A2276" t="s">
        <v>1308</v>
      </c>
      <c r="B2276" t="s">
        <v>7</v>
      </c>
      <c r="C2276" t="s">
        <v>576</v>
      </c>
    </row>
    <row r="2277" spans="1:3" x14ac:dyDescent="0.25">
      <c r="A2277" t="s">
        <v>1308</v>
      </c>
      <c r="B2277" t="s">
        <v>139</v>
      </c>
      <c r="C2277" t="s">
        <v>1156</v>
      </c>
    </row>
    <row r="2278" spans="1:3" x14ac:dyDescent="0.25">
      <c r="A2278" t="s">
        <v>1308</v>
      </c>
      <c r="B2278" t="s">
        <v>141</v>
      </c>
      <c r="C2278" t="s">
        <v>270</v>
      </c>
    </row>
    <row r="2279" spans="1:3" x14ac:dyDescent="0.25">
      <c r="A2279" t="s">
        <v>1308</v>
      </c>
      <c r="B2279" t="s">
        <v>143</v>
      </c>
      <c r="C2279" t="s">
        <v>109</v>
      </c>
    </row>
    <row r="2280" spans="1:3" x14ac:dyDescent="0.25">
      <c r="A2280" t="s">
        <v>1308</v>
      </c>
      <c r="B2280" t="s">
        <v>144</v>
      </c>
      <c r="C2280" t="s">
        <v>721</v>
      </c>
    </row>
    <row r="2281" spans="1:3" x14ac:dyDescent="0.25">
      <c r="A2281" t="s">
        <v>1308</v>
      </c>
      <c r="B2281" t="s">
        <v>146</v>
      </c>
      <c r="C2281" t="s">
        <v>545</v>
      </c>
    </row>
    <row r="2282" spans="1:3" x14ac:dyDescent="0.25">
      <c r="A2282" t="s">
        <v>1308</v>
      </c>
      <c r="B2282" t="s">
        <v>148</v>
      </c>
      <c r="C2282" t="s">
        <v>1157</v>
      </c>
    </row>
    <row r="2283" spans="1:3" x14ac:dyDescent="0.25">
      <c r="A2283" t="s">
        <v>1308</v>
      </c>
      <c r="B2283" t="s">
        <v>150</v>
      </c>
      <c r="C2283" t="s">
        <v>1158</v>
      </c>
    </row>
    <row r="2284" spans="1:3" x14ac:dyDescent="0.25">
      <c r="A2284" t="s">
        <v>1308</v>
      </c>
      <c r="B2284" t="s">
        <v>152</v>
      </c>
      <c r="C2284" t="s">
        <v>833</v>
      </c>
    </row>
    <row r="2285" spans="1:3" x14ac:dyDescent="0.25">
      <c r="A2285" t="s">
        <v>1308</v>
      </c>
      <c r="B2285" t="s">
        <v>154</v>
      </c>
      <c r="C2285" t="s">
        <v>471</v>
      </c>
    </row>
    <row r="2286" spans="1:3" x14ac:dyDescent="0.25">
      <c r="A2286" t="s">
        <v>1308</v>
      </c>
      <c r="B2286" t="s">
        <v>27</v>
      </c>
      <c r="C2286" t="s">
        <v>932</v>
      </c>
    </row>
    <row r="2287" spans="1:3" x14ac:dyDescent="0.25">
      <c r="A2287" t="s">
        <v>1308</v>
      </c>
      <c r="B2287" t="s">
        <v>157</v>
      </c>
      <c r="C2287" t="s">
        <v>585</v>
      </c>
    </row>
    <row r="2288" spans="1:3" x14ac:dyDescent="0.25">
      <c r="A2288" t="s">
        <v>1308</v>
      </c>
      <c r="B2288" t="s">
        <v>159</v>
      </c>
      <c r="C2288" t="s">
        <v>264</v>
      </c>
    </row>
    <row r="2289" spans="1:3" x14ac:dyDescent="0.25">
      <c r="A2289" t="s">
        <v>1308</v>
      </c>
      <c r="B2289" t="s">
        <v>161</v>
      </c>
      <c r="C2289" t="s">
        <v>699</v>
      </c>
    </row>
    <row r="2290" spans="1:3" x14ac:dyDescent="0.25">
      <c r="A2290" t="s">
        <v>1309</v>
      </c>
      <c r="B2290" t="s">
        <v>3</v>
      </c>
      <c r="C2290" t="s">
        <v>903</v>
      </c>
    </row>
    <row r="2291" spans="1:3" x14ac:dyDescent="0.25">
      <c r="A2291" t="s">
        <v>1309</v>
      </c>
      <c r="B2291" t="s">
        <v>5</v>
      </c>
      <c r="C2291" t="s">
        <v>1159</v>
      </c>
    </row>
    <row r="2292" spans="1:3" x14ac:dyDescent="0.25">
      <c r="A2292" t="s">
        <v>1309</v>
      </c>
      <c r="B2292" t="s">
        <v>7</v>
      </c>
      <c r="C2292" t="s">
        <v>135</v>
      </c>
    </row>
    <row r="2293" spans="1:3" x14ac:dyDescent="0.25">
      <c r="A2293" t="s">
        <v>1309</v>
      </c>
      <c r="B2293" t="s">
        <v>9</v>
      </c>
      <c r="C2293" t="s">
        <v>1160</v>
      </c>
    </row>
    <row r="2294" spans="1:3" x14ac:dyDescent="0.25">
      <c r="A2294" t="s">
        <v>1309</v>
      </c>
      <c r="B2294" t="s">
        <v>11</v>
      </c>
      <c r="C2294" t="s">
        <v>41</v>
      </c>
    </row>
    <row r="2295" spans="1:3" x14ac:dyDescent="0.25">
      <c r="A2295" t="s">
        <v>1309</v>
      </c>
      <c r="B2295" t="s">
        <v>13</v>
      </c>
      <c r="C2295" t="s">
        <v>40</v>
      </c>
    </row>
    <row r="2296" spans="1:3" x14ac:dyDescent="0.25">
      <c r="A2296" t="s">
        <v>1309</v>
      </c>
      <c r="B2296" t="s">
        <v>15</v>
      </c>
      <c r="C2296" t="s">
        <v>420</v>
      </c>
    </row>
    <row r="2297" spans="1:3" x14ac:dyDescent="0.25">
      <c r="A2297" t="s">
        <v>1309</v>
      </c>
      <c r="B2297" t="s">
        <v>17</v>
      </c>
      <c r="C2297" t="s">
        <v>1161</v>
      </c>
    </row>
    <row r="2298" spans="1:3" x14ac:dyDescent="0.25">
      <c r="A2298" t="s">
        <v>1309</v>
      </c>
      <c r="B2298" t="s">
        <v>19</v>
      </c>
      <c r="C2298" t="s">
        <v>427</v>
      </c>
    </row>
    <row r="2299" spans="1:3" x14ac:dyDescent="0.25">
      <c r="A2299" t="s">
        <v>1309</v>
      </c>
      <c r="B2299" t="s">
        <v>21</v>
      </c>
      <c r="C2299" t="s">
        <v>661</v>
      </c>
    </row>
    <row r="2300" spans="1:3" x14ac:dyDescent="0.25">
      <c r="A2300" t="s">
        <v>1309</v>
      </c>
      <c r="B2300" t="s">
        <v>23</v>
      </c>
      <c r="C2300" t="s">
        <v>1162</v>
      </c>
    </row>
    <row r="2301" spans="1:3" x14ac:dyDescent="0.25">
      <c r="A2301" t="s">
        <v>1309</v>
      </c>
      <c r="B2301" t="s">
        <v>25</v>
      </c>
      <c r="C2301" t="s">
        <v>115</v>
      </c>
    </row>
    <row r="2302" spans="1:3" x14ac:dyDescent="0.25">
      <c r="A2302" t="s">
        <v>1309</v>
      </c>
      <c r="B2302" t="s">
        <v>27</v>
      </c>
      <c r="C2302" t="s">
        <v>1163</v>
      </c>
    </row>
    <row r="2303" spans="1:3" x14ac:dyDescent="0.25">
      <c r="A2303" t="s">
        <v>1309</v>
      </c>
      <c r="B2303" t="s">
        <v>29</v>
      </c>
      <c r="C2303" t="s">
        <v>200</v>
      </c>
    </row>
    <row r="2304" spans="1:3" x14ac:dyDescent="0.25">
      <c r="A2304" t="s">
        <v>1309</v>
      </c>
      <c r="B2304" t="s">
        <v>31</v>
      </c>
      <c r="C2304" t="s">
        <v>378</v>
      </c>
    </row>
    <row r="2305" spans="1:3" x14ac:dyDescent="0.25">
      <c r="A2305" t="s">
        <v>1309</v>
      </c>
      <c r="B2305" t="s">
        <v>33</v>
      </c>
      <c r="C2305" t="s">
        <v>255</v>
      </c>
    </row>
    <row r="2306" spans="1:3" x14ac:dyDescent="0.25">
      <c r="A2306" t="s">
        <v>1310</v>
      </c>
      <c r="B2306" t="s">
        <v>3</v>
      </c>
      <c r="C2306" t="s">
        <v>903</v>
      </c>
    </row>
    <row r="2307" spans="1:3" x14ac:dyDescent="0.25">
      <c r="A2307" t="s">
        <v>1310</v>
      </c>
      <c r="B2307" t="s">
        <v>5</v>
      </c>
      <c r="C2307" t="s">
        <v>1164</v>
      </c>
    </row>
    <row r="2308" spans="1:3" x14ac:dyDescent="0.25">
      <c r="A2308" t="s">
        <v>1310</v>
      </c>
      <c r="B2308" t="s">
        <v>7</v>
      </c>
      <c r="C2308" t="s">
        <v>165</v>
      </c>
    </row>
    <row r="2309" spans="1:3" x14ac:dyDescent="0.25">
      <c r="A2309" t="s">
        <v>1310</v>
      </c>
      <c r="B2309" t="s">
        <v>9</v>
      </c>
      <c r="C2309" t="s">
        <v>1165</v>
      </c>
    </row>
    <row r="2310" spans="1:3" x14ac:dyDescent="0.25">
      <c r="A2310" t="s">
        <v>1310</v>
      </c>
      <c r="B2310" t="s">
        <v>11</v>
      </c>
      <c r="C2310" t="s">
        <v>476</v>
      </c>
    </row>
    <row r="2311" spans="1:3" x14ac:dyDescent="0.25">
      <c r="A2311" t="s">
        <v>1310</v>
      </c>
      <c r="B2311" t="s">
        <v>13</v>
      </c>
      <c r="C2311" t="s">
        <v>51</v>
      </c>
    </row>
    <row r="2312" spans="1:3" x14ac:dyDescent="0.25">
      <c r="A2312" t="s">
        <v>1310</v>
      </c>
      <c r="B2312" t="s">
        <v>15</v>
      </c>
      <c r="C2312" t="s">
        <v>420</v>
      </c>
    </row>
    <row r="2313" spans="1:3" x14ac:dyDescent="0.25">
      <c r="A2313" t="s">
        <v>1310</v>
      </c>
      <c r="B2313" t="s">
        <v>17</v>
      </c>
      <c r="C2313" t="s">
        <v>1166</v>
      </c>
    </row>
    <row r="2314" spans="1:3" x14ac:dyDescent="0.25">
      <c r="A2314" t="s">
        <v>1310</v>
      </c>
      <c r="B2314" t="s">
        <v>19</v>
      </c>
      <c r="C2314" t="s">
        <v>1157</v>
      </c>
    </row>
    <row r="2315" spans="1:3" x14ac:dyDescent="0.25">
      <c r="A2315" t="s">
        <v>1310</v>
      </c>
      <c r="B2315" t="s">
        <v>21</v>
      </c>
      <c r="C2315" t="s">
        <v>723</v>
      </c>
    </row>
    <row r="2316" spans="1:3" x14ac:dyDescent="0.25">
      <c r="A2316" t="s">
        <v>1310</v>
      </c>
      <c r="B2316" t="s">
        <v>23</v>
      </c>
      <c r="C2316" t="s">
        <v>85</v>
      </c>
    </row>
    <row r="2317" spans="1:3" x14ac:dyDescent="0.25">
      <c r="A2317" t="s">
        <v>1310</v>
      </c>
      <c r="B2317" t="s">
        <v>25</v>
      </c>
      <c r="C2317" t="s">
        <v>562</v>
      </c>
    </row>
    <row r="2318" spans="1:3" x14ac:dyDescent="0.25">
      <c r="A2318" t="s">
        <v>1310</v>
      </c>
      <c r="B2318" t="s">
        <v>27</v>
      </c>
      <c r="C2318" t="s">
        <v>382</v>
      </c>
    </row>
    <row r="2319" spans="1:3" x14ac:dyDescent="0.25">
      <c r="A2319" t="s">
        <v>1310</v>
      </c>
      <c r="B2319" t="s">
        <v>29</v>
      </c>
      <c r="C2319" t="s">
        <v>1167</v>
      </c>
    </row>
    <row r="2320" spans="1:3" x14ac:dyDescent="0.25">
      <c r="A2320" t="s">
        <v>1310</v>
      </c>
      <c r="B2320" t="s">
        <v>31</v>
      </c>
      <c r="C2320" t="s">
        <v>1168</v>
      </c>
    </row>
    <row r="2321" spans="1:3" x14ac:dyDescent="0.25">
      <c r="A2321" t="s">
        <v>1310</v>
      </c>
      <c r="B2321" t="s">
        <v>33</v>
      </c>
      <c r="C2321" t="s">
        <v>202</v>
      </c>
    </row>
    <row r="2322" spans="1:3" x14ac:dyDescent="0.25">
      <c r="A2322" t="s">
        <v>1196</v>
      </c>
      <c r="B2322" t="s">
        <v>3</v>
      </c>
      <c r="C2322" t="s">
        <v>42</v>
      </c>
    </row>
    <row r="2323" spans="1:3" x14ac:dyDescent="0.25">
      <c r="A2323" t="s">
        <v>1196</v>
      </c>
      <c r="B2323" t="s">
        <v>5</v>
      </c>
      <c r="C2323" t="s">
        <v>42</v>
      </c>
    </row>
    <row r="2324" spans="1:3" x14ac:dyDescent="0.25">
      <c r="A2324" t="s">
        <v>1196</v>
      </c>
      <c r="B2324" t="s">
        <v>7</v>
      </c>
      <c r="C2324" t="s">
        <v>42</v>
      </c>
    </row>
    <row r="2325" spans="1:3" x14ac:dyDescent="0.25">
      <c r="A2325" t="s">
        <v>1196</v>
      </c>
      <c r="B2325" t="s">
        <v>9</v>
      </c>
      <c r="C2325" t="s">
        <v>42</v>
      </c>
    </row>
    <row r="2326" spans="1:3" x14ac:dyDescent="0.25">
      <c r="A2326" t="s">
        <v>1196</v>
      </c>
      <c r="B2326" t="s">
        <v>11</v>
      </c>
      <c r="C2326" t="s">
        <v>39</v>
      </c>
    </row>
    <row r="2327" spans="1:3" x14ac:dyDescent="0.25">
      <c r="A2327" t="s">
        <v>1196</v>
      </c>
      <c r="B2327" t="s">
        <v>13</v>
      </c>
      <c r="C2327" t="s">
        <v>39</v>
      </c>
    </row>
    <row r="2328" spans="1:3" x14ac:dyDescent="0.25">
      <c r="A2328" t="s">
        <v>1196</v>
      </c>
      <c r="B2328" t="s">
        <v>15</v>
      </c>
      <c r="C2328" t="s">
        <v>39</v>
      </c>
    </row>
    <row r="2329" spans="1:3" x14ac:dyDescent="0.25">
      <c r="A2329" t="s">
        <v>1196</v>
      </c>
      <c r="B2329" t="s">
        <v>17</v>
      </c>
      <c r="C2329" t="s">
        <v>42</v>
      </c>
    </row>
    <row r="2330" spans="1:3" x14ac:dyDescent="0.25">
      <c r="A2330" t="s">
        <v>1196</v>
      </c>
      <c r="B2330" t="s">
        <v>19</v>
      </c>
      <c r="C2330" t="s">
        <v>43</v>
      </c>
    </row>
    <row r="2331" spans="1:3" x14ac:dyDescent="0.25">
      <c r="A2331" t="s">
        <v>1196</v>
      </c>
      <c r="B2331" t="s">
        <v>21</v>
      </c>
      <c r="C2331" t="s">
        <v>44</v>
      </c>
    </row>
    <row r="2332" spans="1:3" x14ac:dyDescent="0.25">
      <c r="A2332" t="s">
        <v>1196</v>
      </c>
      <c r="B2332" t="s">
        <v>23</v>
      </c>
      <c r="C2332" t="s">
        <v>45</v>
      </c>
    </row>
    <row r="2333" spans="1:3" x14ac:dyDescent="0.25">
      <c r="A2333" t="s">
        <v>1196</v>
      </c>
      <c r="B2333" t="s">
        <v>25</v>
      </c>
      <c r="C2333" t="s">
        <v>45</v>
      </c>
    </row>
    <row r="2334" spans="1:3" x14ac:dyDescent="0.25">
      <c r="A2334" t="s">
        <v>1196</v>
      </c>
      <c r="B2334" t="s">
        <v>27</v>
      </c>
      <c r="C2334" t="s">
        <v>45</v>
      </c>
    </row>
    <row r="2335" spans="1:3" x14ac:dyDescent="0.25">
      <c r="A2335" t="s">
        <v>1196</v>
      </c>
      <c r="B2335" t="s">
        <v>29</v>
      </c>
      <c r="C2335" t="s">
        <v>45</v>
      </c>
    </row>
    <row r="2336" spans="1:3" x14ac:dyDescent="0.25">
      <c r="A2336" t="s">
        <v>1196</v>
      </c>
      <c r="B2336" t="s">
        <v>31</v>
      </c>
      <c r="C2336" t="s">
        <v>43</v>
      </c>
    </row>
    <row r="2337" spans="1:3" x14ac:dyDescent="0.25">
      <c r="A2337" t="s">
        <v>1196</v>
      </c>
      <c r="B2337" t="s">
        <v>33</v>
      </c>
      <c r="C2337" t="s">
        <v>45</v>
      </c>
    </row>
    <row r="2338" spans="1:3" x14ac:dyDescent="0.25">
      <c r="A2338" t="s">
        <v>1311</v>
      </c>
      <c r="B2338" t="s">
        <v>3</v>
      </c>
      <c r="C2338" t="s">
        <v>757</v>
      </c>
    </row>
    <row r="2339" spans="1:3" x14ac:dyDescent="0.25">
      <c r="A2339" t="s">
        <v>1311</v>
      </c>
      <c r="B2339" t="s">
        <v>5</v>
      </c>
      <c r="C2339" t="s">
        <v>396</v>
      </c>
    </row>
    <row r="2340" spans="1:3" x14ac:dyDescent="0.25">
      <c r="A2340" t="s">
        <v>1311</v>
      </c>
      <c r="B2340" t="s">
        <v>7</v>
      </c>
      <c r="C2340" t="s">
        <v>169</v>
      </c>
    </row>
    <row r="2341" spans="1:3" x14ac:dyDescent="0.25">
      <c r="A2341" t="s">
        <v>1311</v>
      </c>
      <c r="B2341" t="s">
        <v>9</v>
      </c>
      <c r="C2341" t="s">
        <v>921</v>
      </c>
    </row>
    <row r="2342" spans="1:3" x14ac:dyDescent="0.25">
      <c r="A2342" t="s">
        <v>1311</v>
      </c>
      <c r="B2342" t="s">
        <v>11</v>
      </c>
      <c r="C2342" t="s">
        <v>51</v>
      </c>
    </row>
    <row r="2343" spans="1:3" x14ac:dyDescent="0.25">
      <c r="A2343" t="s">
        <v>1311</v>
      </c>
      <c r="B2343" t="s">
        <v>13</v>
      </c>
      <c r="C2343" t="s">
        <v>167</v>
      </c>
    </row>
    <row r="2344" spans="1:3" x14ac:dyDescent="0.25">
      <c r="A2344" t="s">
        <v>1311</v>
      </c>
      <c r="B2344" t="s">
        <v>15</v>
      </c>
      <c r="C2344" t="s">
        <v>110</v>
      </c>
    </row>
    <row r="2345" spans="1:3" x14ac:dyDescent="0.25">
      <c r="A2345" t="s">
        <v>1311</v>
      </c>
      <c r="B2345" t="s">
        <v>17</v>
      </c>
      <c r="C2345" t="s">
        <v>755</v>
      </c>
    </row>
    <row r="2346" spans="1:3" x14ac:dyDescent="0.25">
      <c r="A2346" t="s">
        <v>1311</v>
      </c>
      <c r="B2346" t="s">
        <v>19</v>
      </c>
      <c r="C2346" t="s">
        <v>957</v>
      </c>
    </row>
    <row r="2347" spans="1:3" x14ac:dyDescent="0.25">
      <c r="A2347" t="s">
        <v>1311</v>
      </c>
      <c r="B2347" t="s">
        <v>21</v>
      </c>
      <c r="C2347" t="s">
        <v>1169</v>
      </c>
    </row>
    <row r="2348" spans="1:3" x14ac:dyDescent="0.25">
      <c r="A2348" t="s">
        <v>1311</v>
      </c>
      <c r="B2348" t="s">
        <v>23</v>
      </c>
      <c r="C2348" t="s">
        <v>766</v>
      </c>
    </row>
    <row r="2349" spans="1:3" x14ac:dyDescent="0.25">
      <c r="A2349" t="s">
        <v>1311</v>
      </c>
      <c r="B2349" t="s">
        <v>25</v>
      </c>
      <c r="C2349" t="s">
        <v>86</v>
      </c>
    </row>
    <row r="2350" spans="1:3" x14ac:dyDescent="0.25">
      <c r="A2350" t="s">
        <v>1311</v>
      </c>
      <c r="B2350" t="s">
        <v>27</v>
      </c>
      <c r="C2350" t="s">
        <v>925</v>
      </c>
    </row>
    <row r="2351" spans="1:3" x14ac:dyDescent="0.25">
      <c r="A2351" t="s">
        <v>1311</v>
      </c>
      <c r="B2351" t="s">
        <v>29</v>
      </c>
      <c r="C2351" t="s">
        <v>471</v>
      </c>
    </row>
    <row r="2352" spans="1:3" x14ac:dyDescent="0.25">
      <c r="A2352" t="s">
        <v>1311</v>
      </c>
      <c r="B2352" t="s">
        <v>31</v>
      </c>
      <c r="C2352" t="s">
        <v>861</v>
      </c>
    </row>
    <row r="2353" spans="1:3" x14ac:dyDescent="0.25">
      <c r="A2353" t="s">
        <v>1311</v>
      </c>
      <c r="B2353" t="s">
        <v>33</v>
      </c>
      <c r="C2353" t="s">
        <v>1170</v>
      </c>
    </row>
    <row r="2354" spans="1:3" x14ac:dyDescent="0.25">
      <c r="A2354" t="s">
        <v>1312</v>
      </c>
      <c r="B2354" t="s">
        <v>3</v>
      </c>
      <c r="C2354" t="s">
        <v>36</v>
      </c>
    </row>
    <row r="2355" spans="1:3" x14ac:dyDescent="0.25">
      <c r="A2355" t="s">
        <v>1312</v>
      </c>
      <c r="B2355" t="s">
        <v>5</v>
      </c>
      <c r="C2355" t="s">
        <v>49</v>
      </c>
    </row>
    <row r="2356" spans="1:3" x14ac:dyDescent="0.25">
      <c r="A2356" t="s">
        <v>1312</v>
      </c>
      <c r="B2356" t="s">
        <v>7</v>
      </c>
      <c r="C2356" t="s">
        <v>165</v>
      </c>
    </row>
    <row r="2357" spans="1:3" x14ac:dyDescent="0.25">
      <c r="A2357" t="s">
        <v>1312</v>
      </c>
      <c r="B2357" t="s">
        <v>9</v>
      </c>
      <c r="C2357" t="s">
        <v>1171</v>
      </c>
    </row>
    <row r="2358" spans="1:3" x14ac:dyDescent="0.25">
      <c r="A2358" t="s">
        <v>1312</v>
      </c>
      <c r="B2358" t="s">
        <v>11</v>
      </c>
      <c r="C2358" t="s">
        <v>222</v>
      </c>
    </row>
    <row r="2359" spans="1:3" x14ac:dyDescent="0.25">
      <c r="A2359" t="s">
        <v>1312</v>
      </c>
      <c r="B2359" t="s">
        <v>13</v>
      </c>
      <c r="C2359" t="s">
        <v>167</v>
      </c>
    </row>
    <row r="2360" spans="1:3" x14ac:dyDescent="0.25">
      <c r="A2360" t="s">
        <v>1312</v>
      </c>
      <c r="B2360" t="s">
        <v>15</v>
      </c>
      <c r="C2360" t="s">
        <v>1172</v>
      </c>
    </row>
    <row r="2361" spans="1:3" x14ac:dyDescent="0.25">
      <c r="A2361" t="s">
        <v>1312</v>
      </c>
      <c r="B2361" t="s">
        <v>17</v>
      </c>
      <c r="C2361" t="s">
        <v>695</v>
      </c>
    </row>
    <row r="2362" spans="1:3" x14ac:dyDescent="0.25">
      <c r="A2362" t="s">
        <v>1312</v>
      </c>
      <c r="B2362" t="s">
        <v>19</v>
      </c>
      <c r="C2362" t="s">
        <v>674</v>
      </c>
    </row>
    <row r="2363" spans="1:3" x14ac:dyDescent="0.25">
      <c r="A2363" t="s">
        <v>1312</v>
      </c>
      <c r="B2363" t="s">
        <v>21</v>
      </c>
      <c r="C2363" t="s">
        <v>549</v>
      </c>
    </row>
    <row r="2364" spans="1:3" x14ac:dyDescent="0.25">
      <c r="A2364" t="s">
        <v>1312</v>
      </c>
      <c r="B2364" t="s">
        <v>23</v>
      </c>
      <c r="C2364" t="s">
        <v>1173</v>
      </c>
    </row>
    <row r="2365" spans="1:3" x14ac:dyDescent="0.25">
      <c r="A2365" t="s">
        <v>1312</v>
      </c>
      <c r="B2365" t="s">
        <v>25</v>
      </c>
      <c r="C2365" t="s">
        <v>682</v>
      </c>
    </row>
    <row r="2366" spans="1:3" x14ac:dyDescent="0.25">
      <c r="A2366" t="s">
        <v>1312</v>
      </c>
      <c r="B2366" t="s">
        <v>27</v>
      </c>
      <c r="C2366" t="s">
        <v>87</v>
      </c>
    </row>
    <row r="2367" spans="1:3" x14ac:dyDescent="0.25">
      <c r="A2367" t="s">
        <v>1312</v>
      </c>
      <c r="B2367" t="s">
        <v>29</v>
      </c>
      <c r="C2367" t="s">
        <v>383</v>
      </c>
    </row>
    <row r="2368" spans="1:3" x14ac:dyDescent="0.25">
      <c r="A2368" t="s">
        <v>1312</v>
      </c>
      <c r="B2368" t="s">
        <v>31</v>
      </c>
      <c r="C2368" t="s">
        <v>1142</v>
      </c>
    </row>
    <row r="2369" spans="1:3" x14ac:dyDescent="0.25">
      <c r="A2369" t="s">
        <v>1312</v>
      </c>
      <c r="B2369" t="s">
        <v>33</v>
      </c>
      <c r="C2369" t="s">
        <v>176</v>
      </c>
    </row>
    <row r="2370" spans="1:3" x14ac:dyDescent="0.25">
      <c r="A2370" t="s">
        <v>1313</v>
      </c>
      <c r="B2370" t="s">
        <v>3</v>
      </c>
      <c r="C2370" t="s">
        <v>719</v>
      </c>
    </row>
    <row r="2371" spans="1:3" x14ac:dyDescent="0.25">
      <c r="A2371" t="s">
        <v>1313</v>
      </c>
      <c r="B2371" t="s">
        <v>5</v>
      </c>
      <c r="C2371" t="s">
        <v>1174</v>
      </c>
    </row>
    <row r="2372" spans="1:3" x14ac:dyDescent="0.25">
      <c r="A2372" t="s">
        <v>1313</v>
      </c>
      <c r="B2372" t="s">
        <v>7</v>
      </c>
      <c r="C2372" t="s">
        <v>190</v>
      </c>
    </row>
    <row r="2373" spans="1:3" x14ac:dyDescent="0.25">
      <c r="A2373" t="s">
        <v>1313</v>
      </c>
      <c r="B2373" t="s">
        <v>9</v>
      </c>
      <c r="C2373" t="s">
        <v>365</v>
      </c>
    </row>
    <row r="2374" spans="1:3" x14ac:dyDescent="0.25">
      <c r="A2374" t="s">
        <v>1313</v>
      </c>
      <c r="B2374" t="s">
        <v>11</v>
      </c>
      <c r="C2374" t="s">
        <v>354</v>
      </c>
    </row>
    <row r="2375" spans="1:3" x14ac:dyDescent="0.25">
      <c r="A2375" t="s">
        <v>1313</v>
      </c>
      <c r="B2375" t="s">
        <v>13</v>
      </c>
      <c r="C2375" t="s">
        <v>167</v>
      </c>
    </row>
    <row r="2376" spans="1:3" x14ac:dyDescent="0.25">
      <c r="A2376" t="s">
        <v>1313</v>
      </c>
      <c r="B2376" t="s">
        <v>15</v>
      </c>
      <c r="C2376" t="s">
        <v>1141</v>
      </c>
    </row>
    <row r="2377" spans="1:3" x14ac:dyDescent="0.25">
      <c r="A2377" t="s">
        <v>1313</v>
      </c>
      <c r="B2377" t="s">
        <v>17</v>
      </c>
      <c r="C2377" t="s">
        <v>364</v>
      </c>
    </row>
    <row r="2378" spans="1:3" x14ac:dyDescent="0.25">
      <c r="A2378" t="s">
        <v>1313</v>
      </c>
      <c r="B2378" t="s">
        <v>19</v>
      </c>
      <c r="C2378" t="s">
        <v>112</v>
      </c>
    </row>
    <row r="2379" spans="1:3" x14ac:dyDescent="0.25">
      <c r="A2379" t="s">
        <v>1313</v>
      </c>
      <c r="B2379" t="s">
        <v>21</v>
      </c>
      <c r="C2379" t="s">
        <v>1175</v>
      </c>
    </row>
    <row r="2380" spans="1:3" x14ac:dyDescent="0.25">
      <c r="A2380" t="s">
        <v>1313</v>
      </c>
      <c r="B2380" t="s">
        <v>23</v>
      </c>
      <c r="C2380" t="s">
        <v>1176</v>
      </c>
    </row>
    <row r="2381" spans="1:3" x14ac:dyDescent="0.25">
      <c r="A2381" t="s">
        <v>1313</v>
      </c>
      <c r="B2381" t="s">
        <v>25</v>
      </c>
      <c r="C2381" t="s">
        <v>777</v>
      </c>
    </row>
    <row r="2382" spans="1:3" x14ac:dyDescent="0.25">
      <c r="A2382" t="s">
        <v>1313</v>
      </c>
      <c r="B2382" t="s">
        <v>27</v>
      </c>
      <c r="C2382" t="s">
        <v>945</v>
      </c>
    </row>
    <row r="2383" spans="1:3" x14ac:dyDescent="0.25">
      <c r="A2383" t="s">
        <v>1313</v>
      </c>
      <c r="B2383" t="s">
        <v>29</v>
      </c>
      <c r="C2383" t="s">
        <v>383</v>
      </c>
    </row>
    <row r="2384" spans="1:3" x14ac:dyDescent="0.25">
      <c r="A2384" t="s">
        <v>1313</v>
      </c>
      <c r="B2384" t="s">
        <v>31</v>
      </c>
      <c r="C2384" t="s">
        <v>1177</v>
      </c>
    </row>
    <row r="2385" spans="1:3" x14ac:dyDescent="0.25">
      <c r="A2385" t="s">
        <v>1313</v>
      </c>
      <c r="B2385" t="s">
        <v>33</v>
      </c>
      <c r="C2385" t="s">
        <v>515</v>
      </c>
    </row>
    <row r="2386" spans="1:3" x14ac:dyDescent="0.25">
      <c r="A2386" t="s">
        <v>1314</v>
      </c>
      <c r="B2386" t="s">
        <v>3</v>
      </c>
      <c r="C2386" t="s">
        <v>65</v>
      </c>
    </row>
    <row r="2387" spans="1:3" x14ac:dyDescent="0.25">
      <c r="A2387" t="s">
        <v>1314</v>
      </c>
      <c r="B2387" t="s">
        <v>5</v>
      </c>
      <c r="C2387" t="s">
        <v>1178</v>
      </c>
    </row>
    <row r="2388" spans="1:3" x14ac:dyDescent="0.25">
      <c r="A2388" t="s">
        <v>1314</v>
      </c>
      <c r="B2388" t="s">
        <v>7</v>
      </c>
      <c r="C2388" t="s">
        <v>77</v>
      </c>
    </row>
    <row r="2389" spans="1:3" x14ac:dyDescent="0.25">
      <c r="A2389" t="s">
        <v>1314</v>
      </c>
      <c r="B2389" t="s">
        <v>9</v>
      </c>
      <c r="C2389" t="s">
        <v>1179</v>
      </c>
    </row>
    <row r="2390" spans="1:3" x14ac:dyDescent="0.25">
      <c r="A2390" t="s">
        <v>1314</v>
      </c>
      <c r="B2390" t="s">
        <v>11</v>
      </c>
      <c r="C2390" t="s">
        <v>142</v>
      </c>
    </row>
    <row r="2391" spans="1:3" x14ac:dyDescent="0.25">
      <c r="A2391" t="s">
        <v>1314</v>
      </c>
      <c r="B2391" t="s">
        <v>13</v>
      </c>
      <c r="C2391" t="s">
        <v>14</v>
      </c>
    </row>
    <row r="2392" spans="1:3" x14ac:dyDescent="0.25">
      <c r="A2392" t="s">
        <v>1314</v>
      </c>
      <c r="B2392" t="s">
        <v>15</v>
      </c>
      <c r="C2392" t="s">
        <v>420</v>
      </c>
    </row>
    <row r="2393" spans="1:3" x14ac:dyDescent="0.25">
      <c r="A2393" t="s">
        <v>1314</v>
      </c>
      <c r="B2393" t="s">
        <v>17</v>
      </c>
      <c r="C2393" t="s">
        <v>1180</v>
      </c>
    </row>
    <row r="2394" spans="1:3" x14ac:dyDescent="0.25">
      <c r="A2394" t="s">
        <v>1314</v>
      </c>
      <c r="B2394" t="s">
        <v>19</v>
      </c>
      <c r="C2394" t="s">
        <v>559</v>
      </c>
    </row>
    <row r="2395" spans="1:3" x14ac:dyDescent="0.25">
      <c r="A2395" t="s">
        <v>1314</v>
      </c>
      <c r="B2395" t="s">
        <v>21</v>
      </c>
      <c r="C2395" t="s">
        <v>1153</v>
      </c>
    </row>
    <row r="2396" spans="1:3" x14ac:dyDescent="0.25">
      <c r="A2396" t="s">
        <v>1314</v>
      </c>
      <c r="B2396" t="s">
        <v>23</v>
      </c>
      <c r="C2396" t="s">
        <v>1021</v>
      </c>
    </row>
    <row r="2397" spans="1:3" x14ac:dyDescent="0.25">
      <c r="A2397" t="s">
        <v>1314</v>
      </c>
      <c r="B2397" t="s">
        <v>25</v>
      </c>
      <c r="C2397" t="s">
        <v>944</v>
      </c>
    </row>
    <row r="2398" spans="1:3" x14ac:dyDescent="0.25">
      <c r="A2398" t="s">
        <v>1314</v>
      </c>
      <c r="B2398" t="s">
        <v>27</v>
      </c>
      <c r="C2398" t="s">
        <v>908</v>
      </c>
    </row>
    <row r="2399" spans="1:3" x14ac:dyDescent="0.25">
      <c r="A2399" t="s">
        <v>1314</v>
      </c>
      <c r="B2399" t="s">
        <v>29</v>
      </c>
      <c r="C2399" t="s">
        <v>117</v>
      </c>
    </row>
    <row r="2400" spans="1:3" x14ac:dyDescent="0.25">
      <c r="A2400" t="s">
        <v>1314</v>
      </c>
      <c r="B2400" t="s">
        <v>31</v>
      </c>
      <c r="C2400" t="s">
        <v>544</v>
      </c>
    </row>
    <row r="2401" spans="1:3" x14ac:dyDescent="0.25">
      <c r="A2401" t="s">
        <v>1314</v>
      </c>
      <c r="B2401" t="s">
        <v>33</v>
      </c>
      <c r="C2401" t="s">
        <v>176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9D1418-35AC-4C4C-9C16-3DD093FDE47F}">
  <dimension ref="C1:M2403"/>
  <sheetViews>
    <sheetView tabSelected="1" topLeftCell="A2393" zoomScale="85" zoomScaleNormal="85" workbookViewId="0">
      <selection activeCell="E2404" sqref="E2404"/>
    </sheetView>
  </sheetViews>
  <sheetFormatPr baseColWidth="10" defaultRowHeight="15" x14ac:dyDescent="0.25"/>
  <cols>
    <col min="3" max="3" width="13.140625" bestFit="1" customWidth="1"/>
    <col min="4" max="4" width="16.28515625" customWidth="1"/>
    <col min="5" max="5" width="37.28515625" customWidth="1"/>
    <col min="6" max="6" width="9.28515625" bestFit="1" customWidth="1"/>
    <col min="7" max="7" width="21.5703125" bestFit="1" customWidth="1"/>
    <col min="8" max="8" width="16.140625" bestFit="1" customWidth="1"/>
    <col min="10" max="10" width="36" bestFit="1" customWidth="1"/>
    <col min="11" max="11" width="12.28515625" bestFit="1" customWidth="1"/>
  </cols>
  <sheetData>
    <row r="1" spans="3:13" ht="15.75" thickBot="1" x14ac:dyDescent="0.3"/>
    <row r="2" spans="3:13" x14ac:dyDescent="0.25">
      <c r="C2" s="11"/>
      <c r="D2" s="8" t="s">
        <v>1622</v>
      </c>
      <c r="E2" s="8" t="s">
        <v>1344</v>
      </c>
      <c r="F2" s="8" t="s">
        <v>1343</v>
      </c>
      <c r="G2" s="8" t="s">
        <v>1342</v>
      </c>
      <c r="H2" s="12" t="s">
        <v>1341</v>
      </c>
      <c r="J2" s="6"/>
      <c r="K2" s="6" t="s">
        <v>1345</v>
      </c>
      <c r="L2" s="6" t="s">
        <v>1346</v>
      </c>
      <c r="M2" s="6" t="s">
        <v>1347</v>
      </c>
    </row>
    <row r="3" spans="3:13" x14ac:dyDescent="0.25">
      <c r="C3" s="13" t="str">
        <f>IF(D3=D18,D17,"falso")</f>
        <v>PATIENT_0001</v>
      </c>
      <c r="D3" s="4" t="s">
        <v>1472</v>
      </c>
      <c r="E3" s="1" t="s">
        <v>1316</v>
      </c>
      <c r="F3" s="2">
        <v>8.6</v>
      </c>
      <c r="G3" s="3">
        <f>IFERROR(
   VALUE(
      SUBSTITUTE(
         CLEAN(
            TRIM(F3)
         ),
         ".",
         ","
      )
   ),
   ""
)</f>
        <v>8.6</v>
      </c>
      <c r="H3" s="14" t="str">
        <f>IF(NOT(ISNUMBER(VALUE(G3))), "NA",IF(VALUE(G3)&gt;17,"HIGH",IF(VALUE(G3)&lt;6,"LOW", "VALUE IN RANGE")))</f>
        <v>VALUE IN RANGE</v>
      </c>
      <c r="J3" s="7" t="s">
        <v>1316</v>
      </c>
      <c r="K3" s="4">
        <f>AVERAGEIFS($G$3:$G$2402,$E$3:$E$2402,J3,$H$3:$H$2402,"&lt;&gt;NA")</f>
        <v>14.171428571428569</v>
      </c>
      <c r="L3" s="4">
        <f>_xlfn.MAXIFS($G$3:$G$2402,$E$3:$E$2402,J3,$H$3:$H$2402,"&lt;&gt;NA")</f>
        <v>40</v>
      </c>
      <c r="M3" s="4">
        <f>_xlfn.MINIFS($G$3:$G$2402,$E$3:$E$2402,J3,$H$3:$H$2402,"&lt;&gt;NA")</f>
        <v>1</v>
      </c>
    </row>
    <row r="4" spans="3:13" x14ac:dyDescent="0.25">
      <c r="C4" s="13"/>
      <c r="D4" s="4" t="s">
        <v>1472</v>
      </c>
      <c r="E4" s="4" t="s">
        <v>1317</v>
      </c>
      <c r="F4" s="3">
        <v>8.9</v>
      </c>
      <c r="G4" s="3">
        <f t="shared" ref="G4:G67" si="0">IFERROR(
   VALUE(
      SUBSTITUTE(
         CLEAN(
            TRIM(F4)
         ),
         ".",
         ","
      )
   ),
   ""
)</f>
        <v>8.9</v>
      </c>
      <c r="H4" s="14" t="str">
        <f>IF(NOT(ISNUMBER(VALUE(G4))), "NA",IF(VALUE(G4)&gt;30,"HIGH",IF(VALUE(G4)&lt;12,"LOW", "VALUE IN RANGE")))</f>
        <v>LOW</v>
      </c>
      <c r="J4" s="6" t="s">
        <v>1317</v>
      </c>
      <c r="K4" s="4">
        <f t="shared" ref="K4:K18" si="1">AVERAGEIFS($G$3:$G$2402,$E$3:$E$2402,J4,$H$3:$H$2402,"&lt;&gt;NA")</f>
        <v>11.22857142857143</v>
      </c>
      <c r="L4" s="4">
        <f t="shared" ref="L4:L18" si="2">_xlfn.MAXIFS($G$3:$G$2402,$E$3:$E$2402,J4,$H$3:$H$2402,"&lt;&gt;NA")</f>
        <v>24.2</v>
      </c>
      <c r="M4" s="4">
        <f t="shared" ref="M4:M18" si="3">_xlfn.MINIFS($G$3:$G$2402,$E$3:$E$2402,J4,$H$3:$H$2402,"&lt;&gt;NA")</f>
        <v>3.4</v>
      </c>
    </row>
    <row r="5" spans="3:13" x14ac:dyDescent="0.25">
      <c r="C5" s="13"/>
      <c r="D5" s="4" t="s">
        <v>1472</v>
      </c>
      <c r="E5" s="1" t="s">
        <v>1318</v>
      </c>
      <c r="F5" s="5">
        <v>4.0999999999999996</v>
      </c>
      <c r="G5" s="3">
        <f t="shared" si="0"/>
        <v>4.0999999999999996</v>
      </c>
      <c r="H5" s="14" t="str">
        <f>IF(NOT(ISNUMBER(VALUE(G5))), "NA",IF(VALUE(G5)&gt;9,"HIGH",IF(VALUE(G5)&lt;2,"LOW", "VALUE IN RANGE")))</f>
        <v>VALUE IN RANGE</v>
      </c>
      <c r="J5" s="7" t="s">
        <v>1318</v>
      </c>
      <c r="K5" s="4">
        <f t="shared" si="1"/>
        <v>5.7333333333333325</v>
      </c>
      <c r="L5" s="4">
        <f t="shared" si="2"/>
        <v>16.8</v>
      </c>
      <c r="M5" s="4">
        <f t="shared" si="3"/>
        <v>0</v>
      </c>
    </row>
    <row r="6" spans="3:13" x14ac:dyDescent="0.25">
      <c r="C6" s="13"/>
      <c r="D6" s="4" t="s">
        <v>1472</v>
      </c>
      <c r="E6" s="4" t="s">
        <v>1319</v>
      </c>
      <c r="F6" s="3">
        <v>87</v>
      </c>
      <c r="G6" s="3">
        <f t="shared" si="0"/>
        <v>87</v>
      </c>
      <c r="H6" s="14" t="str">
        <f>IF(NOT(ISNUMBER(VALUE(G6))), "NA",IF(VALUE(G6)&gt;83,"HIGH",IF(VALUE(G6)&lt;60,"LOW", "VALUE IN RANGE")))</f>
        <v>HIGH</v>
      </c>
      <c r="J6" s="6" t="s">
        <v>1319</v>
      </c>
      <c r="K6" s="4">
        <f t="shared" si="1"/>
        <v>82.48571428571428</v>
      </c>
      <c r="L6" s="4">
        <f t="shared" si="2"/>
        <v>92</v>
      </c>
      <c r="M6" s="4">
        <f t="shared" si="3"/>
        <v>69.3</v>
      </c>
    </row>
    <row r="7" spans="3:13" x14ac:dyDescent="0.25">
      <c r="C7" s="13"/>
      <c r="D7" s="4" t="s">
        <v>1472</v>
      </c>
      <c r="E7" s="1" t="s">
        <v>1320</v>
      </c>
      <c r="F7" s="5">
        <v>0.7</v>
      </c>
      <c r="G7" s="3">
        <f t="shared" si="0"/>
        <v>0.7</v>
      </c>
      <c r="H7" s="14" t="str">
        <f>IF(NOT(ISNUMBER(VALUE(G7))), "NA",IF(VALUE(G7)&gt;5.1,"HIGH",IF(VALUE(G7)&lt;0.8,"LOW", "VALUE IN RANGE")))</f>
        <v>LOW</v>
      </c>
      <c r="J7" s="7" t="s">
        <v>1320</v>
      </c>
      <c r="K7" s="4">
        <f t="shared" si="1"/>
        <v>1421.6214285714284</v>
      </c>
      <c r="L7" s="4">
        <f t="shared" si="2"/>
        <v>7200</v>
      </c>
      <c r="M7" s="4">
        <f t="shared" si="3"/>
        <v>0</v>
      </c>
    </row>
    <row r="8" spans="3:13" x14ac:dyDescent="0.25">
      <c r="C8" s="13"/>
      <c r="D8" s="4" t="s">
        <v>1472</v>
      </c>
      <c r="E8" s="4" t="s">
        <v>1321</v>
      </c>
      <c r="F8" s="3">
        <v>0.3</v>
      </c>
      <c r="G8" s="3">
        <f t="shared" si="0"/>
        <v>0.3</v>
      </c>
      <c r="H8" s="14" t="str">
        <f>IF(NOT(ISNUMBER(VALUE(G8))), "NA",IF(VALUE(G8)&gt;1.8,"HIGH",IF(VALUE(G8)&lt;0,"LOW", "VALUE IN RANGE")))</f>
        <v>VALUE IN RANGE</v>
      </c>
      <c r="J8" s="6" t="s">
        <v>1321</v>
      </c>
      <c r="K8" s="4">
        <f t="shared" si="1"/>
        <v>393.23571428571421</v>
      </c>
      <c r="L8" s="4">
        <f t="shared" si="2"/>
        <v>4400</v>
      </c>
      <c r="M8" s="4">
        <f t="shared" si="3"/>
        <v>0.1</v>
      </c>
    </row>
    <row r="9" spans="3:13" x14ac:dyDescent="0.25">
      <c r="C9" s="13"/>
      <c r="D9" s="4" t="s">
        <v>1472</v>
      </c>
      <c r="E9" s="1" t="s">
        <v>1322</v>
      </c>
      <c r="F9" s="5">
        <v>7600</v>
      </c>
      <c r="G9" s="3">
        <f t="shared" si="0"/>
        <v>7600</v>
      </c>
      <c r="H9" s="14" t="str">
        <f>IF(NOT(ISNUMBER(VALUE(G9))), "NA",IF(VALUE(G9)&gt;12.6,"HIGH",IF(VALUE(G9)&lt;4,"LOW", "VALUE IN RANGE")))</f>
        <v>HIGH</v>
      </c>
      <c r="J9" s="7" t="s">
        <v>1322</v>
      </c>
      <c r="K9" s="4">
        <f t="shared" si="1"/>
        <v>11721.492857142857</v>
      </c>
      <c r="L9" s="4">
        <f t="shared" si="2"/>
        <v>28400</v>
      </c>
      <c r="M9" s="4">
        <f t="shared" si="3"/>
        <v>0.9</v>
      </c>
    </row>
    <row r="10" spans="3:13" x14ac:dyDescent="0.25">
      <c r="C10" s="13"/>
      <c r="D10" s="4" t="s">
        <v>1472</v>
      </c>
      <c r="E10" s="4" t="s">
        <v>1323</v>
      </c>
      <c r="F10" s="3">
        <v>5.61</v>
      </c>
      <c r="G10" s="3">
        <f t="shared" si="0"/>
        <v>5.61</v>
      </c>
      <c r="H10" s="14" t="str">
        <f>IF(NOT(ISNUMBER(VALUE(G10))), "NA",IF(VALUE(G10)&gt;8.5,"HIGH",IF(VALUE(G10)&lt;5.5,"LOW", "VALUE IN RANGE")))</f>
        <v>VALUE IN RANGE</v>
      </c>
      <c r="J10" s="6" t="s">
        <v>1323</v>
      </c>
      <c r="K10" s="4">
        <f t="shared" si="1"/>
        <v>5.979285714285715</v>
      </c>
      <c r="L10" s="4">
        <f t="shared" si="2"/>
        <v>9.65</v>
      </c>
      <c r="M10" s="4">
        <f t="shared" si="3"/>
        <v>0</v>
      </c>
    </row>
    <row r="11" spans="3:13" x14ac:dyDescent="0.25">
      <c r="C11" s="13"/>
      <c r="D11" s="4" t="s">
        <v>1472</v>
      </c>
      <c r="E11" s="1" t="s">
        <v>19</v>
      </c>
      <c r="F11" s="5">
        <v>124</v>
      </c>
      <c r="G11" s="3">
        <f t="shared" si="0"/>
        <v>124</v>
      </c>
      <c r="H11" s="14" t="str">
        <f>IF(NOT(ISNUMBER(VALUE(G11))), "NA",IF(VALUE(G11)&gt;190,"HIGH",IF(VALUE(G11)&lt;110,"LOW", "VALUE IN RANGE")))</f>
        <v>VALUE IN RANGE</v>
      </c>
      <c r="J11" s="7" t="s">
        <v>19</v>
      </c>
      <c r="K11" s="4">
        <f t="shared" si="1"/>
        <v>128.99038461538461</v>
      </c>
      <c r="L11" s="4">
        <f t="shared" si="2"/>
        <v>209</v>
      </c>
      <c r="M11" s="4">
        <f t="shared" si="3"/>
        <v>0</v>
      </c>
    </row>
    <row r="12" spans="3:13" x14ac:dyDescent="0.25">
      <c r="C12" s="13"/>
      <c r="D12" s="4" t="s">
        <v>1472</v>
      </c>
      <c r="E12" s="4" t="s">
        <v>1324</v>
      </c>
      <c r="F12" s="3">
        <v>37.9</v>
      </c>
      <c r="G12" s="3">
        <f t="shared" si="0"/>
        <v>37.9</v>
      </c>
      <c r="H12" s="14" t="str">
        <f>IF(NOT(ISNUMBER(VALUE(G12))), "NA",IF(VALUE(G12)&gt;56,"HIGH",IF(VALUE(G12)&lt;39,"LOW", "VALUE IN RANGE")))</f>
        <v>LOW</v>
      </c>
      <c r="J12" s="6" t="s">
        <v>1324</v>
      </c>
      <c r="K12" s="4">
        <f t="shared" si="1"/>
        <v>38.178571428571431</v>
      </c>
      <c r="L12" s="4">
        <f t="shared" si="2"/>
        <v>59</v>
      </c>
      <c r="M12" s="4">
        <f t="shared" si="3"/>
        <v>0</v>
      </c>
    </row>
    <row r="13" spans="3:13" x14ac:dyDescent="0.25">
      <c r="C13" s="13"/>
      <c r="D13" s="4" t="s">
        <v>1472</v>
      </c>
      <c r="E13" s="1" t="s">
        <v>1325</v>
      </c>
      <c r="F13" s="5">
        <v>67.599999999999994</v>
      </c>
      <c r="G13" s="3">
        <f t="shared" si="0"/>
        <v>67.599999999999994</v>
      </c>
      <c r="H13" s="14" t="str">
        <f>IF(NOT(ISNUMBER(VALUE(G13))), "NA",IF(VALUE(G13)&gt;72,"HIGH",IF(VALUE(G13)&lt;62,"LOW", "VALUE IN RANGE")))</f>
        <v>VALUE IN RANGE</v>
      </c>
      <c r="J13" s="7" t="s">
        <v>1325</v>
      </c>
      <c r="K13" s="4">
        <f t="shared" si="1"/>
        <v>64.615384615384613</v>
      </c>
      <c r="L13" s="4">
        <f t="shared" si="2"/>
        <v>72.900000000000006</v>
      </c>
      <c r="M13" s="4">
        <f t="shared" si="3"/>
        <v>42.5</v>
      </c>
    </row>
    <row r="14" spans="3:13" x14ac:dyDescent="0.25">
      <c r="C14" s="13"/>
      <c r="D14" s="4" t="s">
        <v>1472</v>
      </c>
      <c r="E14" s="4" t="s">
        <v>1326</v>
      </c>
      <c r="F14" s="3">
        <v>22.1</v>
      </c>
      <c r="G14" s="3">
        <f t="shared" si="0"/>
        <v>22.1</v>
      </c>
      <c r="H14" s="14" t="str">
        <f>IF(NOT(ISNUMBER(VALUE(G14))), "NA",IF(VALUE(G14)&gt;25,"HIGH",IF(VALUE(G14)&lt;20,"LOW", "VALUE IN RANGE")))</f>
        <v>VALUE IN RANGE</v>
      </c>
      <c r="J14" s="6" t="s">
        <v>1326</v>
      </c>
      <c r="K14" s="4">
        <f t="shared" si="1"/>
        <v>20.276923076923079</v>
      </c>
      <c r="L14" s="4">
        <f t="shared" si="2"/>
        <v>23.5</v>
      </c>
      <c r="M14" s="4">
        <f t="shared" si="3"/>
        <v>12.7</v>
      </c>
    </row>
    <row r="15" spans="3:13" x14ac:dyDescent="0.25">
      <c r="C15" s="13"/>
      <c r="D15" s="4" t="s">
        <v>1472</v>
      </c>
      <c r="E15" s="1" t="s">
        <v>27</v>
      </c>
      <c r="F15" s="5">
        <v>327</v>
      </c>
      <c r="G15" s="3">
        <f t="shared" si="0"/>
        <v>327</v>
      </c>
      <c r="H15" s="14" t="str">
        <f>IF(NOT(ISNUMBER(VALUE(G15))), "NA",IF(VALUE(G15)&gt;380,"HIGH",IF(VALUE(G15)&lt;300,"LOW", "VALUE IN RANGE")))</f>
        <v>VALUE IN RANGE</v>
      </c>
      <c r="J15" s="7" t="s">
        <v>27</v>
      </c>
      <c r="K15" s="4">
        <f t="shared" si="1"/>
        <v>307.76388888888891</v>
      </c>
      <c r="L15" s="4">
        <f t="shared" si="2"/>
        <v>357</v>
      </c>
      <c r="M15" s="4">
        <f t="shared" si="3"/>
        <v>260</v>
      </c>
    </row>
    <row r="16" spans="3:13" x14ac:dyDescent="0.25">
      <c r="C16" s="13"/>
      <c r="D16" s="4" t="s">
        <v>1472</v>
      </c>
      <c r="E16" s="4" t="s">
        <v>1327</v>
      </c>
      <c r="F16" s="3">
        <v>11.9</v>
      </c>
      <c r="G16" s="3">
        <f t="shared" si="0"/>
        <v>11.9</v>
      </c>
      <c r="H16" s="14" t="str">
        <f>IF(NOT(ISNUMBER(VALUE(G16))), "NA",IF(VALUE(G16)&gt;15.5,"HIGH",IF(VALUE(G16)&lt;11,"LOW", "VALUE IN RANGE")))</f>
        <v>VALUE IN RANGE</v>
      </c>
      <c r="J16" s="6" t="s">
        <v>1327</v>
      </c>
      <c r="K16" s="4">
        <f t="shared" si="1"/>
        <v>13.946153846153845</v>
      </c>
      <c r="L16" s="4">
        <f t="shared" si="2"/>
        <v>18.899999999999999</v>
      </c>
      <c r="M16" s="4">
        <f t="shared" si="3"/>
        <v>11.9</v>
      </c>
    </row>
    <row r="17" spans="3:13" x14ac:dyDescent="0.25">
      <c r="C17" s="13"/>
      <c r="D17" s="4" t="s">
        <v>1472</v>
      </c>
      <c r="E17" s="1" t="s">
        <v>31</v>
      </c>
      <c r="F17" s="5">
        <v>170</v>
      </c>
      <c r="G17" s="3">
        <f t="shared" si="0"/>
        <v>170</v>
      </c>
      <c r="H17" s="14" t="str">
        <f>IF(NOT(ISNUMBER(VALUE(G17))), "NA",IF(VALUE(G17)&gt;460,"HIGH",IF(VALUE(G17)&lt;117,"LOW", "VALUE IN RANGE")))</f>
        <v>VALUE IN RANGE</v>
      </c>
      <c r="J17" s="7" t="s">
        <v>31</v>
      </c>
      <c r="K17" s="4">
        <f t="shared" si="1"/>
        <v>246.99038461538461</v>
      </c>
      <c r="L17" s="4">
        <f t="shared" si="2"/>
        <v>881</v>
      </c>
      <c r="M17" s="4">
        <f t="shared" si="3"/>
        <v>0</v>
      </c>
    </row>
    <row r="18" spans="3:13" x14ac:dyDescent="0.25">
      <c r="C18" s="13"/>
      <c r="D18" s="4" t="s">
        <v>1472</v>
      </c>
      <c r="E18" s="4" t="s">
        <v>1328</v>
      </c>
      <c r="F18" s="3">
        <v>8.8000000000000007</v>
      </c>
      <c r="G18" s="3">
        <f t="shared" si="0"/>
        <v>8.8000000000000007</v>
      </c>
      <c r="H18" s="14" t="str">
        <f>IF(NOT(ISNUMBER(VALUE(G18))), "NA",IF(VALUE(G18)&gt;12,"HIGH",IF(VALUE(G18)&lt;7,"LOW", "VALUE IN RANGE")))</f>
        <v>VALUE IN RANGE</v>
      </c>
      <c r="J18" s="6" t="s">
        <v>1328</v>
      </c>
      <c r="K18" s="4">
        <f t="shared" si="1"/>
        <v>8.6461538461538456</v>
      </c>
      <c r="L18" s="4">
        <f t="shared" si="2"/>
        <v>10.3</v>
      </c>
      <c r="M18" s="4">
        <f t="shared" si="3"/>
        <v>7.3</v>
      </c>
    </row>
    <row r="19" spans="3:13" x14ac:dyDescent="0.25">
      <c r="C19" s="13" t="str">
        <f t="shared" ref="C19" si="4">IF(D19=D34,D33,"falso")</f>
        <v>PATIENT_0002</v>
      </c>
      <c r="D19" s="4" t="s">
        <v>1473</v>
      </c>
      <c r="E19" s="1" t="s">
        <v>1316</v>
      </c>
      <c r="F19" s="5">
        <v>1</v>
      </c>
      <c r="G19" s="3">
        <f t="shared" si="0"/>
        <v>1</v>
      </c>
      <c r="H19" s="14" t="str">
        <f t="shared" ref="H19" si="5">IF(NOT(ISNUMBER(VALUE(G19))), "NA",IF(VALUE(G19)&gt;17,"HIGH",IF(VALUE(G19)&lt;6,"LOW", "VALUE IN RANGE")))</f>
        <v>LOW</v>
      </c>
    </row>
    <row r="20" spans="3:13" x14ac:dyDescent="0.25">
      <c r="C20" s="13"/>
      <c r="D20" s="4" t="s">
        <v>1473</v>
      </c>
      <c r="E20" s="4" t="s">
        <v>1317</v>
      </c>
      <c r="F20" s="3">
        <v>9.8000000000000007</v>
      </c>
      <c r="G20" s="3">
        <f t="shared" si="0"/>
        <v>9.8000000000000007</v>
      </c>
      <c r="H20" s="14" t="str">
        <f t="shared" ref="H20" si="6">IF(NOT(ISNUMBER(VALUE(G20))), "NA",IF(VALUE(G20)&gt;30,"HIGH",IF(VALUE(G20)&lt;12,"LOW", "VALUE IN RANGE")))</f>
        <v>LOW</v>
      </c>
    </row>
    <row r="21" spans="3:13" x14ac:dyDescent="0.25">
      <c r="C21" s="13"/>
      <c r="D21" s="4" t="s">
        <v>1473</v>
      </c>
      <c r="E21" s="1" t="s">
        <v>1318</v>
      </c>
      <c r="F21" s="5">
        <v>16.8</v>
      </c>
      <c r="G21" s="3">
        <f t="shared" si="0"/>
        <v>16.8</v>
      </c>
      <c r="H21" s="14" t="str">
        <f t="shared" ref="H21" si="7">IF(NOT(ISNUMBER(VALUE(G21))), "NA",IF(VALUE(G21)&gt;9,"HIGH",IF(VALUE(G21)&lt;2,"LOW", "VALUE IN RANGE")))</f>
        <v>HIGH</v>
      </c>
    </row>
    <row r="22" spans="3:13" x14ac:dyDescent="0.25">
      <c r="C22" s="13"/>
      <c r="D22" s="4" t="s">
        <v>1473</v>
      </c>
      <c r="E22" s="4" t="s">
        <v>1319</v>
      </c>
      <c r="F22" s="3">
        <v>73.400000000000006</v>
      </c>
      <c r="G22" s="3">
        <f t="shared" si="0"/>
        <v>73.400000000000006</v>
      </c>
      <c r="H22" s="14" t="str">
        <f t="shared" ref="H22" si="8">IF(NOT(ISNUMBER(VALUE(G22))), "NA",IF(VALUE(G22)&gt;83,"HIGH",IF(VALUE(G22)&lt;60,"LOW", "VALUE IN RANGE")))</f>
        <v>VALUE IN RANGE</v>
      </c>
    </row>
    <row r="23" spans="3:13" x14ac:dyDescent="0.25">
      <c r="C23" s="13"/>
      <c r="D23" s="4" t="s">
        <v>1473</v>
      </c>
      <c r="E23" s="1" t="s">
        <v>1320</v>
      </c>
      <c r="F23" s="5">
        <v>0</v>
      </c>
      <c r="G23" s="3">
        <f t="shared" si="0"/>
        <v>0</v>
      </c>
      <c r="H23" s="14" t="str">
        <f t="shared" ref="H23" si="9">IF(NOT(ISNUMBER(VALUE(G23))), "NA",IF(VALUE(G23)&gt;5.1,"HIGH",IF(VALUE(G23)&lt;0.8,"LOW", "VALUE IN RANGE")))</f>
        <v>LOW</v>
      </c>
    </row>
    <row r="24" spans="3:13" x14ac:dyDescent="0.25">
      <c r="C24" s="13"/>
      <c r="D24" s="4" t="s">
        <v>1473</v>
      </c>
      <c r="E24" s="4" t="s">
        <v>1321</v>
      </c>
      <c r="F24" s="3">
        <v>0.1</v>
      </c>
      <c r="G24" s="3">
        <f t="shared" si="0"/>
        <v>0.1</v>
      </c>
      <c r="H24" s="14" t="str">
        <f t="shared" ref="H24" si="10">IF(NOT(ISNUMBER(VALUE(G24))), "NA",IF(VALUE(G24)&gt;1.8,"HIGH",IF(VALUE(G24)&lt;0,"LOW", "VALUE IN RANGE")))</f>
        <v>VALUE IN RANGE</v>
      </c>
    </row>
    <row r="25" spans="3:13" x14ac:dyDescent="0.25">
      <c r="C25" s="13"/>
      <c r="D25" s="4" t="s">
        <v>1473</v>
      </c>
      <c r="E25" s="1" t="s">
        <v>1322</v>
      </c>
      <c r="F25" s="5">
        <v>0.9</v>
      </c>
      <c r="G25" s="3">
        <f t="shared" si="0"/>
        <v>0.9</v>
      </c>
      <c r="H25" s="14" t="str">
        <f t="shared" ref="H25" si="11">IF(NOT(ISNUMBER(VALUE(G25))), "NA",IF(VALUE(G25)&gt;12.6,"HIGH",IF(VALUE(G25)&lt;4,"LOW", "VALUE IN RANGE")))</f>
        <v>LOW</v>
      </c>
    </row>
    <row r="26" spans="3:13" x14ac:dyDescent="0.25">
      <c r="C26" s="13"/>
      <c r="D26" s="4" t="s">
        <v>1473</v>
      </c>
      <c r="E26" s="4" t="s">
        <v>1323</v>
      </c>
      <c r="F26" s="3">
        <v>0</v>
      </c>
      <c r="G26" s="3">
        <f t="shared" si="0"/>
        <v>0</v>
      </c>
      <c r="H26" s="14" t="str">
        <f t="shared" ref="H26" si="12">IF(NOT(ISNUMBER(VALUE(G26))), "NA",IF(VALUE(G26)&gt;8.5,"HIGH",IF(VALUE(G26)&lt;5.5,"LOW", "VALUE IN RANGE")))</f>
        <v>LOW</v>
      </c>
    </row>
    <row r="27" spans="3:13" x14ac:dyDescent="0.25">
      <c r="C27" s="13"/>
      <c r="D27" s="4" t="s">
        <v>1473</v>
      </c>
      <c r="E27" s="1" t="s">
        <v>19</v>
      </c>
      <c r="F27" s="5">
        <v>0</v>
      </c>
      <c r="G27" s="3">
        <f t="shared" si="0"/>
        <v>0</v>
      </c>
      <c r="H27" s="14" t="str">
        <f t="shared" ref="H27" si="13">IF(NOT(ISNUMBER(VALUE(G27))), "NA",IF(VALUE(G27)&gt;190,"HIGH",IF(VALUE(G27)&lt;110,"LOW", "VALUE IN RANGE")))</f>
        <v>LOW</v>
      </c>
    </row>
    <row r="28" spans="3:13" x14ac:dyDescent="0.25">
      <c r="C28" s="13"/>
      <c r="D28" s="4" t="s">
        <v>1473</v>
      </c>
      <c r="E28" s="4" t="s">
        <v>1324</v>
      </c>
      <c r="F28" s="3">
        <v>0</v>
      </c>
      <c r="G28" s="3">
        <f t="shared" si="0"/>
        <v>0</v>
      </c>
      <c r="H28" s="14" t="str">
        <f t="shared" ref="H28" si="14">IF(NOT(ISNUMBER(VALUE(G28))), "NA",IF(VALUE(G28)&gt;56,"HIGH",IF(VALUE(G28)&lt;39,"LOW", "VALUE IN RANGE")))</f>
        <v>LOW</v>
      </c>
    </row>
    <row r="29" spans="3:13" x14ac:dyDescent="0.25">
      <c r="C29" s="13"/>
      <c r="D29" s="4" t="s">
        <v>1473</v>
      </c>
      <c r="E29" s="1" t="s">
        <v>1325</v>
      </c>
      <c r="F29" s="5" t="s">
        <v>45</v>
      </c>
      <c r="G29" s="3" t="str">
        <f t="shared" si="0"/>
        <v/>
      </c>
      <c r="H29" s="14" t="str">
        <f t="shared" ref="H29" si="15">IF(NOT(ISNUMBER(VALUE(G29))), "NA",IF(VALUE(G29)&gt;72,"HIGH",IF(VALUE(G29)&lt;62,"LOW", "VALUE IN RANGE")))</f>
        <v>NA</v>
      </c>
    </row>
    <row r="30" spans="3:13" x14ac:dyDescent="0.25">
      <c r="C30" s="13"/>
      <c r="D30" s="4" t="s">
        <v>1473</v>
      </c>
      <c r="E30" s="4" t="s">
        <v>1326</v>
      </c>
      <c r="F30" s="3" t="s">
        <v>45</v>
      </c>
      <c r="G30" s="3" t="str">
        <f t="shared" si="0"/>
        <v/>
      </c>
      <c r="H30" s="14" t="str">
        <f t="shared" ref="H30" si="16">IF(NOT(ISNUMBER(VALUE(G30))), "NA",IF(VALUE(G30)&gt;25,"HIGH",IF(VALUE(G30)&lt;20,"LOW", "VALUE IN RANGE")))</f>
        <v>NA</v>
      </c>
    </row>
    <row r="31" spans="3:13" x14ac:dyDescent="0.25">
      <c r="C31" s="13"/>
      <c r="D31" s="4" t="s">
        <v>1473</v>
      </c>
      <c r="E31" s="1" t="s">
        <v>27</v>
      </c>
      <c r="F31" s="5" t="s">
        <v>45</v>
      </c>
      <c r="G31" s="3" t="str">
        <f t="shared" si="0"/>
        <v/>
      </c>
      <c r="H31" s="14" t="str">
        <f t="shared" ref="H31" si="17">IF(NOT(ISNUMBER(VALUE(G31))), "NA",IF(VALUE(G31)&gt;380,"HIGH",IF(VALUE(G31)&lt;300,"LOW", "VALUE IN RANGE")))</f>
        <v>NA</v>
      </c>
    </row>
    <row r="32" spans="3:13" x14ac:dyDescent="0.25">
      <c r="C32" s="13"/>
      <c r="D32" s="4" t="s">
        <v>1473</v>
      </c>
      <c r="E32" s="4" t="s">
        <v>1327</v>
      </c>
      <c r="F32" s="3" t="s">
        <v>45</v>
      </c>
      <c r="G32" s="3" t="str">
        <f t="shared" si="0"/>
        <v/>
      </c>
      <c r="H32" s="14" t="str">
        <f t="shared" ref="H32" si="18">IF(NOT(ISNUMBER(VALUE(G32))), "NA",IF(VALUE(G32)&gt;15.5,"HIGH",IF(VALUE(G32)&lt;11,"LOW", "VALUE IN RANGE")))</f>
        <v>NA</v>
      </c>
    </row>
    <row r="33" spans="3:8" x14ac:dyDescent="0.25">
      <c r="C33" s="13"/>
      <c r="D33" s="4" t="s">
        <v>1473</v>
      </c>
      <c r="E33" s="1" t="s">
        <v>31</v>
      </c>
      <c r="F33" s="5">
        <v>1</v>
      </c>
      <c r="G33" s="3">
        <f t="shared" si="0"/>
        <v>1</v>
      </c>
      <c r="H33" s="14" t="str">
        <f t="shared" ref="H33" si="19">IF(NOT(ISNUMBER(VALUE(G33))), "NA",IF(VALUE(G33)&gt;460,"HIGH",IF(VALUE(G33)&lt;117,"LOW", "VALUE IN RANGE")))</f>
        <v>LOW</v>
      </c>
    </row>
    <row r="34" spans="3:8" x14ac:dyDescent="0.25">
      <c r="C34" s="13"/>
      <c r="D34" s="4" t="s">
        <v>1473</v>
      </c>
      <c r="E34" s="4" t="s">
        <v>1328</v>
      </c>
      <c r="F34" s="3" t="s">
        <v>45</v>
      </c>
      <c r="G34" s="3" t="str">
        <f t="shared" si="0"/>
        <v/>
      </c>
      <c r="H34" s="14" t="str">
        <f t="shared" ref="H34" si="20">IF(NOT(ISNUMBER(VALUE(G34))), "NA",IF(VALUE(G34)&gt;12,"HIGH",IF(VALUE(G34)&lt;7,"LOW", "VALUE IN RANGE")))</f>
        <v>NA</v>
      </c>
    </row>
    <row r="35" spans="3:8" x14ac:dyDescent="0.25">
      <c r="C35" s="13" t="str">
        <f t="shared" ref="C35" si="21">IF(D35=D50,D49,"falso")</f>
        <v>PATIENT_0003</v>
      </c>
      <c r="D35" s="4" t="s">
        <v>1474</v>
      </c>
      <c r="E35" s="1" t="s">
        <v>1316</v>
      </c>
      <c r="F35" s="5">
        <v>5.5</v>
      </c>
      <c r="G35" s="3">
        <f t="shared" si="0"/>
        <v>5.5</v>
      </c>
      <c r="H35" s="14" t="str">
        <f t="shared" ref="H35" si="22">IF(NOT(ISNUMBER(VALUE(G35))), "NA",IF(VALUE(G35)&gt;17,"HIGH",IF(VALUE(G35)&lt;6,"LOW", "VALUE IN RANGE")))</f>
        <v>LOW</v>
      </c>
    </row>
    <row r="36" spans="3:8" x14ac:dyDescent="0.25">
      <c r="C36" s="13"/>
      <c r="D36" s="4" t="s">
        <v>1474</v>
      </c>
      <c r="E36" s="4" t="s">
        <v>1317</v>
      </c>
      <c r="F36" s="3">
        <v>4.8</v>
      </c>
      <c r="G36" s="3">
        <f t="shared" si="0"/>
        <v>4.8</v>
      </c>
      <c r="H36" s="14" t="str">
        <f t="shared" ref="H36" si="23">IF(NOT(ISNUMBER(VALUE(G36))), "NA",IF(VALUE(G36)&gt;30,"HIGH",IF(VALUE(G36)&lt;12,"LOW", "VALUE IN RANGE")))</f>
        <v>LOW</v>
      </c>
    </row>
    <row r="37" spans="3:8" x14ac:dyDescent="0.25">
      <c r="C37" s="13"/>
      <c r="D37" s="4" t="s">
        <v>1474</v>
      </c>
      <c r="E37" s="1" t="s">
        <v>1318</v>
      </c>
      <c r="F37" s="5">
        <v>11.2</v>
      </c>
      <c r="G37" s="3">
        <f t="shared" si="0"/>
        <v>11.2</v>
      </c>
      <c r="H37" s="14" t="str">
        <f t="shared" ref="H37" si="24">IF(NOT(ISNUMBER(VALUE(G37))), "NA",IF(VALUE(G37)&gt;9,"HIGH",IF(VALUE(G37)&lt;2,"LOW", "VALUE IN RANGE")))</f>
        <v>HIGH</v>
      </c>
    </row>
    <row r="38" spans="3:8" x14ac:dyDescent="0.25">
      <c r="C38" s="13"/>
      <c r="D38" s="4" t="s">
        <v>1474</v>
      </c>
      <c r="E38" s="4" t="s">
        <v>1319</v>
      </c>
      <c r="F38" s="3">
        <v>84</v>
      </c>
      <c r="G38" s="3">
        <f t="shared" si="0"/>
        <v>84</v>
      </c>
      <c r="H38" s="14" t="str">
        <f t="shared" ref="H38" si="25">IF(NOT(ISNUMBER(VALUE(G38))), "NA",IF(VALUE(G38)&gt;83,"HIGH",IF(VALUE(G38)&lt;60,"LOW", "VALUE IN RANGE")))</f>
        <v>HIGH</v>
      </c>
    </row>
    <row r="39" spans="3:8" x14ac:dyDescent="0.25">
      <c r="C39" s="13"/>
      <c r="D39" s="4" t="s">
        <v>1474</v>
      </c>
      <c r="E39" s="1" t="s">
        <v>1320</v>
      </c>
      <c r="F39" s="5">
        <v>0.2</v>
      </c>
      <c r="G39" s="3">
        <f t="shared" si="0"/>
        <v>0.2</v>
      </c>
      <c r="H39" s="14" t="str">
        <f t="shared" ref="H39" si="26">IF(NOT(ISNUMBER(VALUE(G39))), "NA",IF(VALUE(G39)&gt;5.1,"HIGH",IF(VALUE(G39)&lt;0.8,"LOW", "VALUE IN RANGE")))</f>
        <v>LOW</v>
      </c>
    </row>
    <row r="40" spans="3:8" x14ac:dyDescent="0.25">
      <c r="C40" s="13"/>
      <c r="D40" s="4" t="s">
        <v>1474</v>
      </c>
      <c r="E40" s="4" t="s">
        <v>1321</v>
      </c>
      <c r="F40" s="3">
        <v>0.6</v>
      </c>
      <c r="G40" s="3">
        <f t="shared" si="0"/>
        <v>0.6</v>
      </c>
      <c r="H40" s="14" t="str">
        <f t="shared" ref="H40" si="27">IF(NOT(ISNUMBER(VALUE(G40))), "NA",IF(VALUE(G40)&gt;1.8,"HIGH",IF(VALUE(G40)&lt;0,"LOW", "VALUE IN RANGE")))</f>
        <v>VALUE IN RANGE</v>
      </c>
    </row>
    <row r="41" spans="3:8" x14ac:dyDescent="0.25">
      <c r="C41" s="13"/>
      <c r="D41" s="4" t="s">
        <v>1474</v>
      </c>
      <c r="E41" s="1" t="s">
        <v>1322</v>
      </c>
      <c r="F41" s="5">
        <v>4700</v>
      </c>
      <c r="G41" s="3">
        <f t="shared" si="0"/>
        <v>4700</v>
      </c>
      <c r="H41" s="14" t="str">
        <f t="shared" ref="H41" si="28">IF(NOT(ISNUMBER(VALUE(G41))), "NA",IF(VALUE(G41)&gt;12.6,"HIGH",IF(VALUE(G41)&lt;4,"LOW", "VALUE IN RANGE")))</f>
        <v>HIGH</v>
      </c>
    </row>
    <row r="42" spans="3:8" x14ac:dyDescent="0.25">
      <c r="C42" s="13"/>
      <c r="D42" s="4" t="s">
        <v>1474</v>
      </c>
      <c r="E42" s="4" t="s">
        <v>1323</v>
      </c>
      <c r="F42" s="3">
        <v>9.65</v>
      </c>
      <c r="G42" s="3">
        <f t="shared" si="0"/>
        <v>9.65</v>
      </c>
      <c r="H42" s="14" t="str">
        <f t="shared" ref="H42" si="29">IF(NOT(ISNUMBER(VALUE(G42))), "NA",IF(VALUE(G42)&gt;8.5,"HIGH",IF(VALUE(G42)&lt;5.5,"LOW", "VALUE IN RANGE")))</f>
        <v>HIGH</v>
      </c>
    </row>
    <row r="43" spans="3:8" x14ac:dyDescent="0.25">
      <c r="C43" s="13"/>
      <c r="D43" s="4" t="s">
        <v>1474</v>
      </c>
      <c r="E43" s="1" t="s">
        <v>19</v>
      </c>
      <c r="F43" s="5">
        <v>123</v>
      </c>
      <c r="G43" s="3">
        <f t="shared" si="0"/>
        <v>123</v>
      </c>
      <c r="H43" s="14" t="str">
        <f t="shared" ref="H43" si="30">IF(NOT(ISNUMBER(VALUE(G43))), "NA",IF(VALUE(G43)&gt;190,"HIGH",IF(VALUE(G43)&lt;110,"LOW", "VALUE IN RANGE")))</f>
        <v>VALUE IN RANGE</v>
      </c>
    </row>
    <row r="44" spans="3:8" x14ac:dyDescent="0.25">
      <c r="C44" s="13"/>
      <c r="D44" s="4" t="s">
        <v>1474</v>
      </c>
      <c r="E44" s="4" t="s">
        <v>1324</v>
      </c>
      <c r="F44" s="3">
        <v>41</v>
      </c>
      <c r="G44" s="3">
        <f t="shared" si="0"/>
        <v>41</v>
      </c>
      <c r="H44" s="14" t="str">
        <f t="shared" ref="H44" si="31">IF(NOT(ISNUMBER(VALUE(G44))), "NA",IF(VALUE(G44)&gt;56,"HIGH",IF(VALUE(G44)&lt;39,"LOW", "VALUE IN RANGE")))</f>
        <v>VALUE IN RANGE</v>
      </c>
    </row>
    <row r="45" spans="3:8" x14ac:dyDescent="0.25">
      <c r="C45" s="13"/>
      <c r="D45" s="4" t="s">
        <v>1474</v>
      </c>
      <c r="E45" s="1" t="s">
        <v>1325</v>
      </c>
      <c r="F45" s="5">
        <v>42.5</v>
      </c>
      <c r="G45" s="3">
        <f t="shared" si="0"/>
        <v>42.5</v>
      </c>
      <c r="H45" s="14" t="str">
        <f t="shared" ref="H45" si="32">IF(NOT(ISNUMBER(VALUE(G45))), "NA",IF(VALUE(G45)&gt;72,"HIGH",IF(VALUE(G45)&lt;62,"LOW", "VALUE IN RANGE")))</f>
        <v>LOW</v>
      </c>
    </row>
    <row r="46" spans="3:8" x14ac:dyDescent="0.25">
      <c r="C46" s="13"/>
      <c r="D46" s="4" t="s">
        <v>1474</v>
      </c>
      <c r="E46" s="4" t="s">
        <v>1326</v>
      </c>
      <c r="F46" s="3">
        <v>12.7</v>
      </c>
      <c r="G46" s="3">
        <f t="shared" si="0"/>
        <v>12.7</v>
      </c>
      <c r="H46" s="14" t="str">
        <f t="shared" ref="H46" si="33">IF(NOT(ISNUMBER(VALUE(G46))), "NA",IF(VALUE(G46)&gt;25,"HIGH",IF(VALUE(G46)&lt;20,"LOW", "VALUE IN RANGE")))</f>
        <v>LOW</v>
      </c>
    </row>
    <row r="47" spans="3:8" x14ac:dyDescent="0.25">
      <c r="C47" s="13"/>
      <c r="D47" s="4" t="s">
        <v>1474</v>
      </c>
      <c r="E47" s="1" t="s">
        <v>27</v>
      </c>
      <c r="F47" s="5">
        <v>300</v>
      </c>
      <c r="G47" s="3">
        <f t="shared" si="0"/>
        <v>300</v>
      </c>
      <c r="H47" s="14" t="str">
        <f t="shared" ref="H47" si="34">IF(NOT(ISNUMBER(VALUE(G47))), "NA",IF(VALUE(G47)&gt;380,"HIGH",IF(VALUE(G47)&lt;300,"LOW", "VALUE IN RANGE")))</f>
        <v>VALUE IN RANGE</v>
      </c>
    </row>
    <row r="48" spans="3:8" x14ac:dyDescent="0.25">
      <c r="C48" s="13"/>
      <c r="D48" s="4" t="s">
        <v>1474</v>
      </c>
      <c r="E48" s="4" t="s">
        <v>1327</v>
      </c>
      <c r="F48" s="3">
        <v>18.899999999999999</v>
      </c>
      <c r="G48" s="3">
        <f t="shared" si="0"/>
        <v>18.899999999999999</v>
      </c>
      <c r="H48" s="14" t="str">
        <f t="shared" ref="H48" si="35">IF(NOT(ISNUMBER(VALUE(G48))), "NA",IF(VALUE(G48)&gt;15.5,"HIGH",IF(VALUE(G48)&lt;11,"LOW", "VALUE IN RANGE")))</f>
        <v>HIGH</v>
      </c>
    </row>
    <row r="49" spans="3:8" x14ac:dyDescent="0.25">
      <c r="C49" s="13"/>
      <c r="D49" s="4" t="s">
        <v>1474</v>
      </c>
      <c r="E49" s="1" t="s">
        <v>31</v>
      </c>
      <c r="F49" s="5">
        <v>667</v>
      </c>
      <c r="G49" s="3">
        <f t="shared" si="0"/>
        <v>667</v>
      </c>
      <c r="H49" s="14" t="str">
        <f t="shared" ref="H49" si="36">IF(NOT(ISNUMBER(VALUE(G49))), "NA",IF(VALUE(G49)&gt;460,"HIGH",IF(VALUE(G49)&lt;117,"LOW", "VALUE IN RANGE")))</f>
        <v>HIGH</v>
      </c>
    </row>
    <row r="50" spans="3:8" x14ac:dyDescent="0.25">
      <c r="C50" s="13"/>
      <c r="D50" s="4" t="s">
        <v>1474</v>
      </c>
      <c r="E50" s="4" t="s">
        <v>1328</v>
      </c>
      <c r="F50" s="3">
        <v>9.8000000000000007</v>
      </c>
      <c r="G50" s="3">
        <f t="shared" si="0"/>
        <v>9.8000000000000007</v>
      </c>
      <c r="H50" s="14" t="str">
        <f t="shared" ref="H50" si="37">IF(NOT(ISNUMBER(VALUE(G50))), "NA",IF(VALUE(G50)&gt;12,"HIGH",IF(VALUE(G50)&lt;7,"LOW", "VALUE IN RANGE")))</f>
        <v>VALUE IN RANGE</v>
      </c>
    </row>
    <row r="51" spans="3:8" x14ac:dyDescent="0.25">
      <c r="C51" s="13" t="str">
        <f t="shared" ref="C51" si="38">IF(D51=D66,D65,"falso")</f>
        <v>PATIENT_0004</v>
      </c>
      <c r="D51" s="4" t="s">
        <v>1475</v>
      </c>
      <c r="E51" s="1" t="s">
        <v>1316</v>
      </c>
      <c r="F51" s="5">
        <v>6.8</v>
      </c>
      <c r="G51" s="3">
        <f t="shared" si="0"/>
        <v>6.8</v>
      </c>
      <c r="H51" s="14" t="str">
        <f t="shared" ref="H51" si="39">IF(NOT(ISNUMBER(VALUE(G51))), "NA",IF(VALUE(G51)&gt;17,"HIGH",IF(VALUE(G51)&lt;6,"LOW", "VALUE IN RANGE")))</f>
        <v>VALUE IN RANGE</v>
      </c>
    </row>
    <row r="52" spans="3:8" x14ac:dyDescent="0.25">
      <c r="C52" s="13"/>
      <c r="D52" s="4" t="s">
        <v>1475</v>
      </c>
      <c r="E52" s="4" t="s">
        <v>1317</v>
      </c>
      <c r="F52" s="3">
        <v>10</v>
      </c>
      <c r="G52" s="3">
        <f t="shared" si="0"/>
        <v>10</v>
      </c>
      <c r="H52" s="14" t="str">
        <f t="shared" ref="H52" si="40">IF(NOT(ISNUMBER(VALUE(G52))), "NA",IF(VALUE(G52)&gt;30,"HIGH",IF(VALUE(G52)&lt;12,"LOW", "VALUE IN RANGE")))</f>
        <v>LOW</v>
      </c>
    </row>
    <row r="53" spans="3:8" x14ac:dyDescent="0.25">
      <c r="C53" s="13"/>
      <c r="D53" s="4" t="s">
        <v>1475</v>
      </c>
      <c r="E53" s="1" t="s">
        <v>1318</v>
      </c>
      <c r="F53" s="5">
        <v>5.0999999999999996</v>
      </c>
      <c r="G53" s="3">
        <f t="shared" si="0"/>
        <v>5.0999999999999996</v>
      </c>
      <c r="H53" s="14" t="str">
        <f t="shared" ref="H53" si="41">IF(NOT(ISNUMBER(VALUE(G53))), "NA",IF(VALUE(G53)&gt;9,"HIGH",IF(VALUE(G53)&lt;2,"LOW", "VALUE IN RANGE")))</f>
        <v>VALUE IN RANGE</v>
      </c>
    </row>
    <row r="54" spans="3:8" x14ac:dyDescent="0.25">
      <c r="C54" s="13"/>
      <c r="D54" s="4" t="s">
        <v>1475</v>
      </c>
      <c r="E54" s="4" t="s">
        <v>1319</v>
      </c>
      <c r="F54" s="3">
        <v>84.9</v>
      </c>
      <c r="G54" s="3">
        <f t="shared" si="0"/>
        <v>84.9</v>
      </c>
      <c r="H54" s="14" t="str">
        <f t="shared" ref="H54" si="42">IF(NOT(ISNUMBER(VALUE(G54))), "NA",IF(VALUE(G54)&gt;83,"HIGH",IF(VALUE(G54)&lt;60,"LOW", "VALUE IN RANGE")))</f>
        <v>HIGH</v>
      </c>
    </row>
    <row r="55" spans="3:8" x14ac:dyDescent="0.25">
      <c r="C55" s="13"/>
      <c r="D55" s="4" t="s">
        <v>1475</v>
      </c>
      <c r="E55" s="1" t="s">
        <v>1320</v>
      </c>
      <c r="F55" s="5">
        <v>0.6</v>
      </c>
      <c r="G55" s="3">
        <f t="shared" si="0"/>
        <v>0.6</v>
      </c>
      <c r="H55" s="14" t="str">
        <f t="shared" ref="H55" si="43">IF(NOT(ISNUMBER(VALUE(G55))), "NA",IF(VALUE(G55)&gt;5.1,"HIGH",IF(VALUE(G55)&lt;0.8,"LOW", "VALUE IN RANGE")))</f>
        <v>LOW</v>
      </c>
    </row>
    <row r="56" spans="3:8" x14ac:dyDescent="0.25">
      <c r="C56" s="13"/>
      <c r="D56" s="4" t="s">
        <v>1475</v>
      </c>
      <c r="E56" s="4" t="s">
        <v>1321</v>
      </c>
      <c r="F56" s="3">
        <v>0.3</v>
      </c>
      <c r="G56" s="3">
        <f t="shared" si="0"/>
        <v>0.3</v>
      </c>
      <c r="H56" s="14" t="str">
        <f t="shared" ref="H56" si="44">IF(NOT(ISNUMBER(VALUE(G56))), "NA",IF(VALUE(G56)&gt;1.8,"HIGH",IF(VALUE(G56)&lt;0,"LOW", "VALUE IN RANGE")))</f>
        <v>VALUE IN RANGE</v>
      </c>
    </row>
    <row r="57" spans="3:8" x14ac:dyDescent="0.25">
      <c r="C57" s="13"/>
      <c r="D57" s="4" t="s">
        <v>1475</v>
      </c>
      <c r="E57" s="1" t="s">
        <v>1322</v>
      </c>
      <c r="F57" s="5">
        <v>5900</v>
      </c>
      <c r="G57" s="3">
        <f t="shared" si="0"/>
        <v>5900</v>
      </c>
      <c r="H57" s="14" t="str">
        <f t="shared" ref="H57" si="45">IF(NOT(ISNUMBER(VALUE(G57))), "NA",IF(VALUE(G57)&gt;12.6,"HIGH",IF(VALUE(G57)&lt;4,"LOW", "VALUE IN RANGE")))</f>
        <v>HIGH</v>
      </c>
    </row>
    <row r="58" spans="3:8" x14ac:dyDescent="0.25">
      <c r="C58" s="13"/>
      <c r="D58" s="4" t="s">
        <v>1475</v>
      </c>
      <c r="E58" s="4" t="s">
        <v>1323</v>
      </c>
      <c r="F58" s="3">
        <v>8.06</v>
      </c>
      <c r="G58" s="3">
        <f t="shared" si="0"/>
        <v>8.06</v>
      </c>
      <c r="H58" s="14" t="str">
        <f t="shared" ref="H58" si="46">IF(NOT(ISNUMBER(VALUE(G58))), "NA",IF(VALUE(G58)&gt;8.5,"HIGH",IF(VALUE(G58)&lt;5.5,"LOW", "VALUE IN RANGE")))</f>
        <v>VALUE IN RANGE</v>
      </c>
    </row>
    <row r="59" spans="3:8" x14ac:dyDescent="0.25">
      <c r="C59" s="13"/>
      <c r="D59" s="4" t="s">
        <v>1475</v>
      </c>
      <c r="E59" s="1" t="s">
        <v>19</v>
      </c>
      <c r="F59" s="5">
        <v>190</v>
      </c>
      <c r="G59" s="3">
        <f t="shared" si="0"/>
        <v>190</v>
      </c>
      <c r="H59" s="14" t="str">
        <f t="shared" ref="H59" si="47">IF(NOT(ISNUMBER(VALUE(G59))), "NA",IF(VALUE(G59)&gt;190,"HIGH",IF(VALUE(G59)&lt;110,"LOW", "VALUE IN RANGE")))</f>
        <v>VALUE IN RANGE</v>
      </c>
    </row>
    <row r="60" spans="3:8" x14ac:dyDescent="0.25">
      <c r="C60" s="13"/>
      <c r="D60" s="4" t="s">
        <v>1475</v>
      </c>
      <c r="E60" s="4" t="s">
        <v>1324</v>
      </c>
      <c r="F60" s="3">
        <v>58.7</v>
      </c>
      <c r="G60" s="3">
        <f t="shared" si="0"/>
        <v>58.7</v>
      </c>
      <c r="H60" s="14" t="str">
        <f t="shared" ref="H60" si="48">IF(NOT(ISNUMBER(VALUE(G60))), "NA",IF(VALUE(G60)&gt;56,"HIGH",IF(VALUE(G60)&lt;39,"LOW", "VALUE IN RANGE")))</f>
        <v>HIGH</v>
      </c>
    </row>
    <row r="61" spans="3:8" x14ac:dyDescent="0.25">
      <c r="C61" s="13"/>
      <c r="D61" s="4" t="s">
        <v>1475</v>
      </c>
      <c r="E61" s="1" t="s">
        <v>1325</v>
      </c>
      <c r="F61" s="5">
        <v>72.900000000000006</v>
      </c>
      <c r="G61" s="3">
        <f t="shared" si="0"/>
        <v>72.900000000000006</v>
      </c>
      <c r="H61" s="14" t="str">
        <f t="shared" ref="H61" si="49">IF(NOT(ISNUMBER(VALUE(G61))), "NA",IF(VALUE(G61)&gt;72,"HIGH",IF(VALUE(G61)&lt;62,"LOW", "VALUE IN RANGE")))</f>
        <v>HIGH</v>
      </c>
    </row>
    <row r="62" spans="3:8" x14ac:dyDescent="0.25">
      <c r="C62" s="13"/>
      <c r="D62" s="4" t="s">
        <v>1475</v>
      </c>
      <c r="E62" s="4" t="s">
        <v>1326</v>
      </c>
      <c r="F62" s="3">
        <v>23.5</v>
      </c>
      <c r="G62" s="3">
        <f t="shared" si="0"/>
        <v>23.5</v>
      </c>
      <c r="H62" s="14" t="str">
        <f t="shared" ref="H62" si="50">IF(NOT(ISNUMBER(VALUE(G62))), "NA",IF(VALUE(G62)&gt;25,"HIGH",IF(VALUE(G62)&lt;20,"LOW", "VALUE IN RANGE")))</f>
        <v>VALUE IN RANGE</v>
      </c>
    </row>
    <row r="63" spans="3:8" x14ac:dyDescent="0.25">
      <c r="C63" s="13"/>
      <c r="D63" s="4" t="s">
        <v>1475</v>
      </c>
      <c r="E63" s="1" t="s">
        <v>27</v>
      </c>
      <c r="F63" s="5">
        <v>323</v>
      </c>
      <c r="G63" s="3">
        <f t="shared" si="0"/>
        <v>323</v>
      </c>
      <c r="H63" s="14" t="str">
        <f t="shared" ref="H63" si="51">IF(NOT(ISNUMBER(VALUE(G63))), "NA",IF(VALUE(G63)&gt;380,"HIGH",IF(VALUE(G63)&lt;300,"LOW", "VALUE IN RANGE")))</f>
        <v>VALUE IN RANGE</v>
      </c>
    </row>
    <row r="64" spans="3:8" x14ac:dyDescent="0.25">
      <c r="C64" s="13"/>
      <c r="D64" s="4" t="s">
        <v>1475</v>
      </c>
      <c r="E64" s="4" t="s">
        <v>1327</v>
      </c>
      <c r="F64" s="3">
        <v>12.7</v>
      </c>
      <c r="G64" s="3">
        <f t="shared" si="0"/>
        <v>12.7</v>
      </c>
      <c r="H64" s="14" t="str">
        <f t="shared" ref="H64" si="52">IF(NOT(ISNUMBER(VALUE(G64))), "NA",IF(VALUE(G64)&gt;15.5,"HIGH",IF(VALUE(G64)&lt;11,"LOW", "VALUE IN RANGE")))</f>
        <v>VALUE IN RANGE</v>
      </c>
    </row>
    <row r="65" spans="3:8" x14ac:dyDescent="0.25">
      <c r="C65" s="13"/>
      <c r="D65" s="4" t="s">
        <v>1475</v>
      </c>
      <c r="E65" s="1" t="s">
        <v>31</v>
      </c>
      <c r="F65" s="5">
        <v>342</v>
      </c>
      <c r="G65" s="3">
        <f t="shared" si="0"/>
        <v>342</v>
      </c>
      <c r="H65" s="14" t="str">
        <f t="shared" ref="H65" si="53">IF(NOT(ISNUMBER(VALUE(G65))), "NA",IF(VALUE(G65)&gt;460,"HIGH",IF(VALUE(G65)&lt;117,"LOW", "VALUE IN RANGE")))</f>
        <v>VALUE IN RANGE</v>
      </c>
    </row>
    <row r="66" spans="3:8" x14ac:dyDescent="0.25">
      <c r="C66" s="13"/>
      <c r="D66" s="4" t="s">
        <v>1475</v>
      </c>
      <c r="E66" s="4" t="s">
        <v>1328</v>
      </c>
      <c r="F66" s="3">
        <v>7.6</v>
      </c>
      <c r="G66" s="3">
        <f t="shared" si="0"/>
        <v>7.6</v>
      </c>
      <c r="H66" s="14" t="str">
        <f t="shared" ref="H66" si="54">IF(NOT(ISNUMBER(VALUE(G66))), "NA",IF(VALUE(G66)&gt;12,"HIGH",IF(VALUE(G66)&lt;7,"LOW", "VALUE IN RANGE")))</f>
        <v>VALUE IN RANGE</v>
      </c>
    </row>
    <row r="67" spans="3:8" x14ac:dyDescent="0.25">
      <c r="C67" s="13" t="str">
        <f t="shared" ref="C67" si="55">IF(D67=D82,D81,"falso")</f>
        <v>PATIENT_0005</v>
      </c>
      <c r="D67" s="4" t="s">
        <v>1476</v>
      </c>
      <c r="E67" s="1" t="s">
        <v>1316</v>
      </c>
      <c r="F67" s="5">
        <v>24.2</v>
      </c>
      <c r="G67" s="3">
        <f t="shared" si="0"/>
        <v>24.2</v>
      </c>
      <c r="H67" s="14" t="str">
        <f t="shared" ref="H67" si="56">IF(NOT(ISNUMBER(VALUE(G67))), "NA",IF(VALUE(G67)&gt;17,"HIGH",IF(VALUE(G67)&lt;6,"LOW", "VALUE IN RANGE")))</f>
        <v>HIGH</v>
      </c>
    </row>
    <row r="68" spans="3:8" x14ac:dyDescent="0.25">
      <c r="C68" s="13"/>
      <c r="D68" s="4" t="s">
        <v>1476</v>
      </c>
      <c r="E68" s="4" t="s">
        <v>1317</v>
      </c>
      <c r="F68" s="3">
        <v>7.6</v>
      </c>
      <c r="G68" s="3">
        <f t="shared" ref="G68:G131" si="57">IFERROR(
   VALUE(
      SUBSTITUTE(
         CLEAN(
            TRIM(F68)
         ),
         ".",
         ","
      )
   ),
   ""
)</f>
        <v>7.6</v>
      </c>
      <c r="H68" s="14" t="str">
        <f t="shared" ref="H68" si="58">IF(NOT(ISNUMBER(VALUE(G68))), "NA",IF(VALUE(G68)&gt;30,"HIGH",IF(VALUE(G68)&lt;12,"LOW", "VALUE IN RANGE")))</f>
        <v>LOW</v>
      </c>
    </row>
    <row r="69" spans="3:8" x14ac:dyDescent="0.25">
      <c r="C69" s="13"/>
      <c r="D69" s="4" t="s">
        <v>1476</v>
      </c>
      <c r="E69" s="1" t="s">
        <v>1318</v>
      </c>
      <c r="F69" s="5">
        <v>2.9</v>
      </c>
      <c r="G69" s="3">
        <f t="shared" si="57"/>
        <v>2.9</v>
      </c>
      <c r="H69" s="14" t="str">
        <f t="shared" ref="H69" si="59">IF(NOT(ISNUMBER(VALUE(G69))), "NA",IF(VALUE(G69)&gt;9,"HIGH",IF(VALUE(G69)&lt;2,"LOW", "VALUE IN RANGE")))</f>
        <v>VALUE IN RANGE</v>
      </c>
    </row>
    <row r="70" spans="3:8" x14ac:dyDescent="0.25">
      <c r="C70" s="13"/>
      <c r="D70" s="4" t="s">
        <v>1476</v>
      </c>
      <c r="E70" s="4" t="s">
        <v>1319</v>
      </c>
      <c r="F70" s="3">
        <v>89.5</v>
      </c>
      <c r="G70" s="3">
        <f t="shared" si="57"/>
        <v>89.5</v>
      </c>
      <c r="H70" s="14" t="str">
        <f t="shared" ref="H70" si="60">IF(NOT(ISNUMBER(VALUE(G70))), "NA",IF(VALUE(G70)&gt;83,"HIGH",IF(VALUE(G70)&lt;60,"LOW", "VALUE IN RANGE")))</f>
        <v>HIGH</v>
      </c>
    </row>
    <row r="71" spans="3:8" x14ac:dyDescent="0.25">
      <c r="C71" s="13"/>
      <c r="D71" s="4" t="s">
        <v>1476</v>
      </c>
      <c r="E71" s="1" t="s">
        <v>1320</v>
      </c>
      <c r="F71" s="5">
        <v>1800</v>
      </c>
      <c r="G71" s="3">
        <f t="shared" si="57"/>
        <v>1800</v>
      </c>
      <c r="H71" s="14" t="str">
        <f t="shared" ref="H71" si="61">IF(NOT(ISNUMBER(VALUE(G71))), "NA",IF(VALUE(G71)&gt;5.1,"HIGH",IF(VALUE(G71)&lt;0.8,"LOW", "VALUE IN RANGE")))</f>
        <v>HIGH</v>
      </c>
    </row>
    <row r="72" spans="3:8" x14ac:dyDescent="0.25">
      <c r="C72" s="13"/>
      <c r="D72" s="4" t="s">
        <v>1476</v>
      </c>
      <c r="E72" s="4" t="s">
        <v>1321</v>
      </c>
      <c r="F72" s="3">
        <v>0.7</v>
      </c>
      <c r="G72" s="3">
        <f t="shared" si="57"/>
        <v>0.7</v>
      </c>
      <c r="H72" s="14" t="str">
        <f t="shared" ref="H72" si="62">IF(NOT(ISNUMBER(VALUE(G72))), "NA",IF(VALUE(G72)&gt;1.8,"HIGH",IF(VALUE(G72)&lt;0,"LOW", "VALUE IN RANGE")))</f>
        <v>VALUE IN RANGE</v>
      </c>
    </row>
    <row r="73" spans="3:8" x14ac:dyDescent="0.25">
      <c r="C73" s="13"/>
      <c r="D73" s="4" t="s">
        <v>1476</v>
      </c>
      <c r="E73" s="1" t="s">
        <v>1322</v>
      </c>
      <c r="F73" s="5">
        <v>21700</v>
      </c>
      <c r="G73" s="3">
        <f t="shared" si="57"/>
        <v>21700</v>
      </c>
      <c r="H73" s="14" t="str">
        <f t="shared" ref="H73" si="63">IF(NOT(ISNUMBER(VALUE(G73))), "NA",IF(VALUE(G73)&gt;12.6,"HIGH",IF(VALUE(G73)&lt;4,"LOW", "VALUE IN RANGE")))</f>
        <v>HIGH</v>
      </c>
    </row>
    <row r="74" spans="3:8" x14ac:dyDescent="0.25">
      <c r="C74" s="13"/>
      <c r="D74" s="4" t="s">
        <v>1476</v>
      </c>
      <c r="E74" s="4" t="s">
        <v>1323</v>
      </c>
      <c r="F74" s="3">
        <v>6.47</v>
      </c>
      <c r="G74" s="3">
        <f t="shared" si="57"/>
        <v>6.47</v>
      </c>
      <c r="H74" s="14" t="str">
        <f t="shared" ref="H74" si="64">IF(NOT(ISNUMBER(VALUE(G74))), "NA",IF(VALUE(G74)&gt;8.5,"HIGH",IF(VALUE(G74)&lt;5.5,"LOW", "VALUE IN RANGE")))</f>
        <v>VALUE IN RANGE</v>
      </c>
    </row>
    <row r="75" spans="3:8" x14ac:dyDescent="0.25">
      <c r="C75" s="13"/>
      <c r="D75" s="4" t="s">
        <v>1476</v>
      </c>
      <c r="E75" s="1" t="s">
        <v>19</v>
      </c>
      <c r="F75" s="5">
        <v>135</v>
      </c>
      <c r="G75" s="3">
        <f t="shared" si="57"/>
        <v>135</v>
      </c>
      <c r="H75" s="14" t="str">
        <f t="shared" ref="H75" si="65">IF(NOT(ISNUMBER(VALUE(G75))), "NA",IF(VALUE(G75)&gt;190,"HIGH",IF(VALUE(G75)&lt;110,"LOW", "VALUE IN RANGE")))</f>
        <v>VALUE IN RANGE</v>
      </c>
    </row>
    <row r="76" spans="3:8" x14ac:dyDescent="0.25">
      <c r="C76" s="13"/>
      <c r="D76" s="4" t="s">
        <v>1476</v>
      </c>
      <c r="E76" s="4" t="s">
        <v>1324</v>
      </c>
      <c r="F76" s="3">
        <v>42.2</v>
      </c>
      <c r="G76" s="3">
        <f t="shared" si="57"/>
        <v>42.2</v>
      </c>
      <c r="H76" s="14" t="str">
        <f t="shared" ref="H76" si="66">IF(NOT(ISNUMBER(VALUE(G76))), "NA",IF(VALUE(G76)&gt;56,"HIGH",IF(VALUE(G76)&lt;39,"LOW", "VALUE IN RANGE")))</f>
        <v>VALUE IN RANGE</v>
      </c>
    </row>
    <row r="77" spans="3:8" x14ac:dyDescent="0.25">
      <c r="C77" s="13"/>
      <c r="D77" s="4" t="s">
        <v>1476</v>
      </c>
      <c r="E77" s="1" t="s">
        <v>1325</v>
      </c>
      <c r="F77" s="5">
        <v>65.3</v>
      </c>
      <c r="G77" s="3">
        <f t="shared" si="57"/>
        <v>65.3</v>
      </c>
      <c r="H77" s="14" t="str">
        <f t="shared" ref="H77" si="67">IF(NOT(ISNUMBER(VALUE(G77))), "NA",IF(VALUE(G77)&gt;72,"HIGH",IF(VALUE(G77)&lt;62,"LOW", "VALUE IN RANGE")))</f>
        <v>VALUE IN RANGE</v>
      </c>
    </row>
    <row r="78" spans="3:8" x14ac:dyDescent="0.25">
      <c r="C78" s="13"/>
      <c r="D78" s="4" t="s">
        <v>1476</v>
      </c>
      <c r="E78" s="4" t="s">
        <v>1326</v>
      </c>
      <c r="F78" s="3">
        <v>20.8</v>
      </c>
      <c r="G78" s="3">
        <f t="shared" si="57"/>
        <v>20.8</v>
      </c>
      <c r="H78" s="14" t="str">
        <f t="shared" ref="H78" si="68">IF(NOT(ISNUMBER(VALUE(G78))), "NA",IF(VALUE(G78)&gt;25,"HIGH",IF(VALUE(G78)&lt;20,"LOW", "VALUE IN RANGE")))</f>
        <v>VALUE IN RANGE</v>
      </c>
    </row>
    <row r="79" spans="3:8" x14ac:dyDescent="0.25">
      <c r="C79" s="13"/>
      <c r="D79" s="4" t="s">
        <v>1476</v>
      </c>
      <c r="E79" s="1" t="s">
        <v>27</v>
      </c>
      <c r="F79" s="5">
        <v>319</v>
      </c>
      <c r="G79" s="3">
        <f t="shared" si="57"/>
        <v>319</v>
      </c>
      <c r="H79" s="14" t="str">
        <f t="shared" ref="H79" si="69">IF(NOT(ISNUMBER(VALUE(G79))), "NA",IF(VALUE(G79)&gt;380,"HIGH",IF(VALUE(G79)&lt;300,"LOW", "VALUE IN RANGE")))</f>
        <v>VALUE IN RANGE</v>
      </c>
    </row>
    <row r="80" spans="3:8" x14ac:dyDescent="0.25">
      <c r="C80" s="13"/>
      <c r="D80" s="4" t="s">
        <v>1476</v>
      </c>
      <c r="E80" s="4" t="s">
        <v>1327</v>
      </c>
      <c r="F80" s="3">
        <v>14.1</v>
      </c>
      <c r="G80" s="3">
        <f t="shared" si="57"/>
        <v>14.1</v>
      </c>
      <c r="H80" s="14" t="str">
        <f t="shared" ref="H80" si="70">IF(NOT(ISNUMBER(VALUE(G80))), "NA",IF(VALUE(G80)&gt;15.5,"HIGH",IF(VALUE(G80)&lt;11,"LOW", "VALUE IN RANGE")))</f>
        <v>VALUE IN RANGE</v>
      </c>
    </row>
    <row r="81" spans="3:8" x14ac:dyDescent="0.25">
      <c r="C81" s="13"/>
      <c r="D81" s="4" t="s">
        <v>1476</v>
      </c>
      <c r="E81" s="1" t="s">
        <v>31</v>
      </c>
      <c r="F81" s="5">
        <v>371</v>
      </c>
      <c r="G81" s="3">
        <f t="shared" si="57"/>
        <v>371</v>
      </c>
      <c r="H81" s="14" t="str">
        <f t="shared" ref="H81" si="71">IF(NOT(ISNUMBER(VALUE(G81))), "NA",IF(VALUE(G81)&gt;460,"HIGH",IF(VALUE(G81)&lt;117,"LOW", "VALUE IN RANGE")))</f>
        <v>VALUE IN RANGE</v>
      </c>
    </row>
    <row r="82" spans="3:8" x14ac:dyDescent="0.25">
      <c r="C82" s="13"/>
      <c r="D82" s="4" t="s">
        <v>1476</v>
      </c>
      <c r="E82" s="4" t="s">
        <v>1328</v>
      </c>
      <c r="F82" s="3">
        <v>7.9</v>
      </c>
      <c r="G82" s="3">
        <f t="shared" si="57"/>
        <v>7.9</v>
      </c>
      <c r="H82" s="14" t="str">
        <f t="shared" ref="H82" si="72">IF(NOT(ISNUMBER(VALUE(G82))), "NA",IF(VALUE(G82)&gt;12,"HIGH",IF(VALUE(G82)&lt;7,"LOW", "VALUE IN RANGE")))</f>
        <v>VALUE IN RANGE</v>
      </c>
    </row>
    <row r="83" spans="3:8" x14ac:dyDescent="0.25">
      <c r="C83" s="13" t="str">
        <f t="shared" ref="C83" si="73">IF(D83=D98,D97,"falso")</f>
        <v>PATIENT_0006</v>
      </c>
      <c r="D83" s="4" t="s">
        <v>1477</v>
      </c>
      <c r="E83" s="1" t="s">
        <v>1316</v>
      </c>
      <c r="F83" s="5">
        <v>40</v>
      </c>
      <c r="G83" s="3">
        <f t="shared" si="57"/>
        <v>40</v>
      </c>
      <c r="H83" s="14" t="str">
        <f t="shared" ref="H83" si="74">IF(NOT(ISNUMBER(VALUE(G83))), "NA",IF(VALUE(G83)&gt;17,"HIGH",IF(VALUE(G83)&lt;6,"LOW", "VALUE IN RANGE")))</f>
        <v>HIGH</v>
      </c>
    </row>
    <row r="84" spans="3:8" x14ac:dyDescent="0.25">
      <c r="C84" s="13"/>
      <c r="D84" s="4" t="s">
        <v>1477</v>
      </c>
      <c r="E84" s="4" t="s">
        <v>1317</v>
      </c>
      <c r="F84" s="3">
        <v>18.100000000000001</v>
      </c>
      <c r="G84" s="3">
        <f t="shared" si="57"/>
        <v>18.100000000000001</v>
      </c>
      <c r="H84" s="14" t="str">
        <f t="shared" ref="H84" si="75">IF(NOT(ISNUMBER(VALUE(G84))), "NA",IF(VALUE(G84)&gt;30,"HIGH",IF(VALUE(G84)&lt;12,"LOW", "VALUE IN RANGE")))</f>
        <v>VALUE IN RANGE</v>
      </c>
    </row>
    <row r="85" spans="3:8" x14ac:dyDescent="0.25">
      <c r="C85" s="13"/>
      <c r="D85" s="4" t="s">
        <v>1477</v>
      </c>
      <c r="E85" s="1" t="s">
        <v>1318</v>
      </c>
      <c r="F85" s="5">
        <v>11.2</v>
      </c>
      <c r="G85" s="3">
        <f t="shared" si="57"/>
        <v>11.2</v>
      </c>
      <c r="H85" s="14" t="str">
        <f t="shared" ref="H85" si="76">IF(NOT(ISNUMBER(VALUE(G85))), "NA",IF(VALUE(G85)&gt;9,"HIGH",IF(VALUE(G85)&lt;2,"LOW", "VALUE IN RANGE")))</f>
        <v>HIGH</v>
      </c>
    </row>
    <row r="86" spans="3:8" x14ac:dyDescent="0.25">
      <c r="C86" s="13"/>
      <c r="D86" s="4" t="s">
        <v>1477</v>
      </c>
      <c r="E86" s="4" t="s">
        <v>1319</v>
      </c>
      <c r="F86" s="3">
        <v>70.7</v>
      </c>
      <c r="G86" s="3">
        <f t="shared" si="57"/>
        <v>70.7</v>
      </c>
      <c r="H86" s="14" t="str">
        <f t="shared" ref="H86" si="77">IF(NOT(ISNUMBER(VALUE(G86))), "NA",IF(VALUE(G86)&gt;83,"HIGH",IF(VALUE(G86)&lt;60,"LOW", "VALUE IN RANGE")))</f>
        <v>VALUE IN RANGE</v>
      </c>
    </row>
    <row r="87" spans="3:8" x14ac:dyDescent="0.25">
      <c r="C87" s="13"/>
      <c r="D87" s="4" t="s">
        <v>1477</v>
      </c>
      <c r="E87" s="1" t="s">
        <v>1320</v>
      </c>
      <c r="F87" s="5">
        <v>7200</v>
      </c>
      <c r="G87" s="3">
        <f t="shared" si="57"/>
        <v>7200</v>
      </c>
      <c r="H87" s="14" t="str">
        <f t="shared" ref="H87" si="78">IF(NOT(ISNUMBER(VALUE(G87))), "NA",IF(VALUE(G87)&gt;5.1,"HIGH",IF(VALUE(G87)&lt;0.8,"LOW", "VALUE IN RANGE")))</f>
        <v>HIGH</v>
      </c>
    </row>
    <row r="88" spans="3:8" x14ac:dyDescent="0.25">
      <c r="C88" s="13"/>
      <c r="D88" s="4" t="s">
        <v>1477</v>
      </c>
      <c r="E88" s="4" t="s">
        <v>1321</v>
      </c>
      <c r="F88" s="3">
        <v>4400</v>
      </c>
      <c r="G88" s="3">
        <f t="shared" si="57"/>
        <v>4400</v>
      </c>
      <c r="H88" s="14" t="str">
        <f t="shared" ref="H88" si="79">IF(NOT(ISNUMBER(VALUE(G88))), "NA",IF(VALUE(G88)&gt;1.8,"HIGH",IF(VALUE(G88)&lt;0,"LOW", "VALUE IN RANGE")))</f>
        <v>HIGH</v>
      </c>
    </row>
    <row r="89" spans="3:8" x14ac:dyDescent="0.25">
      <c r="C89" s="13"/>
      <c r="D89" s="4" t="s">
        <v>1477</v>
      </c>
      <c r="E89" s="1" t="s">
        <v>1322</v>
      </c>
      <c r="F89" s="5">
        <v>28400</v>
      </c>
      <c r="G89" s="3">
        <f t="shared" si="57"/>
        <v>28400</v>
      </c>
      <c r="H89" s="14" t="str">
        <f t="shared" ref="H89" si="80">IF(NOT(ISNUMBER(VALUE(G89))), "NA",IF(VALUE(G89)&gt;12.6,"HIGH",IF(VALUE(G89)&lt;4,"LOW", "VALUE IN RANGE")))</f>
        <v>HIGH</v>
      </c>
    </row>
    <row r="90" spans="3:8" x14ac:dyDescent="0.25">
      <c r="C90" s="13"/>
      <c r="D90" s="4" t="s">
        <v>1477</v>
      </c>
      <c r="E90" s="4" t="s">
        <v>1323</v>
      </c>
      <c r="F90" s="3">
        <v>4.53</v>
      </c>
      <c r="G90" s="3">
        <f t="shared" si="57"/>
        <v>4.53</v>
      </c>
      <c r="H90" s="14" t="str">
        <f t="shared" ref="H90" si="81">IF(NOT(ISNUMBER(VALUE(G90))), "NA",IF(VALUE(G90)&gt;8.5,"HIGH",IF(VALUE(G90)&lt;5.5,"LOW", "VALUE IN RANGE")))</f>
        <v>LOW</v>
      </c>
    </row>
    <row r="91" spans="3:8" x14ac:dyDescent="0.25">
      <c r="C91" s="13"/>
      <c r="D91" s="4" t="s">
        <v>1477</v>
      </c>
      <c r="E91" s="1" t="s">
        <v>19</v>
      </c>
      <c r="F91" s="5">
        <v>95</v>
      </c>
      <c r="G91" s="3">
        <f t="shared" si="57"/>
        <v>95</v>
      </c>
      <c r="H91" s="14" t="str">
        <f t="shared" ref="H91" si="82">IF(NOT(ISNUMBER(VALUE(G91))), "NA",IF(VALUE(G91)&gt;190,"HIGH",IF(VALUE(G91)&lt;110,"LOW", "VALUE IN RANGE")))</f>
        <v>LOW</v>
      </c>
    </row>
    <row r="92" spans="3:8" x14ac:dyDescent="0.25">
      <c r="C92" s="13"/>
      <c r="D92" s="4" t="s">
        <v>1477</v>
      </c>
      <c r="E92" s="4" t="s">
        <v>1324</v>
      </c>
      <c r="F92" s="3">
        <v>30.8</v>
      </c>
      <c r="G92" s="3">
        <f t="shared" si="57"/>
        <v>30.8</v>
      </c>
      <c r="H92" s="14" t="str">
        <f t="shared" ref="H92" si="83">IF(NOT(ISNUMBER(VALUE(G92))), "NA",IF(VALUE(G92)&gt;56,"HIGH",IF(VALUE(G92)&lt;39,"LOW", "VALUE IN RANGE")))</f>
        <v>LOW</v>
      </c>
    </row>
    <row r="93" spans="3:8" x14ac:dyDescent="0.25">
      <c r="C93" s="13"/>
      <c r="D93" s="4" t="s">
        <v>1477</v>
      </c>
      <c r="E93" s="1" t="s">
        <v>1325</v>
      </c>
      <c r="F93" s="5">
        <v>68.2</v>
      </c>
      <c r="G93" s="3">
        <f t="shared" si="57"/>
        <v>68.2</v>
      </c>
      <c r="H93" s="14" t="str">
        <f t="shared" ref="H93" si="84">IF(NOT(ISNUMBER(VALUE(G93))), "NA",IF(VALUE(G93)&gt;72,"HIGH",IF(VALUE(G93)&lt;62,"LOW", "VALUE IN RANGE")))</f>
        <v>VALUE IN RANGE</v>
      </c>
    </row>
    <row r="94" spans="3:8" x14ac:dyDescent="0.25">
      <c r="C94" s="13"/>
      <c r="D94" s="4" t="s">
        <v>1477</v>
      </c>
      <c r="E94" s="4" t="s">
        <v>1326</v>
      </c>
      <c r="F94" s="3">
        <v>20.9</v>
      </c>
      <c r="G94" s="3">
        <f t="shared" si="57"/>
        <v>20.9</v>
      </c>
      <c r="H94" s="14" t="str">
        <f t="shared" ref="H94" si="85">IF(NOT(ISNUMBER(VALUE(G94))), "NA",IF(VALUE(G94)&gt;25,"HIGH",IF(VALUE(G94)&lt;20,"LOW", "VALUE IN RANGE")))</f>
        <v>VALUE IN RANGE</v>
      </c>
    </row>
    <row r="95" spans="3:8" x14ac:dyDescent="0.25">
      <c r="C95" s="13"/>
      <c r="D95" s="4" t="s">
        <v>1477</v>
      </c>
      <c r="E95" s="1" t="s">
        <v>27</v>
      </c>
      <c r="F95" s="5">
        <v>308</v>
      </c>
      <c r="G95" s="3">
        <f t="shared" si="57"/>
        <v>308</v>
      </c>
      <c r="H95" s="14" t="str">
        <f t="shared" ref="H95" si="86">IF(NOT(ISNUMBER(VALUE(G95))), "NA",IF(VALUE(G95)&gt;380,"HIGH",IF(VALUE(G95)&lt;300,"LOW", "VALUE IN RANGE")))</f>
        <v>VALUE IN RANGE</v>
      </c>
    </row>
    <row r="96" spans="3:8" x14ac:dyDescent="0.25">
      <c r="C96" s="13"/>
      <c r="D96" s="4" t="s">
        <v>1477</v>
      </c>
      <c r="E96" s="4" t="s">
        <v>1327</v>
      </c>
      <c r="F96" s="3">
        <v>12.9</v>
      </c>
      <c r="G96" s="3">
        <f t="shared" si="57"/>
        <v>12.9</v>
      </c>
      <c r="H96" s="14" t="str">
        <f t="shared" ref="H96" si="87">IF(NOT(ISNUMBER(VALUE(G96))), "NA",IF(VALUE(G96)&gt;15.5,"HIGH",IF(VALUE(G96)&lt;11,"LOW", "VALUE IN RANGE")))</f>
        <v>VALUE IN RANGE</v>
      </c>
    </row>
    <row r="97" spans="3:8" x14ac:dyDescent="0.25">
      <c r="C97" s="13"/>
      <c r="D97" s="4" t="s">
        <v>1477</v>
      </c>
      <c r="E97" s="1" t="s">
        <v>31</v>
      </c>
      <c r="F97" s="5">
        <v>114</v>
      </c>
      <c r="G97" s="3">
        <f t="shared" si="57"/>
        <v>114</v>
      </c>
      <c r="H97" s="14" t="str">
        <f t="shared" ref="H97" si="88">IF(NOT(ISNUMBER(VALUE(G97))), "NA",IF(VALUE(G97)&gt;460,"HIGH",IF(VALUE(G97)&lt;117,"LOW", "VALUE IN RANGE")))</f>
        <v>LOW</v>
      </c>
    </row>
    <row r="98" spans="3:8" x14ac:dyDescent="0.25">
      <c r="C98" s="13"/>
      <c r="D98" s="4" t="s">
        <v>1477</v>
      </c>
      <c r="E98" s="4" t="s">
        <v>1328</v>
      </c>
      <c r="F98" s="3">
        <v>8.9</v>
      </c>
      <c r="G98" s="3">
        <f t="shared" si="57"/>
        <v>8.9</v>
      </c>
      <c r="H98" s="14" t="str">
        <f t="shared" ref="H98" si="89">IF(NOT(ISNUMBER(VALUE(G98))), "NA",IF(VALUE(G98)&gt;12,"HIGH",IF(VALUE(G98)&lt;7,"LOW", "VALUE IN RANGE")))</f>
        <v>VALUE IN RANGE</v>
      </c>
    </row>
    <row r="99" spans="3:8" x14ac:dyDescent="0.25">
      <c r="C99" s="13" t="str">
        <f t="shared" ref="C99" si="90">IF(D99=D114,D113,"falso")</f>
        <v>PATIENT_0007</v>
      </c>
      <c r="D99" s="4" t="s">
        <v>1478</v>
      </c>
      <c r="E99" s="1" t="s">
        <v>1316</v>
      </c>
      <c r="F99" s="5">
        <v>8.6</v>
      </c>
      <c r="G99" s="3">
        <f t="shared" si="57"/>
        <v>8.6</v>
      </c>
      <c r="H99" s="14" t="str">
        <f t="shared" ref="H99" si="91">IF(NOT(ISNUMBER(VALUE(G99))), "NA",IF(VALUE(G99)&gt;17,"HIGH",IF(VALUE(G99)&lt;6,"LOW", "VALUE IN RANGE")))</f>
        <v>VALUE IN RANGE</v>
      </c>
    </row>
    <row r="100" spans="3:8" x14ac:dyDescent="0.25">
      <c r="C100" s="13"/>
      <c r="D100" s="4" t="s">
        <v>1478</v>
      </c>
      <c r="E100" s="4" t="s">
        <v>1317</v>
      </c>
      <c r="F100" s="3">
        <v>24.2</v>
      </c>
      <c r="G100" s="3">
        <f t="shared" si="57"/>
        <v>24.2</v>
      </c>
      <c r="H100" s="14" t="str">
        <f t="shared" ref="H100" si="92">IF(NOT(ISNUMBER(VALUE(G100))), "NA",IF(VALUE(G100)&gt;30,"HIGH",IF(VALUE(G100)&lt;12,"LOW", "VALUE IN RANGE")))</f>
        <v>VALUE IN RANGE</v>
      </c>
    </row>
    <row r="101" spans="3:8" x14ac:dyDescent="0.25">
      <c r="C101" s="13"/>
      <c r="D101" s="4" t="s">
        <v>1478</v>
      </c>
      <c r="E101" s="1" t="s">
        <v>1318</v>
      </c>
      <c r="F101" s="5">
        <v>6.5</v>
      </c>
      <c r="G101" s="3">
        <f t="shared" si="57"/>
        <v>6.5</v>
      </c>
      <c r="H101" s="14" t="str">
        <f t="shared" ref="H101" si="93">IF(NOT(ISNUMBER(VALUE(G101))), "NA",IF(VALUE(G101)&gt;9,"HIGH",IF(VALUE(G101)&lt;2,"LOW", "VALUE IN RANGE")))</f>
        <v>VALUE IN RANGE</v>
      </c>
    </row>
    <row r="102" spans="3:8" x14ac:dyDescent="0.25">
      <c r="C102" s="13"/>
      <c r="D102" s="4" t="s">
        <v>1478</v>
      </c>
      <c r="E102" s="4" t="s">
        <v>1319</v>
      </c>
      <c r="F102" s="3">
        <v>69.3</v>
      </c>
      <c r="G102" s="3">
        <f t="shared" si="57"/>
        <v>69.3</v>
      </c>
      <c r="H102" s="14" t="str">
        <f t="shared" ref="H102" si="94">IF(NOT(ISNUMBER(VALUE(G102))), "NA",IF(VALUE(G102)&gt;83,"HIGH",IF(VALUE(G102)&lt;60,"LOW", "VALUE IN RANGE")))</f>
        <v>VALUE IN RANGE</v>
      </c>
    </row>
    <row r="103" spans="3:8" x14ac:dyDescent="0.25">
      <c r="C103" s="13"/>
      <c r="D103" s="4" t="s">
        <v>1478</v>
      </c>
      <c r="E103" s="1" t="s">
        <v>1320</v>
      </c>
      <c r="F103" s="5">
        <v>2000</v>
      </c>
      <c r="G103" s="3">
        <f t="shared" si="57"/>
        <v>2000</v>
      </c>
      <c r="H103" s="14" t="str">
        <f t="shared" ref="H103" si="95">IF(NOT(ISNUMBER(VALUE(G103))), "NA",IF(VALUE(G103)&gt;5.1,"HIGH",IF(VALUE(G103)&lt;0.8,"LOW", "VALUE IN RANGE")))</f>
        <v>HIGH</v>
      </c>
    </row>
    <row r="104" spans="3:8" x14ac:dyDescent="0.25">
      <c r="C104" s="13"/>
      <c r="D104" s="4" t="s">
        <v>1478</v>
      </c>
      <c r="E104" s="4" t="s">
        <v>1321</v>
      </c>
      <c r="F104" s="3">
        <v>0.5</v>
      </c>
      <c r="G104" s="3">
        <f t="shared" si="57"/>
        <v>0.5</v>
      </c>
      <c r="H104" s="14" t="str">
        <f t="shared" ref="H104" si="96">IF(NOT(ISNUMBER(VALUE(G104))), "NA",IF(VALUE(G104)&gt;1.8,"HIGH",IF(VALUE(G104)&lt;0,"LOW", "VALUE IN RANGE")))</f>
        <v>VALUE IN RANGE</v>
      </c>
    </row>
    <row r="105" spans="3:8" x14ac:dyDescent="0.25">
      <c r="C105" s="13"/>
      <c r="D105" s="4" t="s">
        <v>1478</v>
      </c>
      <c r="E105" s="1" t="s">
        <v>1322</v>
      </c>
      <c r="F105" s="5">
        <v>6100</v>
      </c>
      <c r="G105" s="3">
        <f t="shared" si="57"/>
        <v>6100</v>
      </c>
      <c r="H105" s="14" t="str">
        <f t="shared" ref="H105" si="97">IF(NOT(ISNUMBER(VALUE(G105))), "NA",IF(VALUE(G105)&gt;12.6,"HIGH",IF(VALUE(G105)&lt;4,"LOW", "VALUE IN RANGE")))</f>
        <v>HIGH</v>
      </c>
    </row>
    <row r="106" spans="3:8" x14ac:dyDescent="0.25">
      <c r="C106" s="13"/>
      <c r="D106" s="4" t="s">
        <v>1478</v>
      </c>
      <c r="E106" s="4" t="s">
        <v>1323</v>
      </c>
      <c r="F106" s="3">
        <v>6.52</v>
      </c>
      <c r="G106" s="3">
        <f t="shared" si="57"/>
        <v>6.52</v>
      </c>
      <c r="H106" s="14" t="str">
        <f t="shared" ref="H106" si="98">IF(NOT(ISNUMBER(VALUE(G106))), "NA",IF(VALUE(G106)&gt;8.5,"HIGH",IF(VALUE(G106)&lt;5.5,"LOW", "VALUE IN RANGE")))</f>
        <v>VALUE IN RANGE</v>
      </c>
    </row>
    <row r="107" spans="3:8" x14ac:dyDescent="0.25">
      <c r="C107" s="13"/>
      <c r="D107" s="4" t="s">
        <v>1478</v>
      </c>
      <c r="E107" s="1" t="s">
        <v>19</v>
      </c>
      <c r="F107" s="5">
        <v>151</v>
      </c>
      <c r="G107" s="3">
        <f t="shared" si="57"/>
        <v>151</v>
      </c>
      <c r="H107" s="14" t="str">
        <f t="shared" ref="H107" si="99">IF(NOT(ISNUMBER(VALUE(G107))), "NA",IF(VALUE(G107)&gt;190,"HIGH",IF(VALUE(G107)&lt;110,"LOW", "VALUE IN RANGE")))</f>
        <v>VALUE IN RANGE</v>
      </c>
    </row>
    <row r="108" spans="3:8" x14ac:dyDescent="0.25">
      <c r="C108" s="13"/>
      <c r="D108" s="4" t="s">
        <v>1478</v>
      </c>
      <c r="E108" s="4" t="s">
        <v>1324</v>
      </c>
      <c r="F108" s="3">
        <v>46.4</v>
      </c>
      <c r="G108" s="3">
        <f t="shared" si="57"/>
        <v>46.4</v>
      </c>
      <c r="H108" s="14" t="str">
        <f t="shared" ref="H108" si="100">IF(NOT(ISNUMBER(VALUE(G108))), "NA",IF(VALUE(G108)&gt;56,"HIGH",IF(VALUE(G108)&lt;39,"LOW", "VALUE IN RANGE")))</f>
        <v>VALUE IN RANGE</v>
      </c>
    </row>
    <row r="109" spans="3:8" x14ac:dyDescent="0.25">
      <c r="C109" s="13"/>
      <c r="D109" s="4" t="s">
        <v>1478</v>
      </c>
      <c r="E109" s="1" t="s">
        <v>1325</v>
      </c>
      <c r="F109" s="5">
        <v>71.3</v>
      </c>
      <c r="G109" s="3">
        <f t="shared" si="57"/>
        <v>71.3</v>
      </c>
      <c r="H109" s="14" t="str">
        <f t="shared" ref="H109" si="101">IF(NOT(ISNUMBER(VALUE(G109))), "NA",IF(VALUE(G109)&gt;72,"HIGH",IF(VALUE(G109)&lt;62,"LOW", "VALUE IN RANGE")))</f>
        <v>VALUE IN RANGE</v>
      </c>
    </row>
    <row r="110" spans="3:8" x14ac:dyDescent="0.25">
      <c r="C110" s="13"/>
      <c r="D110" s="4" t="s">
        <v>1478</v>
      </c>
      <c r="E110" s="4" t="s">
        <v>1326</v>
      </c>
      <c r="F110" s="3">
        <v>23.1</v>
      </c>
      <c r="G110" s="3">
        <f t="shared" si="57"/>
        <v>23.1</v>
      </c>
      <c r="H110" s="14" t="str">
        <f t="shared" ref="H110" si="102">IF(NOT(ISNUMBER(VALUE(G110))), "NA",IF(VALUE(G110)&gt;25,"HIGH",IF(VALUE(G110)&lt;20,"LOW", "VALUE IN RANGE")))</f>
        <v>VALUE IN RANGE</v>
      </c>
    </row>
    <row r="111" spans="3:8" x14ac:dyDescent="0.25">
      <c r="C111" s="13"/>
      <c r="D111" s="4" t="s">
        <v>1478</v>
      </c>
      <c r="E111" s="1" t="s">
        <v>27</v>
      </c>
      <c r="F111" s="5">
        <v>325</v>
      </c>
      <c r="G111" s="3">
        <f t="shared" si="57"/>
        <v>325</v>
      </c>
      <c r="H111" s="14" t="str">
        <f t="shared" ref="H111" si="103">IF(NOT(ISNUMBER(VALUE(G111))), "NA",IF(VALUE(G111)&gt;380,"HIGH",IF(VALUE(G111)&lt;300,"LOW", "VALUE IN RANGE")))</f>
        <v>VALUE IN RANGE</v>
      </c>
    </row>
    <row r="112" spans="3:8" x14ac:dyDescent="0.25">
      <c r="C112" s="13"/>
      <c r="D112" s="4" t="s">
        <v>1478</v>
      </c>
      <c r="E112" s="4" t="s">
        <v>1327</v>
      </c>
      <c r="F112" s="3">
        <v>12.4</v>
      </c>
      <c r="G112" s="3">
        <f t="shared" si="57"/>
        <v>12.4</v>
      </c>
      <c r="H112" s="14" t="str">
        <f t="shared" ref="H112" si="104">IF(NOT(ISNUMBER(VALUE(G112))), "NA",IF(VALUE(G112)&gt;15.5,"HIGH",IF(VALUE(G112)&lt;11,"LOW", "VALUE IN RANGE")))</f>
        <v>VALUE IN RANGE</v>
      </c>
    </row>
    <row r="113" spans="3:8" x14ac:dyDescent="0.25">
      <c r="C113" s="13"/>
      <c r="D113" s="4" t="s">
        <v>1478</v>
      </c>
      <c r="E113" s="1" t="s">
        <v>31</v>
      </c>
      <c r="F113" s="5">
        <v>80</v>
      </c>
      <c r="G113" s="3">
        <f t="shared" si="57"/>
        <v>80</v>
      </c>
      <c r="H113" s="14" t="str">
        <f t="shared" ref="H113" si="105">IF(NOT(ISNUMBER(VALUE(G113))), "NA",IF(VALUE(G113)&gt;460,"HIGH",IF(VALUE(G113)&lt;117,"LOW", "VALUE IN RANGE")))</f>
        <v>LOW</v>
      </c>
    </row>
    <row r="114" spans="3:8" x14ac:dyDescent="0.25">
      <c r="C114" s="13"/>
      <c r="D114" s="4" t="s">
        <v>1478</v>
      </c>
      <c r="E114" s="4" t="s">
        <v>1328</v>
      </c>
      <c r="F114" s="3">
        <v>8.6999999999999993</v>
      </c>
      <c r="G114" s="3">
        <f t="shared" si="57"/>
        <v>8.6999999999999993</v>
      </c>
      <c r="H114" s="14" t="str">
        <f t="shared" ref="H114" si="106">IF(NOT(ISNUMBER(VALUE(G114))), "NA",IF(VALUE(G114)&gt;12,"HIGH",IF(VALUE(G114)&lt;7,"LOW", "VALUE IN RANGE")))</f>
        <v>VALUE IN RANGE</v>
      </c>
    </row>
    <row r="115" spans="3:8" x14ac:dyDescent="0.25">
      <c r="C115" s="13" t="str">
        <f t="shared" ref="C115" si="107">IF(D115=D130,D129,"falso")</f>
        <v>PATIENT_0008</v>
      </c>
      <c r="D115" s="4" t="s">
        <v>1479</v>
      </c>
      <c r="E115" s="1" t="s">
        <v>1316</v>
      </c>
      <c r="F115" s="5">
        <v>17.2</v>
      </c>
      <c r="G115" s="3">
        <f t="shared" si="57"/>
        <v>17.2</v>
      </c>
      <c r="H115" s="14" t="str">
        <f t="shared" ref="H115" si="108">IF(NOT(ISNUMBER(VALUE(G115))), "NA",IF(VALUE(G115)&gt;17,"HIGH",IF(VALUE(G115)&lt;6,"LOW", "VALUE IN RANGE")))</f>
        <v>HIGH</v>
      </c>
    </row>
    <row r="116" spans="3:8" x14ac:dyDescent="0.25">
      <c r="C116" s="13"/>
      <c r="D116" s="4" t="s">
        <v>1479</v>
      </c>
      <c r="E116" s="4" t="s">
        <v>1317</v>
      </c>
      <c r="F116" s="3">
        <v>9.5</v>
      </c>
      <c r="G116" s="3">
        <f t="shared" si="57"/>
        <v>9.5</v>
      </c>
      <c r="H116" s="14" t="str">
        <f t="shared" ref="H116" si="109">IF(NOT(ISNUMBER(VALUE(G116))), "NA",IF(VALUE(G116)&gt;30,"HIGH",IF(VALUE(G116)&lt;12,"LOW", "VALUE IN RANGE")))</f>
        <v>LOW</v>
      </c>
    </row>
    <row r="117" spans="3:8" x14ac:dyDescent="0.25">
      <c r="C117" s="13"/>
      <c r="D117" s="4" t="s">
        <v>1479</v>
      </c>
      <c r="E117" s="1" t="s">
        <v>1318</v>
      </c>
      <c r="F117" s="5">
        <v>2.2999999999999998</v>
      </c>
      <c r="G117" s="3">
        <f t="shared" si="57"/>
        <v>2.2999999999999998</v>
      </c>
      <c r="H117" s="14" t="str">
        <f t="shared" ref="H117" si="110">IF(NOT(ISNUMBER(VALUE(G117))), "NA",IF(VALUE(G117)&gt;9,"HIGH",IF(VALUE(G117)&lt;2,"LOW", "VALUE IN RANGE")))</f>
        <v>VALUE IN RANGE</v>
      </c>
    </row>
    <row r="118" spans="3:8" x14ac:dyDescent="0.25">
      <c r="C118" s="13"/>
      <c r="D118" s="4" t="s">
        <v>1479</v>
      </c>
      <c r="E118" s="4" t="s">
        <v>1319</v>
      </c>
      <c r="F118" s="3">
        <v>88.2</v>
      </c>
      <c r="G118" s="3">
        <f t="shared" si="57"/>
        <v>88.2</v>
      </c>
      <c r="H118" s="14" t="str">
        <f t="shared" ref="H118" si="111">IF(NOT(ISNUMBER(VALUE(G118))), "NA",IF(VALUE(G118)&gt;83,"HIGH",IF(VALUE(G118)&lt;60,"LOW", "VALUE IN RANGE")))</f>
        <v>HIGH</v>
      </c>
    </row>
    <row r="119" spans="3:8" x14ac:dyDescent="0.25">
      <c r="C119" s="13"/>
      <c r="D119" s="4" t="s">
        <v>1479</v>
      </c>
      <c r="E119" s="1" t="s">
        <v>1320</v>
      </c>
      <c r="F119" s="5">
        <v>1600</v>
      </c>
      <c r="G119" s="3">
        <f t="shared" si="57"/>
        <v>1600</v>
      </c>
      <c r="H119" s="14" t="str">
        <f t="shared" ref="H119" si="112">IF(NOT(ISNUMBER(VALUE(G119))), "NA",IF(VALUE(G119)&gt;5.1,"HIGH",IF(VALUE(G119)&lt;0.8,"LOW", "VALUE IN RANGE")))</f>
        <v>HIGH</v>
      </c>
    </row>
    <row r="120" spans="3:8" x14ac:dyDescent="0.25">
      <c r="C120" s="13"/>
      <c r="D120" s="4" t="s">
        <v>1479</v>
      </c>
      <c r="E120" s="4" t="s">
        <v>1321</v>
      </c>
      <c r="F120" s="3">
        <v>0.3</v>
      </c>
      <c r="G120" s="3">
        <f t="shared" si="57"/>
        <v>0.3</v>
      </c>
      <c r="H120" s="14" t="str">
        <f t="shared" ref="H120" si="113">IF(NOT(ISNUMBER(VALUE(G120))), "NA",IF(VALUE(G120)&gt;1.8,"HIGH",IF(VALUE(G120)&lt;0,"LOW", "VALUE IN RANGE")))</f>
        <v>VALUE IN RANGE</v>
      </c>
    </row>
    <row r="121" spans="3:8" x14ac:dyDescent="0.25">
      <c r="C121" s="13"/>
      <c r="D121" s="4" t="s">
        <v>1479</v>
      </c>
      <c r="E121" s="1" t="s">
        <v>1322</v>
      </c>
      <c r="F121" s="5">
        <v>15300</v>
      </c>
      <c r="G121" s="3">
        <f t="shared" si="57"/>
        <v>15300</v>
      </c>
      <c r="H121" s="14" t="str">
        <f t="shared" ref="H121" si="114">IF(NOT(ISNUMBER(VALUE(G121))), "NA",IF(VALUE(G121)&gt;12.6,"HIGH",IF(VALUE(G121)&lt;4,"LOW", "VALUE IN RANGE")))</f>
        <v>HIGH</v>
      </c>
    </row>
    <row r="122" spans="3:8" x14ac:dyDescent="0.25">
      <c r="C122" s="13"/>
      <c r="D122" s="4" t="s">
        <v>1479</v>
      </c>
      <c r="E122" s="4" t="s">
        <v>1323</v>
      </c>
      <c r="F122" s="3">
        <v>6.27</v>
      </c>
      <c r="G122" s="3">
        <f t="shared" si="57"/>
        <v>6.27</v>
      </c>
      <c r="H122" s="14" t="str">
        <f t="shared" ref="H122" si="115">IF(NOT(ISNUMBER(VALUE(G122))), "NA",IF(VALUE(G122)&gt;8.5,"HIGH",IF(VALUE(G122)&lt;5.5,"LOW", "VALUE IN RANGE")))</f>
        <v>VALUE IN RANGE</v>
      </c>
    </row>
    <row r="123" spans="3:8" x14ac:dyDescent="0.25">
      <c r="C123" s="13"/>
      <c r="D123" s="4" t="s">
        <v>1479</v>
      </c>
      <c r="E123" s="1" t="s">
        <v>19</v>
      </c>
      <c r="F123" s="5">
        <v>90</v>
      </c>
      <c r="G123" s="3">
        <f t="shared" si="57"/>
        <v>90</v>
      </c>
      <c r="H123" s="14" t="str">
        <f t="shared" ref="H123" si="116">IF(NOT(ISNUMBER(VALUE(G123))), "NA",IF(VALUE(G123)&gt;190,"HIGH",IF(VALUE(G123)&lt;110,"LOW", "VALUE IN RANGE")))</f>
        <v>LOW</v>
      </c>
    </row>
    <row r="124" spans="3:8" x14ac:dyDescent="0.25">
      <c r="C124" s="13"/>
      <c r="D124" s="4" t="s">
        <v>1479</v>
      </c>
      <c r="E124" s="4" t="s">
        <v>1324</v>
      </c>
      <c r="F124" s="3">
        <v>29.2</v>
      </c>
      <c r="G124" s="3">
        <f t="shared" si="57"/>
        <v>29.2</v>
      </c>
      <c r="H124" s="14" t="str">
        <f t="shared" ref="H124" si="117">IF(NOT(ISNUMBER(VALUE(G124))), "NA",IF(VALUE(G124)&gt;56,"HIGH",IF(VALUE(G124)&lt;39,"LOW", "VALUE IN RANGE")))</f>
        <v>LOW</v>
      </c>
    </row>
    <row r="125" spans="3:8" x14ac:dyDescent="0.25">
      <c r="C125" s="13"/>
      <c r="D125" s="4" t="s">
        <v>1479</v>
      </c>
      <c r="E125" s="1" t="s">
        <v>1325</v>
      </c>
      <c r="F125" s="5">
        <v>46.6</v>
      </c>
      <c r="G125" s="3">
        <f t="shared" si="57"/>
        <v>46.6</v>
      </c>
      <c r="H125" s="14" t="str">
        <f t="shared" ref="H125" si="118">IF(NOT(ISNUMBER(VALUE(G125))), "NA",IF(VALUE(G125)&gt;72,"HIGH",IF(VALUE(G125)&lt;62,"LOW", "VALUE IN RANGE")))</f>
        <v>LOW</v>
      </c>
    </row>
    <row r="126" spans="3:8" x14ac:dyDescent="0.25">
      <c r="C126" s="13"/>
      <c r="D126" s="4" t="s">
        <v>1479</v>
      </c>
      <c r="E126" s="4" t="s">
        <v>1326</v>
      </c>
      <c r="F126" s="3">
        <v>14.3</v>
      </c>
      <c r="G126" s="3">
        <f t="shared" si="57"/>
        <v>14.3</v>
      </c>
      <c r="H126" s="14" t="str">
        <f t="shared" ref="H126" si="119">IF(NOT(ISNUMBER(VALUE(G126))), "NA",IF(VALUE(G126)&gt;25,"HIGH",IF(VALUE(G126)&lt;20,"LOW", "VALUE IN RANGE")))</f>
        <v>LOW</v>
      </c>
    </row>
    <row r="127" spans="3:8" x14ac:dyDescent="0.25">
      <c r="C127" s="13"/>
      <c r="D127" s="4" t="s">
        <v>1479</v>
      </c>
      <c r="E127" s="1" t="s">
        <v>27</v>
      </c>
      <c r="F127" s="5">
        <v>308</v>
      </c>
      <c r="G127" s="3">
        <f t="shared" si="57"/>
        <v>308</v>
      </c>
      <c r="H127" s="14" t="str">
        <f t="shared" ref="H127" si="120">IF(NOT(ISNUMBER(VALUE(G127))), "NA",IF(VALUE(G127)&gt;380,"HIGH",IF(VALUE(G127)&lt;300,"LOW", "VALUE IN RANGE")))</f>
        <v>VALUE IN RANGE</v>
      </c>
    </row>
    <row r="128" spans="3:8" x14ac:dyDescent="0.25">
      <c r="C128" s="13"/>
      <c r="D128" s="4" t="s">
        <v>1479</v>
      </c>
      <c r="E128" s="4" t="s">
        <v>1327</v>
      </c>
      <c r="F128" s="3">
        <v>14.6</v>
      </c>
      <c r="G128" s="3">
        <f t="shared" si="57"/>
        <v>14.6</v>
      </c>
      <c r="H128" s="14" t="str">
        <f t="shared" ref="H128" si="121">IF(NOT(ISNUMBER(VALUE(G128))), "NA",IF(VALUE(G128)&gt;15.5,"HIGH",IF(VALUE(G128)&lt;11,"LOW", "VALUE IN RANGE")))</f>
        <v>VALUE IN RANGE</v>
      </c>
    </row>
    <row r="129" spans="3:8" x14ac:dyDescent="0.25">
      <c r="C129" s="13"/>
      <c r="D129" s="4" t="s">
        <v>1479</v>
      </c>
      <c r="E129" s="1" t="s">
        <v>31</v>
      </c>
      <c r="F129" s="5">
        <v>171</v>
      </c>
      <c r="G129" s="3">
        <f t="shared" si="57"/>
        <v>171</v>
      </c>
      <c r="H129" s="14" t="str">
        <f t="shared" ref="H129" si="122">IF(NOT(ISNUMBER(VALUE(G129))), "NA",IF(VALUE(G129)&gt;460,"HIGH",IF(VALUE(G129)&lt;117,"LOW", "VALUE IN RANGE")))</f>
        <v>VALUE IN RANGE</v>
      </c>
    </row>
    <row r="130" spans="3:8" x14ac:dyDescent="0.25">
      <c r="C130" s="13"/>
      <c r="D130" s="4" t="s">
        <v>1479</v>
      </c>
      <c r="E130" s="4" t="s">
        <v>1328</v>
      </c>
      <c r="F130" s="3">
        <v>9.4</v>
      </c>
      <c r="G130" s="3">
        <f t="shared" si="57"/>
        <v>9.4</v>
      </c>
      <c r="H130" s="14" t="str">
        <f t="shared" ref="H130" si="123">IF(NOT(ISNUMBER(VALUE(G130))), "NA",IF(VALUE(G130)&gt;12,"HIGH",IF(VALUE(G130)&lt;7,"LOW", "VALUE IN RANGE")))</f>
        <v>VALUE IN RANGE</v>
      </c>
    </row>
    <row r="131" spans="3:8" x14ac:dyDescent="0.25">
      <c r="C131" s="13" t="str">
        <f t="shared" ref="C131" si="124">IF(D131=D146,D145,"falso")</f>
        <v>PATIENT_0009</v>
      </c>
      <c r="D131" s="4" t="s">
        <v>1480</v>
      </c>
      <c r="E131" s="1" t="s">
        <v>1329</v>
      </c>
      <c r="F131" s="5">
        <v>3.8</v>
      </c>
      <c r="G131" s="3">
        <f t="shared" si="57"/>
        <v>3.8</v>
      </c>
      <c r="H131" s="14" t="str">
        <f t="shared" ref="H131" si="125">IF(NOT(ISNUMBER(VALUE(G131))), "NA",IF(VALUE(G131)&gt;17,"HIGH",IF(VALUE(G131)&lt;6,"LOW", "VALUE IN RANGE")))</f>
        <v>LOW</v>
      </c>
    </row>
    <row r="132" spans="3:8" x14ac:dyDescent="0.25">
      <c r="C132" s="13"/>
      <c r="D132" s="4" t="s">
        <v>1480</v>
      </c>
      <c r="E132" s="4" t="s">
        <v>1330</v>
      </c>
      <c r="F132" s="3">
        <v>30.8</v>
      </c>
      <c r="G132" s="3">
        <f t="shared" ref="G132:G195" si="126">IFERROR(
   VALUE(
      SUBSTITUTE(
         CLEAN(
            TRIM(F132)
         ),
         ".",
         ","
      )
   ),
   ""
)</f>
        <v>30.8</v>
      </c>
      <c r="H132" s="14" t="str">
        <f t="shared" ref="H132" si="127">IF(NOT(ISNUMBER(VALUE(G132))), "NA",IF(VALUE(G132)&gt;30,"HIGH",IF(VALUE(G132)&lt;12,"LOW", "VALUE IN RANGE")))</f>
        <v>HIGH</v>
      </c>
    </row>
    <row r="133" spans="3:8" x14ac:dyDescent="0.25">
      <c r="C133" s="13"/>
      <c r="D133" s="4" t="s">
        <v>1480</v>
      </c>
      <c r="E133" s="1" t="s">
        <v>1318</v>
      </c>
      <c r="F133" s="5">
        <v>6</v>
      </c>
      <c r="G133" s="3">
        <f t="shared" si="126"/>
        <v>6</v>
      </c>
      <c r="H133" s="14" t="str">
        <f t="shared" ref="H133" si="128">IF(NOT(ISNUMBER(VALUE(G133))), "NA",IF(VALUE(G133)&gt;9,"HIGH",IF(VALUE(G133)&lt;2,"LOW", "VALUE IN RANGE")))</f>
        <v>VALUE IN RANGE</v>
      </c>
    </row>
    <row r="134" spans="3:8" x14ac:dyDescent="0.25">
      <c r="C134" s="13"/>
      <c r="D134" s="4" t="s">
        <v>1480</v>
      </c>
      <c r="E134" s="4" t="s">
        <v>1331</v>
      </c>
      <c r="F134" s="3">
        <v>63.2</v>
      </c>
      <c r="G134" s="3">
        <f t="shared" si="126"/>
        <v>63.2</v>
      </c>
      <c r="H134" s="14" t="str">
        <f t="shared" ref="H134" si="129">IF(NOT(ISNUMBER(VALUE(G134))), "NA",IF(VALUE(G134)&gt;83,"HIGH",IF(VALUE(G134)&lt;60,"LOW", "VALUE IN RANGE")))</f>
        <v>VALUE IN RANGE</v>
      </c>
    </row>
    <row r="135" spans="3:8" x14ac:dyDescent="0.25">
      <c r="C135" s="13"/>
      <c r="D135" s="4" t="s">
        <v>1480</v>
      </c>
      <c r="E135" s="1" t="s">
        <v>1332</v>
      </c>
      <c r="F135" s="5">
        <v>1100</v>
      </c>
      <c r="G135" s="3">
        <f t="shared" si="126"/>
        <v>1100</v>
      </c>
      <c r="H135" s="14" t="str">
        <f t="shared" ref="H135" si="130">IF(NOT(ISNUMBER(VALUE(G135))), "NA",IF(VALUE(G135)&gt;5.1,"HIGH",IF(VALUE(G135)&lt;0.8,"LOW", "VALUE IN RANGE")))</f>
        <v>HIGH</v>
      </c>
    </row>
    <row r="136" spans="3:8" x14ac:dyDescent="0.25">
      <c r="C136" s="13"/>
      <c r="D136" s="4" t="s">
        <v>1480</v>
      </c>
      <c r="E136" s="4" t="s">
        <v>1333</v>
      </c>
      <c r="F136" s="3">
        <v>0.2</v>
      </c>
      <c r="G136" s="3">
        <f t="shared" si="126"/>
        <v>0.2</v>
      </c>
      <c r="H136" s="14" t="str">
        <f t="shared" ref="H136" si="131">IF(NOT(ISNUMBER(VALUE(G136))), "NA",IF(VALUE(G136)&gt;1.8,"HIGH",IF(VALUE(G136)&lt;0,"LOW", "VALUE IN RANGE")))</f>
        <v>VALUE IN RANGE</v>
      </c>
    </row>
    <row r="137" spans="3:8" x14ac:dyDescent="0.25">
      <c r="C137" s="13"/>
      <c r="D137" s="4" t="s">
        <v>1480</v>
      </c>
      <c r="E137" s="1" t="s">
        <v>1334</v>
      </c>
      <c r="F137" s="5">
        <v>2500</v>
      </c>
      <c r="G137" s="3">
        <f t="shared" si="126"/>
        <v>2500</v>
      </c>
      <c r="H137" s="14" t="str">
        <f t="shared" ref="H137" si="132">IF(NOT(ISNUMBER(VALUE(G137))), "NA",IF(VALUE(G137)&gt;12.6,"HIGH",IF(VALUE(G137)&lt;4,"LOW", "VALUE IN RANGE")))</f>
        <v>HIGH</v>
      </c>
    </row>
    <row r="138" spans="3:8" x14ac:dyDescent="0.25">
      <c r="C138" s="13"/>
      <c r="D138" s="4" t="s">
        <v>1480</v>
      </c>
      <c r="E138" s="4" t="s">
        <v>1335</v>
      </c>
      <c r="F138" s="3">
        <v>6.87</v>
      </c>
      <c r="G138" s="3">
        <f t="shared" si="126"/>
        <v>6.87</v>
      </c>
      <c r="H138" s="14" t="str">
        <f t="shared" ref="H138" si="133">IF(NOT(ISNUMBER(VALUE(G138))), "NA",IF(VALUE(G138)&gt;8.5,"HIGH",IF(VALUE(G138)&lt;5.5,"LOW", "VALUE IN RANGE")))</f>
        <v>VALUE IN RANGE</v>
      </c>
    </row>
    <row r="139" spans="3:8" x14ac:dyDescent="0.25">
      <c r="C139" s="13"/>
      <c r="D139" s="4" t="s">
        <v>1480</v>
      </c>
      <c r="E139" s="1" t="s">
        <v>148</v>
      </c>
      <c r="F139" s="5">
        <v>98</v>
      </c>
      <c r="G139" s="3">
        <f t="shared" si="126"/>
        <v>98</v>
      </c>
      <c r="H139" s="14" t="str">
        <f t="shared" ref="H139" si="134">IF(NOT(ISNUMBER(VALUE(G139))), "NA",IF(VALUE(G139)&gt;190,"HIGH",IF(VALUE(G139)&lt;110,"LOW", "VALUE IN RANGE")))</f>
        <v>LOW</v>
      </c>
    </row>
    <row r="140" spans="3:8" x14ac:dyDescent="0.25">
      <c r="C140" s="13"/>
      <c r="D140" s="4" t="s">
        <v>1480</v>
      </c>
      <c r="E140" s="4" t="s">
        <v>1336</v>
      </c>
      <c r="F140" s="3">
        <v>34.9</v>
      </c>
      <c r="G140" s="3">
        <f t="shared" si="126"/>
        <v>34.9</v>
      </c>
      <c r="H140" s="14" t="str">
        <f t="shared" ref="H140" si="135">IF(NOT(ISNUMBER(VALUE(G140))), "NA",IF(VALUE(G140)&gt;56,"HIGH",IF(VALUE(G140)&lt;39,"LOW", "VALUE IN RANGE")))</f>
        <v>LOW</v>
      </c>
    </row>
    <row r="141" spans="3:8" x14ac:dyDescent="0.25">
      <c r="C141" s="13"/>
      <c r="D141" s="4" t="s">
        <v>1480</v>
      </c>
      <c r="E141" s="1" t="s">
        <v>1337</v>
      </c>
      <c r="F141" s="5">
        <v>50.9</v>
      </c>
      <c r="G141" s="3">
        <f t="shared" si="126"/>
        <v>50.9</v>
      </c>
      <c r="H141" s="14" t="str">
        <f t="shared" ref="H141" si="136">IF(NOT(ISNUMBER(VALUE(G141))), "NA",IF(VALUE(G141)&gt;72,"HIGH",IF(VALUE(G141)&lt;62,"LOW", "VALUE IN RANGE")))</f>
        <v>LOW</v>
      </c>
    </row>
    <row r="142" spans="3:8" x14ac:dyDescent="0.25">
      <c r="C142" s="13"/>
      <c r="D142" s="4" t="s">
        <v>1480</v>
      </c>
      <c r="E142" s="4" t="s">
        <v>1338</v>
      </c>
      <c r="F142" s="3">
        <v>14.2</v>
      </c>
      <c r="G142" s="3">
        <f t="shared" si="126"/>
        <v>14.2</v>
      </c>
      <c r="H142" s="14" t="str">
        <f t="shared" ref="H142" si="137">IF(NOT(ISNUMBER(VALUE(G142))), "NA",IF(VALUE(G142)&gt;25,"HIGH",IF(VALUE(G142)&lt;20,"LOW", "VALUE IN RANGE")))</f>
        <v>LOW</v>
      </c>
    </row>
    <row r="143" spans="3:8" x14ac:dyDescent="0.25">
      <c r="C143" s="13"/>
      <c r="D143" s="4" t="s">
        <v>1480</v>
      </c>
      <c r="E143" s="1" t="s">
        <v>27</v>
      </c>
      <c r="F143" s="5">
        <v>280</v>
      </c>
      <c r="G143" s="3">
        <f t="shared" si="126"/>
        <v>280</v>
      </c>
      <c r="H143" s="14" t="str">
        <f t="shared" ref="H143" si="138">IF(NOT(ISNUMBER(VALUE(G143))), "NA",IF(VALUE(G143)&gt;380,"HIGH",IF(VALUE(G143)&lt;300,"LOW", "VALUE IN RANGE")))</f>
        <v>LOW</v>
      </c>
    </row>
    <row r="144" spans="3:8" x14ac:dyDescent="0.25">
      <c r="C144" s="13"/>
      <c r="D144" s="4" t="s">
        <v>1480</v>
      </c>
      <c r="E144" s="4" t="s">
        <v>1339</v>
      </c>
      <c r="F144" s="3">
        <v>18</v>
      </c>
      <c r="G144" s="3">
        <f t="shared" si="126"/>
        <v>18</v>
      </c>
      <c r="H144" s="14" t="str">
        <f t="shared" ref="H144" si="139">IF(NOT(ISNUMBER(VALUE(G144))), "NA",IF(VALUE(G144)&gt;15.5,"HIGH",IF(VALUE(G144)&lt;11,"LOW", "VALUE IN RANGE")))</f>
        <v>HIGH</v>
      </c>
    </row>
    <row r="145" spans="3:8" x14ac:dyDescent="0.25">
      <c r="C145" s="13"/>
      <c r="D145" s="4" t="s">
        <v>1480</v>
      </c>
      <c r="E145" s="1" t="s">
        <v>159</v>
      </c>
      <c r="F145" s="5">
        <v>282</v>
      </c>
      <c r="G145" s="3">
        <f t="shared" si="126"/>
        <v>282</v>
      </c>
      <c r="H145" s="14" t="str">
        <f t="shared" ref="H145" si="140">IF(NOT(ISNUMBER(VALUE(G145))), "NA",IF(VALUE(G145)&gt;460,"HIGH",IF(VALUE(G145)&lt;117,"LOW", "VALUE IN RANGE")))</f>
        <v>VALUE IN RANGE</v>
      </c>
    </row>
    <row r="146" spans="3:8" x14ac:dyDescent="0.25">
      <c r="C146" s="13"/>
      <c r="D146" s="4" t="s">
        <v>1480</v>
      </c>
      <c r="E146" s="4" t="s">
        <v>1340</v>
      </c>
      <c r="F146" s="3">
        <v>10.9</v>
      </c>
      <c r="G146" s="3">
        <f t="shared" si="126"/>
        <v>10.9</v>
      </c>
      <c r="H146" s="14" t="str">
        <f t="shared" ref="H146" si="141">IF(NOT(ISNUMBER(VALUE(G146))), "NA",IF(VALUE(G146)&gt;12,"HIGH",IF(VALUE(G146)&lt;7,"LOW", "VALUE IN RANGE")))</f>
        <v>VALUE IN RANGE</v>
      </c>
    </row>
    <row r="147" spans="3:8" x14ac:dyDescent="0.25">
      <c r="C147" s="13" t="str">
        <f t="shared" ref="C147" si="142">IF(D147=D162,D161,"falso")</f>
        <v>PATIENT_0010</v>
      </c>
      <c r="D147" s="4" t="s">
        <v>1481</v>
      </c>
      <c r="E147" s="1" t="s">
        <v>1316</v>
      </c>
      <c r="F147" s="5">
        <v>9.6</v>
      </c>
      <c r="G147" s="3">
        <f t="shared" si="126"/>
        <v>9.6</v>
      </c>
      <c r="H147" s="14" t="str">
        <f t="shared" ref="H147" si="143">IF(NOT(ISNUMBER(VALUE(G147))), "NA",IF(VALUE(G147)&gt;17,"HIGH",IF(VALUE(G147)&lt;6,"LOW", "VALUE IN RANGE")))</f>
        <v>VALUE IN RANGE</v>
      </c>
    </row>
    <row r="148" spans="3:8" x14ac:dyDescent="0.25">
      <c r="C148" s="13"/>
      <c r="D148" s="4" t="s">
        <v>1481</v>
      </c>
      <c r="E148" s="4" t="s">
        <v>1317</v>
      </c>
      <c r="F148" s="3">
        <v>3.4</v>
      </c>
      <c r="G148" s="3">
        <f t="shared" si="126"/>
        <v>3.4</v>
      </c>
      <c r="H148" s="14" t="str">
        <f t="shared" ref="H148" si="144">IF(NOT(ISNUMBER(VALUE(G148))), "NA",IF(VALUE(G148)&gt;30,"HIGH",IF(VALUE(G148)&lt;12,"LOW", "VALUE IN RANGE")))</f>
        <v>LOW</v>
      </c>
    </row>
    <row r="149" spans="3:8" x14ac:dyDescent="0.25">
      <c r="C149" s="13"/>
      <c r="D149" s="4" t="s">
        <v>1481</v>
      </c>
      <c r="E149" s="1" t="s">
        <v>1318</v>
      </c>
      <c r="F149" s="5">
        <v>4.5999999999999996</v>
      </c>
      <c r="G149" s="3">
        <f t="shared" si="126"/>
        <v>4.5999999999999996</v>
      </c>
      <c r="H149" s="14" t="str">
        <f t="shared" ref="H149" si="145">IF(NOT(ISNUMBER(VALUE(G149))), "NA",IF(VALUE(G149)&gt;9,"HIGH",IF(VALUE(G149)&lt;2,"LOW", "VALUE IN RANGE")))</f>
        <v>VALUE IN RANGE</v>
      </c>
    </row>
    <row r="150" spans="3:8" x14ac:dyDescent="0.25">
      <c r="C150" s="13"/>
      <c r="D150" s="4" t="s">
        <v>1481</v>
      </c>
      <c r="E150" s="4" t="s">
        <v>1319</v>
      </c>
      <c r="F150" s="3">
        <v>92</v>
      </c>
      <c r="G150" s="3">
        <f t="shared" si="126"/>
        <v>92</v>
      </c>
      <c r="H150" s="14" t="str">
        <f t="shared" ref="H150" si="146">IF(NOT(ISNUMBER(VALUE(G150))), "NA",IF(VALUE(G150)&gt;83,"HIGH",IF(VALUE(G150)&lt;60,"LOW", "VALUE IN RANGE")))</f>
        <v>HIGH</v>
      </c>
    </row>
    <row r="151" spans="3:8" x14ac:dyDescent="0.25">
      <c r="C151" s="13"/>
      <c r="D151" s="4" t="s">
        <v>1481</v>
      </c>
      <c r="E151" s="1" t="s">
        <v>1320</v>
      </c>
      <c r="F151" s="5">
        <v>0.3</v>
      </c>
      <c r="G151" s="3">
        <f t="shared" si="126"/>
        <v>0.3</v>
      </c>
      <c r="H151" s="14" t="str">
        <f t="shared" ref="H151" si="147">IF(NOT(ISNUMBER(VALUE(G151))), "NA",IF(VALUE(G151)&gt;5.1,"HIGH",IF(VALUE(G151)&lt;0.8,"LOW", "VALUE IN RANGE")))</f>
        <v>LOW</v>
      </c>
    </row>
    <row r="152" spans="3:8" x14ac:dyDescent="0.25">
      <c r="C152" s="13"/>
      <c r="D152" s="4" t="s">
        <v>1481</v>
      </c>
      <c r="E152" s="4" t="s">
        <v>1321</v>
      </c>
      <c r="F152" s="3">
        <v>0.4</v>
      </c>
      <c r="G152" s="3">
        <f t="shared" si="126"/>
        <v>0.4</v>
      </c>
      <c r="H152" s="14" t="str">
        <f t="shared" ref="H152" si="148">IF(NOT(ISNUMBER(VALUE(G152))), "NA",IF(VALUE(G152)&gt;1.8,"HIGH",IF(VALUE(G152)&lt;0,"LOW", "VALUE IN RANGE")))</f>
        <v>VALUE IN RANGE</v>
      </c>
    </row>
    <row r="153" spans="3:8" x14ac:dyDescent="0.25">
      <c r="C153" s="13"/>
      <c r="D153" s="4" t="s">
        <v>1481</v>
      </c>
      <c r="E153" s="1" t="s">
        <v>1322</v>
      </c>
      <c r="F153" s="5">
        <v>8900</v>
      </c>
      <c r="G153" s="3">
        <f t="shared" si="126"/>
        <v>8900</v>
      </c>
      <c r="H153" s="14" t="str">
        <f t="shared" ref="H153" si="149">IF(NOT(ISNUMBER(VALUE(G153))), "NA",IF(VALUE(G153)&gt;12.6,"HIGH",IF(VALUE(G153)&lt;4,"LOW", "VALUE IN RANGE")))</f>
        <v>HIGH</v>
      </c>
    </row>
    <row r="154" spans="3:8" x14ac:dyDescent="0.25">
      <c r="C154" s="13"/>
      <c r="D154" s="4" t="s">
        <v>1481</v>
      </c>
      <c r="E154" s="4" t="s">
        <v>1323</v>
      </c>
      <c r="F154" s="3">
        <v>7.3</v>
      </c>
      <c r="G154" s="3">
        <f t="shared" si="126"/>
        <v>7.3</v>
      </c>
      <c r="H154" s="14" t="str">
        <f t="shared" ref="H154" si="150">IF(NOT(ISNUMBER(VALUE(G154))), "NA",IF(VALUE(G154)&gt;8.5,"HIGH",IF(VALUE(G154)&lt;5.5,"LOW", "VALUE IN RANGE")))</f>
        <v>VALUE IN RANGE</v>
      </c>
    </row>
    <row r="155" spans="3:8" x14ac:dyDescent="0.25">
      <c r="C155" s="13"/>
      <c r="D155" s="4" t="s">
        <v>1481</v>
      </c>
      <c r="E155" s="1" t="s">
        <v>19</v>
      </c>
      <c r="F155" s="5">
        <v>165</v>
      </c>
      <c r="G155" s="3">
        <f t="shared" si="126"/>
        <v>165</v>
      </c>
      <c r="H155" s="14" t="str">
        <f t="shared" ref="H155" si="151">IF(NOT(ISNUMBER(VALUE(G155))), "NA",IF(VALUE(G155)&gt;190,"HIGH",IF(VALUE(G155)&lt;110,"LOW", "VALUE IN RANGE")))</f>
        <v>VALUE IN RANGE</v>
      </c>
    </row>
    <row r="156" spans="3:8" x14ac:dyDescent="0.25">
      <c r="C156" s="13"/>
      <c r="D156" s="4" t="s">
        <v>1481</v>
      </c>
      <c r="E156" s="4" t="s">
        <v>1324</v>
      </c>
      <c r="F156" s="3">
        <v>51.6</v>
      </c>
      <c r="G156" s="3">
        <f t="shared" si="126"/>
        <v>51.6</v>
      </c>
      <c r="H156" s="14" t="str">
        <f t="shared" ref="H156" si="152">IF(NOT(ISNUMBER(VALUE(G156))), "NA",IF(VALUE(G156)&gt;56,"HIGH",IF(VALUE(G156)&lt;39,"LOW", "VALUE IN RANGE")))</f>
        <v>VALUE IN RANGE</v>
      </c>
    </row>
    <row r="157" spans="3:8" x14ac:dyDescent="0.25">
      <c r="C157" s="13"/>
      <c r="D157" s="4" t="s">
        <v>1481</v>
      </c>
      <c r="E157" s="1" t="s">
        <v>1325</v>
      </c>
      <c r="F157" s="5">
        <v>70.7</v>
      </c>
      <c r="G157" s="3">
        <f t="shared" si="126"/>
        <v>70.7</v>
      </c>
      <c r="H157" s="14" t="str">
        <f t="shared" ref="H157" si="153">IF(NOT(ISNUMBER(VALUE(G157))), "NA",IF(VALUE(G157)&gt;72,"HIGH",IF(VALUE(G157)&lt;62,"LOW", "VALUE IN RANGE")))</f>
        <v>VALUE IN RANGE</v>
      </c>
    </row>
    <row r="158" spans="3:8" x14ac:dyDescent="0.25">
      <c r="C158" s="13"/>
      <c r="D158" s="4" t="s">
        <v>1481</v>
      </c>
      <c r="E158" s="4" t="s">
        <v>1326</v>
      </c>
      <c r="F158" s="3">
        <v>22.6</v>
      </c>
      <c r="G158" s="3">
        <f t="shared" si="126"/>
        <v>22.6</v>
      </c>
      <c r="H158" s="14" t="str">
        <f t="shared" ref="H158" si="154">IF(NOT(ISNUMBER(VALUE(G158))), "NA",IF(VALUE(G158)&gt;25,"HIGH",IF(VALUE(G158)&lt;20,"LOW", "VALUE IN RANGE")))</f>
        <v>VALUE IN RANGE</v>
      </c>
    </row>
    <row r="159" spans="3:8" x14ac:dyDescent="0.25">
      <c r="C159" s="13"/>
      <c r="D159" s="4" t="s">
        <v>1481</v>
      </c>
      <c r="E159" s="1" t="s">
        <v>27</v>
      </c>
      <c r="F159" s="5">
        <v>319</v>
      </c>
      <c r="G159" s="3">
        <f t="shared" si="126"/>
        <v>319</v>
      </c>
      <c r="H159" s="14" t="str">
        <f t="shared" ref="H159" si="155">IF(NOT(ISNUMBER(VALUE(G159))), "NA",IF(VALUE(G159)&gt;380,"HIGH",IF(VALUE(G159)&lt;300,"LOW", "VALUE IN RANGE")))</f>
        <v>VALUE IN RANGE</v>
      </c>
    </row>
    <row r="160" spans="3:8" x14ac:dyDescent="0.25">
      <c r="C160" s="13"/>
      <c r="D160" s="4" t="s">
        <v>1481</v>
      </c>
      <c r="E160" s="4" t="s">
        <v>1327</v>
      </c>
      <c r="F160" s="3">
        <v>12.5</v>
      </c>
      <c r="G160" s="3">
        <f t="shared" si="126"/>
        <v>12.5</v>
      </c>
      <c r="H160" s="14" t="str">
        <f t="shared" ref="H160" si="156">IF(NOT(ISNUMBER(VALUE(G160))), "NA",IF(VALUE(G160)&gt;15.5,"HIGH",IF(VALUE(G160)&lt;11,"LOW", "VALUE IN RANGE")))</f>
        <v>VALUE IN RANGE</v>
      </c>
    </row>
    <row r="161" spans="3:8" x14ac:dyDescent="0.25">
      <c r="C161" s="13"/>
      <c r="D161" s="4" t="s">
        <v>1481</v>
      </c>
      <c r="E161" s="1" t="s">
        <v>31</v>
      </c>
      <c r="F161" s="5">
        <v>262</v>
      </c>
      <c r="G161" s="3">
        <f t="shared" si="126"/>
        <v>262</v>
      </c>
      <c r="H161" s="14" t="str">
        <f t="shared" ref="H161" si="157">IF(NOT(ISNUMBER(VALUE(G161))), "NA",IF(VALUE(G161)&gt;460,"HIGH",IF(VALUE(G161)&lt;117,"LOW", "VALUE IN RANGE")))</f>
        <v>VALUE IN RANGE</v>
      </c>
    </row>
    <row r="162" spans="3:8" x14ac:dyDescent="0.25">
      <c r="C162" s="13"/>
      <c r="D162" s="4" t="s">
        <v>1481</v>
      </c>
      <c r="E162" s="4" t="s">
        <v>1328</v>
      </c>
      <c r="F162" s="3">
        <v>8.5</v>
      </c>
      <c r="G162" s="3">
        <f t="shared" si="126"/>
        <v>8.5</v>
      </c>
      <c r="H162" s="14" t="str">
        <f t="shared" ref="H162" si="158">IF(NOT(ISNUMBER(VALUE(G162))), "NA",IF(VALUE(G162)&gt;12,"HIGH",IF(VALUE(G162)&lt;7,"LOW", "VALUE IN RANGE")))</f>
        <v>VALUE IN RANGE</v>
      </c>
    </row>
    <row r="163" spans="3:8" x14ac:dyDescent="0.25">
      <c r="C163" s="13" t="str">
        <f t="shared" ref="C163" si="159">IF(D163=D178,D177,"falso")</f>
        <v>PATIENT_0011</v>
      </c>
      <c r="D163" s="4" t="s">
        <v>1482</v>
      </c>
      <c r="E163" s="1" t="s">
        <v>1316</v>
      </c>
      <c r="F163" s="5">
        <v>13.8</v>
      </c>
      <c r="G163" s="3">
        <f t="shared" si="126"/>
        <v>13.8</v>
      </c>
      <c r="H163" s="14" t="str">
        <f t="shared" ref="H163" si="160">IF(NOT(ISNUMBER(VALUE(G163))), "NA",IF(VALUE(G163)&gt;17,"HIGH",IF(VALUE(G163)&lt;6,"LOW", "VALUE IN RANGE")))</f>
        <v>VALUE IN RANGE</v>
      </c>
    </row>
    <row r="164" spans="3:8" x14ac:dyDescent="0.25">
      <c r="C164" s="13"/>
      <c r="D164" s="4" t="s">
        <v>1482</v>
      </c>
      <c r="E164" s="4" t="s">
        <v>1317</v>
      </c>
      <c r="F164" s="3">
        <v>10.6</v>
      </c>
      <c r="G164" s="3">
        <f t="shared" si="126"/>
        <v>10.6</v>
      </c>
      <c r="H164" s="14" t="str">
        <f t="shared" ref="H164" si="161">IF(NOT(ISNUMBER(VALUE(G164))), "NA",IF(VALUE(G164)&gt;30,"HIGH",IF(VALUE(G164)&lt;12,"LOW", "VALUE IN RANGE")))</f>
        <v>LOW</v>
      </c>
    </row>
    <row r="165" spans="3:8" x14ac:dyDescent="0.25">
      <c r="C165" s="13"/>
      <c r="D165" s="4" t="s">
        <v>1482</v>
      </c>
      <c r="E165" s="1" t="s">
        <v>1318</v>
      </c>
      <c r="F165" s="5">
        <v>8</v>
      </c>
      <c r="G165" s="3">
        <f t="shared" si="126"/>
        <v>8</v>
      </c>
      <c r="H165" s="14" t="str">
        <f t="shared" ref="H165" si="162">IF(NOT(ISNUMBER(VALUE(G165))), "NA",IF(VALUE(G165)&gt;9,"HIGH",IF(VALUE(G165)&lt;2,"LOW", "VALUE IN RANGE")))</f>
        <v>VALUE IN RANGE</v>
      </c>
    </row>
    <row r="166" spans="3:8" x14ac:dyDescent="0.25">
      <c r="C166" s="13"/>
      <c r="D166" s="4" t="s">
        <v>1482</v>
      </c>
      <c r="E166" s="4" t="s">
        <v>1319</v>
      </c>
      <c r="F166" s="3">
        <v>81.400000000000006</v>
      </c>
      <c r="G166" s="3">
        <f t="shared" si="126"/>
        <v>81.400000000000006</v>
      </c>
      <c r="H166" s="14" t="str">
        <f t="shared" ref="H166" si="163">IF(NOT(ISNUMBER(VALUE(G166))), "NA",IF(VALUE(G166)&gt;83,"HIGH",IF(VALUE(G166)&lt;60,"LOW", "VALUE IN RANGE")))</f>
        <v>VALUE IN RANGE</v>
      </c>
    </row>
    <row r="167" spans="3:8" x14ac:dyDescent="0.25">
      <c r="C167" s="13"/>
      <c r="D167" s="4" t="s">
        <v>1482</v>
      </c>
      <c r="E167" s="1" t="s">
        <v>1320</v>
      </c>
      <c r="F167" s="5">
        <v>1400</v>
      </c>
      <c r="G167" s="3">
        <f t="shared" si="126"/>
        <v>1400</v>
      </c>
      <c r="H167" s="14" t="str">
        <f t="shared" ref="H167" si="164">IF(NOT(ISNUMBER(VALUE(G167))), "NA",IF(VALUE(G167)&gt;5.1,"HIGH",IF(VALUE(G167)&lt;0.8,"LOW", "VALUE IN RANGE")))</f>
        <v>HIGH</v>
      </c>
    </row>
    <row r="168" spans="3:8" x14ac:dyDescent="0.25">
      <c r="C168" s="13"/>
      <c r="D168" s="4" t="s">
        <v>1482</v>
      </c>
      <c r="E168" s="4" t="s">
        <v>1321</v>
      </c>
      <c r="F168" s="3">
        <v>1100</v>
      </c>
      <c r="G168" s="3">
        <f t="shared" si="126"/>
        <v>1100</v>
      </c>
      <c r="H168" s="14" t="str">
        <f t="shared" ref="H168" si="165">IF(NOT(ISNUMBER(VALUE(G168))), "NA",IF(VALUE(G168)&gt;1.8,"HIGH",IF(VALUE(G168)&lt;0,"LOW", "VALUE IN RANGE")))</f>
        <v>HIGH</v>
      </c>
    </row>
    <row r="169" spans="3:8" x14ac:dyDescent="0.25">
      <c r="C169" s="13"/>
      <c r="D169" s="4" t="s">
        <v>1482</v>
      </c>
      <c r="E169" s="1" t="s">
        <v>1322</v>
      </c>
      <c r="F169" s="5">
        <v>11300</v>
      </c>
      <c r="G169" s="3">
        <f t="shared" si="126"/>
        <v>11300</v>
      </c>
      <c r="H169" s="14" t="str">
        <f t="shared" ref="H169" si="166">IF(NOT(ISNUMBER(VALUE(G169))), "NA",IF(VALUE(G169)&gt;12.6,"HIGH",IF(VALUE(G169)&lt;4,"LOW", "VALUE IN RANGE")))</f>
        <v>HIGH</v>
      </c>
    </row>
    <row r="170" spans="3:8" x14ac:dyDescent="0.25">
      <c r="C170" s="13"/>
      <c r="D170" s="4" t="s">
        <v>1482</v>
      </c>
      <c r="E170" s="4" t="s">
        <v>1323</v>
      </c>
      <c r="F170" s="3">
        <v>8.24</v>
      </c>
      <c r="G170" s="3">
        <f t="shared" si="126"/>
        <v>8.24</v>
      </c>
      <c r="H170" s="14" t="str">
        <f t="shared" ref="H170" si="167">IF(NOT(ISNUMBER(VALUE(G170))), "NA",IF(VALUE(G170)&gt;8.5,"HIGH",IF(VALUE(G170)&lt;5.5,"LOW", "VALUE IN RANGE")))</f>
        <v>VALUE IN RANGE</v>
      </c>
    </row>
    <row r="171" spans="3:8" x14ac:dyDescent="0.25">
      <c r="C171" s="13"/>
      <c r="D171" s="4" t="s">
        <v>1482</v>
      </c>
      <c r="E171" s="1" t="s">
        <v>19</v>
      </c>
      <c r="F171" s="5">
        <v>165</v>
      </c>
      <c r="G171" s="3">
        <f t="shared" si="126"/>
        <v>165</v>
      </c>
      <c r="H171" s="14" t="str">
        <f t="shared" ref="H171" si="168">IF(NOT(ISNUMBER(VALUE(G171))), "NA",IF(VALUE(G171)&gt;190,"HIGH",IF(VALUE(G171)&lt;110,"LOW", "VALUE IN RANGE")))</f>
        <v>VALUE IN RANGE</v>
      </c>
    </row>
    <row r="172" spans="3:8" x14ac:dyDescent="0.25">
      <c r="C172" s="13"/>
      <c r="D172" s="4" t="s">
        <v>1482</v>
      </c>
      <c r="E172" s="4" t="s">
        <v>1324</v>
      </c>
      <c r="F172" s="3">
        <v>53.2</v>
      </c>
      <c r="G172" s="3">
        <f t="shared" si="126"/>
        <v>53.2</v>
      </c>
      <c r="H172" s="14" t="str">
        <f t="shared" ref="H172" si="169">IF(NOT(ISNUMBER(VALUE(G172))), "NA",IF(VALUE(G172)&gt;56,"HIGH",IF(VALUE(G172)&lt;39,"LOW", "VALUE IN RANGE")))</f>
        <v>VALUE IN RANGE</v>
      </c>
    </row>
    <row r="173" spans="3:8" x14ac:dyDescent="0.25">
      <c r="C173" s="13"/>
      <c r="D173" s="4" t="s">
        <v>1482</v>
      </c>
      <c r="E173" s="1" t="s">
        <v>1325</v>
      </c>
      <c r="F173" s="5">
        <v>64.599999999999994</v>
      </c>
      <c r="G173" s="3">
        <f t="shared" si="126"/>
        <v>64.599999999999994</v>
      </c>
      <c r="H173" s="14" t="str">
        <f t="shared" ref="H173" si="170">IF(NOT(ISNUMBER(VALUE(G173))), "NA",IF(VALUE(G173)&gt;72,"HIGH",IF(VALUE(G173)&lt;62,"LOW", "VALUE IN RANGE")))</f>
        <v>VALUE IN RANGE</v>
      </c>
    </row>
    <row r="174" spans="3:8" x14ac:dyDescent="0.25">
      <c r="C174" s="13"/>
      <c r="D174" s="4" t="s">
        <v>1482</v>
      </c>
      <c r="E174" s="4" t="s">
        <v>1326</v>
      </c>
      <c r="F174" s="3">
        <v>20</v>
      </c>
      <c r="G174" s="3">
        <f t="shared" si="126"/>
        <v>20</v>
      </c>
      <c r="H174" s="14" t="str">
        <f t="shared" ref="H174" si="171">IF(NOT(ISNUMBER(VALUE(G174))), "NA",IF(VALUE(G174)&gt;25,"HIGH",IF(VALUE(G174)&lt;20,"LOW", "VALUE IN RANGE")))</f>
        <v>VALUE IN RANGE</v>
      </c>
    </row>
    <row r="175" spans="3:8" x14ac:dyDescent="0.25">
      <c r="C175" s="13"/>
      <c r="D175" s="4" t="s">
        <v>1482</v>
      </c>
      <c r="E175" s="1" t="s">
        <v>27</v>
      </c>
      <c r="F175" s="5">
        <v>310</v>
      </c>
      <c r="G175" s="3">
        <f t="shared" si="126"/>
        <v>310</v>
      </c>
      <c r="H175" s="14" t="str">
        <f t="shared" ref="H175" si="172">IF(NOT(ISNUMBER(VALUE(G175))), "NA",IF(VALUE(G175)&gt;380,"HIGH",IF(VALUE(G175)&lt;300,"LOW", "VALUE IN RANGE")))</f>
        <v>VALUE IN RANGE</v>
      </c>
    </row>
    <row r="176" spans="3:8" x14ac:dyDescent="0.25">
      <c r="C176" s="13"/>
      <c r="D176" s="4" t="s">
        <v>1482</v>
      </c>
      <c r="E176" s="4" t="s">
        <v>1327</v>
      </c>
      <c r="F176" s="3">
        <v>13</v>
      </c>
      <c r="G176" s="3">
        <f t="shared" si="126"/>
        <v>13</v>
      </c>
      <c r="H176" s="14" t="str">
        <f t="shared" ref="H176" si="173">IF(NOT(ISNUMBER(VALUE(G176))), "NA",IF(VALUE(G176)&gt;15.5,"HIGH",IF(VALUE(G176)&lt;11,"LOW", "VALUE IN RANGE")))</f>
        <v>VALUE IN RANGE</v>
      </c>
    </row>
    <row r="177" spans="3:8" x14ac:dyDescent="0.25">
      <c r="C177" s="13"/>
      <c r="D177" s="4" t="s">
        <v>1482</v>
      </c>
      <c r="E177" s="1" t="s">
        <v>31</v>
      </c>
      <c r="F177" s="5">
        <v>147</v>
      </c>
      <c r="G177" s="3">
        <f t="shared" si="126"/>
        <v>147</v>
      </c>
      <c r="H177" s="14" t="str">
        <f t="shared" ref="H177" si="174">IF(NOT(ISNUMBER(VALUE(G177))), "NA",IF(VALUE(G177)&gt;460,"HIGH",IF(VALUE(G177)&lt;117,"LOW", "VALUE IN RANGE")))</f>
        <v>VALUE IN RANGE</v>
      </c>
    </row>
    <row r="178" spans="3:8" x14ac:dyDescent="0.25">
      <c r="C178" s="13"/>
      <c r="D178" s="4" t="s">
        <v>1482</v>
      </c>
      <c r="E178" s="4" t="s">
        <v>1328</v>
      </c>
      <c r="F178" s="3">
        <v>8.6999999999999993</v>
      </c>
      <c r="G178" s="3">
        <f t="shared" si="126"/>
        <v>8.6999999999999993</v>
      </c>
      <c r="H178" s="14" t="str">
        <f t="shared" ref="H178" si="175">IF(NOT(ISNUMBER(VALUE(G178))), "NA",IF(VALUE(G178)&gt;12,"HIGH",IF(VALUE(G178)&lt;7,"LOW", "VALUE IN RANGE")))</f>
        <v>VALUE IN RANGE</v>
      </c>
    </row>
    <row r="179" spans="3:8" x14ac:dyDescent="0.25">
      <c r="C179" s="13" t="str">
        <f t="shared" ref="C179" si="176">IF(D179=D194,D193,"falso")</f>
        <v>PATIENT_0012</v>
      </c>
      <c r="D179" s="4" t="s">
        <v>1483</v>
      </c>
      <c r="E179" s="1" t="s">
        <v>1316</v>
      </c>
      <c r="F179" s="5">
        <v>5.4</v>
      </c>
      <c r="G179" s="3">
        <f t="shared" si="126"/>
        <v>5.4</v>
      </c>
      <c r="H179" s="14" t="str">
        <f t="shared" ref="H179" si="177">IF(NOT(ISNUMBER(VALUE(G179))), "NA",IF(VALUE(G179)&gt;17,"HIGH",IF(VALUE(G179)&lt;6,"LOW", "VALUE IN RANGE")))</f>
        <v>LOW</v>
      </c>
    </row>
    <row r="180" spans="3:8" x14ac:dyDescent="0.25">
      <c r="C180" s="13"/>
      <c r="D180" s="4" t="s">
        <v>1483</v>
      </c>
      <c r="E180" s="4" t="s">
        <v>1317</v>
      </c>
      <c r="F180" s="3">
        <v>17</v>
      </c>
      <c r="G180" s="3">
        <f t="shared" si="126"/>
        <v>17</v>
      </c>
      <c r="H180" s="14" t="str">
        <f t="shared" ref="H180" si="178">IF(NOT(ISNUMBER(VALUE(G180))), "NA",IF(VALUE(G180)&gt;30,"HIGH",IF(VALUE(G180)&lt;12,"LOW", "VALUE IN RANGE")))</f>
        <v>VALUE IN RANGE</v>
      </c>
    </row>
    <row r="181" spans="3:8" x14ac:dyDescent="0.25">
      <c r="C181" s="13"/>
      <c r="D181" s="4" t="s">
        <v>1483</v>
      </c>
      <c r="E181" s="1" t="s">
        <v>1318</v>
      </c>
      <c r="F181" s="5">
        <v>3.8</v>
      </c>
      <c r="G181" s="3">
        <f t="shared" si="126"/>
        <v>3.8</v>
      </c>
      <c r="H181" s="14" t="str">
        <f t="shared" ref="H181" si="179">IF(NOT(ISNUMBER(VALUE(G181))), "NA",IF(VALUE(G181)&gt;9,"HIGH",IF(VALUE(G181)&lt;2,"LOW", "VALUE IN RANGE")))</f>
        <v>VALUE IN RANGE</v>
      </c>
    </row>
    <row r="182" spans="3:8" x14ac:dyDescent="0.25">
      <c r="C182" s="13"/>
      <c r="D182" s="4" t="s">
        <v>1483</v>
      </c>
      <c r="E182" s="4" t="s">
        <v>1319</v>
      </c>
      <c r="F182" s="3">
        <v>79.2</v>
      </c>
      <c r="G182" s="3">
        <f t="shared" si="126"/>
        <v>79.2</v>
      </c>
      <c r="H182" s="14" t="str">
        <f t="shared" ref="H182" si="180">IF(NOT(ISNUMBER(VALUE(G182))), "NA",IF(VALUE(G182)&gt;83,"HIGH",IF(VALUE(G182)&lt;60,"LOW", "VALUE IN RANGE")))</f>
        <v>VALUE IN RANGE</v>
      </c>
    </row>
    <row r="183" spans="3:8" x14ac:dyDescent="0.25">
      <c r="C183" s="13"/>
      <c r="D183" s="4" t="s">
        <v>1483</v>
      </c>
      <c r="E183" s="1" t="s">
        <v>1320</v>
      </c>
      <c r="F183" s="5">
        <v>0.9</v>
      </c>
      <c r="G183" s="3">
        <f t="shared" si="126"/>
        <v>0.9</v>
      </c>
      <c r="H183" s="14" t="str">
        <f t="shared" ref="H183" si="181">IF(NOT(ISNUMBER(VALUE(G183))), "NA",IF(VALUE(G183)&gt;5.1,"HIGH",IF(VALUE(G183)&lt;0.8,"LOW", "VALUE IN RANGE")))</f>
        <v>VALUE IN RANGE</v>
      </c>
    </row>
    <row r="184" spans="3:8" x14ac:dyDescent="0.25">
      <c r="C184" s="13"/>
      <c r="D184" s="4" t="s">
        <v>1483</v>
      </c>
      <c r="E184" s="4" t="s">
        <v>1321</v>
      </c>
      <c r="F184" s="3">
        <v>0.2</v>
      </c>
      <c r="G184" s="3">
        <f t="shared" si="126"/>
        <v>0.2</v>
      </c>
      <c r="H184" s="14" t="str">
        <f t="shared" ref="H184" si="182">IF(NOT(ISNUMBER(VALUE(G184))), "NA",IF(VALUE(G184)&gt;1.8,"HIGH",IF(VALUE(G184)&lt;0,"LOW", "VALUE IN RANGE")))</f>
        <v>VALUE IN RANGE</v>
      </c>
    </row>
    <row r="185" spans="3:8" x14ac:dyDescent="0.25">
      <c r="C185" s="13"/>
      <c r="D185" s="4" t="s">
        <v>1483</v>
      </c>
      <c r="E185" s="1" t="s">
        <v>1322</v>
      </c>
      <c r="F185" s="5">
        <v>4300</v>
      </c>
      <c r="G185" s="3">
        <f t="shared" si="126"/>
        <v>4300</v>
      </c>
      <c r="H185" s="14" t="str">
        <f t="shared" ref="H185" si="183">IF(NOT(ISNUMBER(VALUE(G185))), "NA",IF(VALUE(G185)&gt;12.6,"HIGH",IF(VALUE(G185)&lt;4,"LOW", "VALUE IN RANGE")))</f>
        <v>HIGH</v>
      </c>
    </row>
    <row r="186" spans="3:8" x14ac:dyDescent="0.25">
      <c r="C186" s="13"/>
      <c r="D186" s="4" t="s">
        <v>1483</v>
      </c>
      <c r="E186" s="4" t="s">
        <v>1323</v>
      </c>
      <c r="F186" s="3">
        <v>4.0199999999999996</v>
      </c>
      <c r="G186" s="3">
        <f t="shared" si="126"/>
        <v>4.0199999999999996</v>
      </c>
      <c r="H186" s="14" t="str">
        <f t="shared" ref="H186" si="184">IF(NOT(ISNUMBER(VALUE(G186))), "NA",IF(VALUE(G186)&gt;8.5,"HIGH",IF(VALUE(G186)&lt;5.5,"LOW", "VALUE IN RANGE")))</f>
        <v>LOW</v>
      </c>
    </row>
    <row r="187" spans="3:8" x14ac:dyDescent="0.25">
      <c r="C187" s="13"/>
      <c r="D187" s="4" t="s">
        <v>1483</v>
      </c>
      <c r="E187" s="1" t="s">
        <v>19</v>
      </c>
      <c r="F187" s="5">
        <v>70</v>
      </c>
      <c r="G187" s="3">
        <f t="shared" si="126"/>
        <v>70</v>
      </c>
      <c r="H187" s="14" t="str">
        <f t="shared" ref="H187" si="185">IF(NOT(ISNUMBER(VALUE(G187))), "NA",IF(VALUE(G187)&gt;190,"HIGH",IF(VALUE(G187)&lt;110,"LOW", "VALUE IN RANGE")))</f>
        <v>LOW</v>
      </c>
    </row>
    <row r="188" spans="3:8" x14ac:dyDescent="0.25">
      <c r="C188" s="13"/>
      <c r="D188" s="4" t="s">
        <v>1483</v>
      </c>
      <c r="E188" s="4" t="s">
        <v>1324</v>
      </c>
      <c r="F188" s="3">
        <v>23.7</v>
      </c>
      <c r="G188" s="3">
        <f t="shared" si="126"/>
        <v>23.7</v>
      </c>
      <c r="H188" s="14" t="str">
        <f t="shared" ref="H188" si="186">IF(NOT(ISNUMBER(VALUE(G188))), "NA",IF(VALUE(G188)&gt;56,"HIGH",IF(VALUE(G188)&lt;39,"LOW", "VALUE IN RANGE")))</f>
        <v>LOW</v>
      </c>
    </row>
    <row r="189" spans="3:8" x14ac:dyDescent="0.25">
      <c r="C189" s="13"/>
      <c r="D189" s="4" t="s">
        <v>1483</v>
      </c>
      <c r="E189" s="1" t="s">
        <v>1325</v>
      </c>
      <c r="F189" s="5">
        <v>59</v>
      </c>
      <c r="G189" s="3">
        <f t="shared" si="126"/>
        <v>59</v>
      </c>
      <c r="H189" s="14" t="str">
        <f t="shared" ref="H189" si="187">IF(NOT(ISNUMBER(VALUE(G189))), "NA",IF(VALUE(G189)&gt;72,"HIGH",IF(VALUE(G189)&lt;62,"LOW", "VALUE IN RANGE")))</f>
        <v>LOW</v>
      </c>
    </row>
    <row r="190" spans="3:8" x14ac:dyDescent="0.25">
      <c r="C190" s="13"/>
      <c r="D190" s="4" t="s">
        <v>1483</v>
      </c>
      <c r="E190" s="4" t="s">
        <v>1326</v>
      </c>
      <c r="F190" s="3">
        <v>17.399999999999999</v>
      </c>
      <c r="G190" s="3">
        <f t="shared" si="126"/>
        <v>17.399999999999999</v>
      </c>
      <c r="H190" s="14" t="str">
        <f t="shared" ref="H190" si="188">IF(NOT(ISNUMBER(VALUE(G190))), "NA",IF(VALUE(G190)&gt;25,"HIGH",IF(VALUE(G190)&lt;20,"LOW", "VALUE IN RANGE")))</f>
        <v>LOW</v>
      </c>
    </row>
    <row r="191" spans="3:8" x14ac:dyDescent="0.25">
      <c r="C191" s="13"/>
      <c r="D191" s="4" t="s">
        <v>1483</v>
      </c>
      <c r="E191" s="1" t="s">
        <v>27</v>
      </c>
      <c r="F191" s="5">
        <v>295</v>
      </c>
      <c r="G191" s="3">
        <f t="shared" si="126"/>
        <v>295</v>
      </c>
      <c r="H191" s="14" t="str">
        <f t="shared" ref="H191" si="189">IF(NOT(ISNUMBER(VALUE(G191))), "NA",IF(VALUE(G191)&gt;380,"HIGH",IF(VALUE(G191)&lt;300,"LOW", "VALUE IN RANGE")))</f>
        <v>LOW</v>
      </c>
    </row>
    <row r="192" spans="3:8" x14ac:dyDescent="0.25">
      <c r="C192" s="13"/>
      <c r="D192" s="4" t="s">
        <v>1483</v>
      </c>
      <c r="E192" s="4" t="s">
        <v>1327</v>
      </c>
      <c r="F192" s="3">
        <v>15</v>
      </c>
      <c r="G192" s="3">
        <f t="shared" si="126"/>
        <v>15</v>
      </c>
      <c r="H192" s="14" t="str">
        <f t="shared" ref="H192" si="190">IF(NOT(ISNUMBER(VALUE(G192))), "NA",IF(VALUE(G192)&gt;15.5,"HIGH",IF(VALUE(G192)&lt;11,"LOW", "VALUE IN RANGE")))</f>
        <v>VALUE IN RANGE</v>
      </c>
    </row>
    <row r="193" spans="3:8" x14ac:dyDescent="0.25">
      <c r="C193" s="13"/>
      <c r="D193" s="4" t="s">
        <v>1483</v>
      </c>
      <c r="E193" s="1" t="s">
        <v>31</v>
      </c>
      <c r="F193" s="5">
        <v>8</v>
      </c>
      <c r="G193" s="3">
        <f t="shared" si="126"/>
        <v>8</v>
      </c>
      <c r="H193" s="14" t="str">
        <f t="shared" ref="H193" si="191">IF(NOT(ISNUMBER(VALUE(G193))), "NA",IF(VALUE(G193)&gt;460,"HIGH",IF(VALUE(G193)&lt;117,"LOW", "VALUE IN RANGE")))</f>
        <v>LOW</v>
      </c>
    </row>
    <row r="194" spans="3:8" x14ac:dyDescent="0.25">
      <c r="C194" s="13"/>
      <c r="D194" s="4" t="s">
        <v>1483</v>
      </c>
      <c r="E194" s="4" t="s">
        <v>1328</v>
      </c>
      <c r="F194" s="3">
        <v>7.3</v>
      </c>
      <c r="G194" s="3">
        <f t="shared" si="126"/>
        <v>7.3</v>
      </c>
      <c r="H194" s="14" t="str">
        <f t="shared" ref="H194" si="192">IF(NOT(ISNUMBER(VALUE(G194))), "NA",IF(VALUE(G194)&gt;12,"HIGH",IF(VALUE(G194)&lt;7,"LOW", "VALUE IN RANGE")))</f>
        <v>VALUE IN RANGE</v>
      </c>
    </row>
    <row r="195" spans="3:8" x14ac:dyDescent="0.25">
      <c r="C195" s="13" t="str">
        <f t="shared" ref="C195" si="193">IF(D195=D210,D209,"falso")</f>
        <v>PATIENT_0013</v>
      </c>
      <c r="D195" s="4" t="s">
        <v>1484</v>
      </c>
      <c r="E195" s="1" t="s">
        <v>1329</v>
      </c>
      <c r="F195" s="5">
        <v>17.600000000000001</v>
      </c>
      <c r="G195" s="3">
        <f t="shared" si="126"/>
        <v>17.600000000000001</v>
      </c>
      <c r="H195" s="14" t="str">
        <f t="shared" ref="H195" si="194">IF(NOT(ISNUMBER(VALUE(G195))), "NA",IF(VALUE(G195)&gt;17,"HIGH",IF(VALUE(G195)&lt;6,"LOW", "VALUE IN RANGE")))</f>
        <v>HIGH</v>
      </c>
    </row>
    <row r="196" spans="3:8" x14ac:dyDescent="0.25">
      <c r="C196" s="13"/>
      <c r="D196" s="4" t="s">
        <v>1484</v>
      </c>
      <c r="E196" s="4" t="s">
        <v>1330</v>
      </c>
      <c r="F196" s="3">
        <v>18.5</v>
      </c>
      <c r="G196" s="3">
        <f t="shared" ref="G196:G259" si="195">IFERROR(
   VALUE(
      SUBSTITUTE(
         CLEAN(
            TRIM(F196)
         ),
         ".",
         ","
      )
   ),
   ""
)</f>
        <v>18.5</v>
      </c>
      <c r="H196" s="14" t="str">
        <f t="shared" ref="H196" si="196">IF(NOT(ISNUMBER(VALUE(G196))), "NA",IF(VALUE(G196)&gt;30,"HIGH",IF(VALUE(G196)&lt;12,"LOW", "VALUE IN RANGE")))</f>
        <v>VALUE IN RANGE</v>
      </c>
    </row>
    <row r="197" spans="3:8" x14ac:dyDescent="0.25">
      <c r="C197" s="13"/>
      <c r="D197" s="4" t="s">
        <v>1484</v>
      </c>
      <c r="E197" s="1" t="s">
        <v>1318</v>
      </c>
      <c r="F197" s="5">
        <v>2.7</v>
      </c>
      <c r="G197" s="3">
        <f t="shared" si="195"/>
        <v>2.7</v>
      </c>
      <c r="H197" s="14" t="str">
        <f t="shared" ref="H197" si="197">IF(NOT(ISNUMBER(VALUE(G197))), "NA",IF(VALUE(G197)&gt;9,"HIGH",IF(VALUE(G197)&lt;2,"LOW", "VALUE IN RANGE")))</f>
        <v>VALUE IN RANGE</v>
      </c>
    </row>
    <row r="198" spans="3:8" x14ac:dyDescent="0.25">
      <c r="C198" s="13"/>
      <c r="D198" s="4" t="s">
        <v>1484</v>
      </c>
      <c r="E198" s="4" t="s">
        <v>1331</v>
      </c>
      <c r="F198" s="3">
        <v>78.8</v>
      </c>
      <c r="G198" s="3">
        <f t="shared" si="195"/>
        <v>78.8</v>
      </c>
      <c r="H198" s="14" t="str">
        <f t="shared" ref="H198" si="198">IF(NOT(ISNUMBER(VALUE(G198))), "NA",IF(VALUE(G198)&gt;83,"HIGH",IF(VALUE(G198)&lt;60,"LOW", "VALUE IN RANGE")))</f>
        <v>VALUE IN RANGE</v>
      </c>
    </row>
    <row r="199" spans="3:8" x14ac:dyDescent="0.25">
      <c r="C199" s="13"/>
      <c r="D199" s="4" t="s">
        <v>1484</v>
      </c>
      <c r="E199" s="1" t="s">
        <v>1332</v>
      </c>
      <c r="F199" s="5">
        <v>3200</v>
      </c>
      <c r="G199" s="3">
        <f t="shared" si="195"/>
        <v>3200</v>
      </c>
      <c r="H199" s="14" t="str">
        <f t="shared" ref="H199" si="199">IF(NOT(ISNUMBER(VALUE(G199))), "NA",IF(VALUE(G199)&gt;5.1,"HIGH",IF(VALUE(G199)&lt;0.8,"LOW", "VALUE IN RANGE")))</f>
        <v>HIGH</v>
      </c>
    </row>
    <row r="200" spans="3:8" x14ac:dyDescent="0.25">
      <c r="C200" s="13"/>
      <c r="D200" s="4" t="s">
        <v>1484</v>
      </c>
      <c r="E200" s="4" t="s">
        <v>1333</v>
      </c>
      <c r="F200" s="3">
        <v>0.4</v>
      </c>
      <c r="G200" s="3">
        <f t="shared" si="195"/>
        <v>0.4</v>
      </c>
      <c r="H200" s="14" t="str">
        <f t="shared" ref="H200" si="200">IF(NOT(ISNUMBER(VALUE(G200))), "NA",IF(VALUE(G200)&gt;1.8,"HIGH",IF(VALUE(G200)&lt;0,"LOW", "VALUE IN RANGE")))</f>
        <v>VALUE IN RANGE</v>
      </c>
    </row>
    <row r="201" spans="3:8" x14ac:dyDescent="0.25">
      <c r="C201" s="13"/>
      <c r="D201" s="4" t="s">
        <v>1484</v>
      </c>
      <c r="E201" s="1" t="s">
        <v>1334</v>
      </c>
      <c r="F201" s="5">
        <v>14000</v>
      </c>
      <c r="G201" s="3">
        <f t="shared" si="195"/>
        <v>14000</v>
      </c>
      <c r="H201" s="14" t="str">
        <f t="shared" ref="H201" si="201">IF(NOT(ISNUMBER(VALUE(G201))), "NA",IF(VALUE(G201)&gt;12.6,"HIGH",IF(VALUE(G201)&lt;4,"LOW", "VALUE IN RANGE")))</f>
        <v>HIGH</v>
      </c>
    </row>
    <row r="202" spans="3:8" x14ac:dyDescent="0.25">
      <c r="C202" s="13"/>
      <c r="D202" s="4" t="s">
        <v>1484</v>
      </c>
      <c r="E202" s="4" t="s">
        <v>1335</v>
      </c>
      <c r="F202" s="3">
        <v>5.96</v>
      </c>
      <c r="G202" s="3">
        <f t="shared" si="195"/>
        <v>5.96</v>
      </c>
      <c r="H202" s="14" t="str">
        <f t="shared" ref="H202" si="202">IF(NOT(ISNUMBER(VALUE(G202))), "NA",IF(VALUE(G202)&gt;8.5,"HIGH",IF(VALUE(G202)&lt;5.5,"LOW", "VALUE IN RANGE")))</f>
        <v>VALUE IN RANGE</v>
      </c>
    </row>
    <row r="203" spans="3:8" x14ac:dyDescent="0.25">
      <c r="C203" s="13"/>
      <c r="D203" s="4" t="s">
        <v>1484</v>
      </c>
      <c r="E203" s="1" t="s">
        <v>148</v>
      </c>
      <c r="F203" s="5">
        <v>164</v>
      </c>
      <c r="G203" s="3">
        <f t="shared" si="195"/>
        <v>164</v>
      </c>
      <c r="H203" s="14" t="str">
        <f t="shared" ref="H203" si="203">IF(NOT(ISNUMBER(VALUE(G203))), "NA",IF(VALUE(G203)&gt;190,"HIGH",IF(VALUE(G203)&lt;110,"LOW", "VALUE IN RANGE")))</f>
        <v>VALUE IN RANGE</v>
      </c>
    </row>
    <row r="204" spans="3:8" x14ac:dyDescent="0.25">
      <c r="C204" s="13"/>
      <c r="D204" s="4" t="s">
        <v>1484</v>
      </c>
      <c r="E204" s="4" t="s">
        <v>1336</v>
      </c>
      <c r="F204" s="3">
        <v>52.1</v>
      </c>
      <c r="G204" s="3">
        <f t="shared" si="195"/>
        <v>52.1</v>
      </c>
      <c r="H204" s="14" t="str">
        <f t="shared" ref="H204" si="204">IF(NOT(ISNUMBER(VALUE(G204))), "NA",IF(VALUE(G204)&gt;56,"HIGH",IF(VALUE(G204)&lt;39,"LOW", "VALUE IN RANGE")))</f>
        <v>VALUE IN RANGE</v>
      </c>
    </row>
    <row r="205" spans="3:8" x14ac:dyDescent="0.25">
      <c r="C205" s="13"/>
      <c r="D205" s="4" t="s">
        <v>1484</v>
      </c>
      <c r="E205" s="1" t="s">
        <v>1337</v>
      </c>
      <c r="F205" s="5">
        <v>87.5</v>
      </c>
      <c r="G205" s="3">
        <f t="shared" si="195"/>
        <v>87.5</v>
      </c>
      <c r="H205" s="14" t="str">
        <f t="shared" ref="H205" si="205">IF(NOT(ISNUMBER(VALUE(G205))), "NA",IF(VALUE(G205)&gt;72,"HIGH",IF(VALUE(G205)&lt;62,"LOW", "VALUE IN RANGE")))</f>
        <v>HIGH</v>
      </c>
    </row>
    <row r="206" spans="3:8" x14ac:dyDescent="0.25">
      <c r="C206" s="13"/>
      <c r="D206" s="4" t="s">
        <v>1484</v>
      </c>
      <c r="E206" s="4" t="s">
        <v>1338</v>
      </c>
      <c r="F206" s="3">
        <v>27.5</v>
      </c>
      <c r="G206" s="3">
        <f t="shared" si="195"/>
        <v>27.5</v>
      </c>
      <c r="H206" s="14" t="str">
        <f t="shared" ref="H206" si="206">IF(NOT(ISNUMBER(VALUE(G206))), "NA",IF(VALUE(G206)&gt;25,"HIGH",IF(VALUE(G206)&lt;20,"LOW", "VALUE IN RANGE")))</f>
        <v>HIGH</v>
      </c>
    </row>
    <row r="207" spans="3:8" x14ac:dyDescent="0.25">
      <c r="C207" s="13"/>
      <c r="D207" s="4" t="s">
        <v>1484</v>
      </c>
      <c r="E207" s="1" t="s">
        <v>27</v>
      </c>
      <c r="F207" s="5">
        <v>314</v>
      </c>
      <c r="G207" s="3">
        <f t="shared" si="195"/>
        <v>314</v>
      </c>
      <c r="H207" s="14" t="str">
        <f t="shared" ref="H207" si="207">IF(NOT(ISNUMBER(VALUE(G207))), "NA",IF(VALUE(G207)&gt;380,"HIGH",IF(VALUE(G207)&lt;300,"LOW", "VALUE IN RANGE")))</f>
        <v>VALUE IN RANGE</v>
      </c>
    </row>
    <row r="208" spans="3:8" x14ac:dyDescent="0.25">
      <c r="C208" s="13"/>
      <c r="D208" s="4" t="s">
        <v>1484</v>
      </c>
      <c r="E208" s="4" t="s">
        <v>1339</v>
      </c>
      <c r="F208" s="3">
        <v>14.7</v>
      </c>
      <c r="G208" s="3">
        <f t="shared" si="195"/>
        <v>14.7</v>
      </c>
      <c r="H208" s="14" t="str">
        <f t="shared" ref="H208" si="208">IF(NOT(ISNUMBER(VALUE(G208))), "NA",IF(VALUE(G208)&gt;15.5,"HIGH",IF(VALUE(G208)&lt;11,"LOW", "VALUE IN RANGE")))</f>
        <v>VALUE IN RANGE</v>
      </c>
    </row>
    <row r="209" spans="3:8" x14ac:dyDescent="0.25">
      <c r="C209" s="13"/>
      <c r="D209" s="4" t="s">
        <v>1484</v>
      </c>
      <c r="E209" s="1" t="s">
        <v>159</v>
      </c>
      <c r="F209" s="5">
        <v>451</v>
      </c>
      <c r="G209" s="3">
        <f t="shared" si="195"/>
        <v>451</v>
      </c>
      <c r="H209" s="14" t="str">
        <f t="shared" ref="H209" si="209">IF(NOT(ISNUMBER(VALUE(G209))), "NA",IF(VALUE(G209)&gt;460,"HIGH",IF(VALUE(G209)&lt;117,"LOW", "VALUE IN RANGE")))</f>
        <v>VALUE IN RANGE</v>
      </c>
    </row>
    <row r="210" spans="3:8" x14ac:dyDescent="0.25">
      <c r="C210" s="13"/>
      <c r="D210" s="4" t="s">
        <v>1484</v>
      </c>
      <c r="E210" s="4" t="s">
        <v>1340</v>
      </c>
      <c r="F210" s="3">
        <v>12.6</v>
      </c>
      <c r="G210" s="3">
        <f t="shared" si="195"/>
        <v>12.6</v>
      </c>
      <c r="H210" s="14" t="str">
        <f t="shared" ref="H210" si="210">IF(NOT(ISNUMBER(VALUE(G210))), "NA",IF(VALUE(G210)&gt;12,"HIGH",IF(VALUE(G210)&lt;7,"LOW", "VALUE IN RANGE")))</f>
        <v>HIGH</v>
      </c>
    </row>
    <row r="211" spans="3:8" x14ac:dyDescent="0.25">
      <c r="C211" s="13" t="str">
        <f t="shared" ref="C211" si="211">IF(D211=D226,D225,"falso")</f>
        <v>PATIENT_0014</v>
      </c>
      <c r="D211" s="4" t="s">
        <v>1485</v>
      </c>
      <c r="E211" s="1" t="s">
        <v>1316</v>
      </c>
      <c r="F211" s="5">
        <v>17.100000000000001</v>
      </c>
      <c r="G211" s="3">
        <f t="shared" si="195"/>
        <v>17.100000000000001</v>
      </c>
      <c r="H211" s="14" t="str">
        <f t="shared" ref="H211" si="212">IF(NOT(ISNUMBER(VALUE(G211))), "NA",IF(VALUE(G211)&gt;17,"HIGH",IF(VALUE(G211)&lt;6,"LOW", "VALUE IN RANGE")))</f>
        <v>HIGH</v>
      </c>
    </row>
    <row r="212" spans="3:8" x14ac:dyDescent="0.25">
      <c r="C212" s="13"/>
      <c r="D212" s="4" t="s">
        <v>1485</v>
      </c>
      <c r="E212" s="4" t="s">
        <v>1317</v>
      </c>
      <c r="F212" s="3">
        <v>6.2</v>
      </c>
      <c r="G212" s="3">
        <f t="shared" si="195"/>
        <v>6.2</v>
      </c>
      <c r="H212" s="14" t="str">
        <f t="shared" ref="H212" si="213">IF(NOT(ISNUMBER(VALUE(G212))), "NA",IF(VALUE(G212)&gt;30,"HIGH",IF(VALUE(G212)&lt;12,"LOW", "VALUE IN RANGE")))</f>
        <v>LOW</v>
      </c>
    </row>
    <row r="213" spans="3:8" x14ac:dyDescent="0.25">
      <c r="C213" s="13"/>
      <c r="D213" s="4" t="s">
        <v>1485</v>
      </c>
      <c r="E213" s="1" t="s">
        <v>1318</v>
      </c>
      <c r="F213" s="5">
        <v>3.3</v>
      </c>
      <c r="G213" s="3">
        <f t="shared" si="195"/>
        <v>3.3</v>
      </c>
      <c r="H213" s="14" t="str">
        <f t="shared" ref="H213" si="214">IF(NOT(ISNUMBER(VALUE(G213))), "NA",IF(VALUE(G213)&gt;9,"HIGH",IF(VALUE(G213)&lt;2,"LOW", "VALUE IN RANGE")))</f>
        <v>VALUE IN RANGE</v>
      </c>
    </row>
    <row r="214" spans="3:8" x14ac:dyDescent="0.25">
      <c r="C214" s="13"/>
      <c r="D214" s="4" t="s">
        <v>1485</v>
      </c>
      <c r="E214" s="4" t="s">
        <v>1319</v>
      </c>
      <c r="F214" s="3">
        <v>90.5</v>
      </c>
      <c r="G214" s="3">
        <f t="shared" si="195"/>
        <v>90.5</v>
      </c>
      <c r="H214" s="14" t="str">
        <f t="shared" ref="H214" si="215">IF(NOT(ISNUMBER(VALUE(G214))), "NA",IF(VALUE(G214)&gt;83,"HIGH",IF(VALUE(G214)&lt;60,"LOW", "VALUE IN RANGE")))</f>
        <v>HIGH</v>
      </c>
    </row>
    <row r="215" spans="3:8" x14ac:dyDescent="0.25">
      <c r="C215" s="13"/>
      <c r="D215" s="4" t="s">
        <v>1485</v>
      </c>
      <c r="E215" s="1" t="s">
        <v>1320</v>
      </c>
      <c r="F215" s="5">
        <v>1000</v>
      </c>
      <c r="G215" s="3">
        <f t="shared" si="195"/>
        <v>1000</v>
      </c>
      <c r="H215" s="14" t="str">
        <f t="shared" ref="H215" si="216">IF(NOT(ISNUMBER(VALUE(G215))), "NA",IF(VALUE(G215)&gt;5.1,"HIGH",IF(VALUE(G215)&lt;0.8,"LOW", "VALUE IN RANGE")))</f>
        <v>HIGH</v>
      </c>
    </row>
    <row r="216" spans="3:8" x14ac:dyDescent="0.25">
      <c r="C216" s="13"/>
      <c r="D216" s="4" t="s">
        <v>1485</v>
      </c>
      <c r="E216" s="4" t="s">
        <v>1321</v>
      </c>
      <c r="F216" s="3">
        <v>0.5</v>
      </c>
      <c r="G216" s="3">
        <f t="shared" si="195"/>
        <v>0.5</v>
      </c>
      <c r="H216" s="14" t="str">
        <f t="shared" ref="H216" si="217">IF(NOT(ISNUMBER(VALUE(G216))), "NA",IF(VALUE(G216)&gt;1.8,"HIGH",IF(VALUE(G216)&lt;0,"LOW", "VALUE IN RANGE")))</f>
        <v>VALUE IN RANGE</v>
      </c>
    </row>
    <row r="217" spans="3:8" x14ac:dyDescent="0.25">
      <c r="C217" s="13"/>
      <c r="D217" s="4" t="s">
        <v>1485</v>
      </c>
      <c r="E217" s="1" t="s">
        <v>1322</v>
      </c>
      <c r="F217" s="5">
        <v>15600</v>
      </c>
      <c r="G217" s="3">
        <f t="shared" si="195"/>
        <v>15600</v>
      </c>
      <c r="H217" s="14" t="str">
        <f t="shared" ref="H217" si="218">IF(NOT(ISNUMBER(VALUE(G217))), "NA",IF(VALUE(G217)&gt;12.6,"HIGH",IF(VALUE(G217)&lt;4,"LOW", "VALUE IN RANGE")))</f>
        <v>HIGH</v>
      </c>
    </row>
    <row r="218" spans="3:8" x14ac:dyDescent="0.25">
      <c r="C218" s="13"/>
      <c r="D218" s="4" t="s">
        <v>1485</v>
      </c>
      <c r="E218" s="4" t="s">
        <v>1323</v>
      </c>
      <c r="F218" s="3">
        <v>4.95</v>
      </c>
      <c r="G218" s="3">
        <f t="shared" si="195"/>
        <v>4.95</v>
      </c>
      <c r="H218" s="14" t="str">
        <f t="shared" ref="H218" si="219">IF(NOT(ISNUMBER(VALUE(G218))), "NA",IF(VALUE(G218)&gt;8.5,"HIGH",IF(VALUE(G218)&lt;5.5,"LOW", "VALUE IN RANGE")))</f>
        <v>LOW</v>
      </c>
    </row>
    <row r="219" spans="3:8" x14ac:dyDescent="0.25">
      <c r="C219" s="13"/>
      <c r="D219" s="4" t="s">
        <v>1485</v>
      </c>
      <c r="E219" s="1" t="s">
        <v>19</v>
      </c>
      <c r="F219" s="5">
        <v>113</v>
      </c>
      <c r="G219" s="3">
        <f t="shared" si="195"/>
        <v>113</v>
      </c>
      <c r="H219" s="14" t="str">
        <f t="shared" ref="H219" si="220">IF(NOT(ISNUMBER(VALUE(G219))), "NA",IF(VALUE(G219)&gt;190,"HIGH",IF(VALUE(G219)&lt;110,"LOW", "VALUE IN RANGE")))</f>
        <v>VALUE IN RANGE</v>
      </c>
    </row>
    <row r="220" spans="3:8" x14ac:dyDescent="0.25">
      <c r="C220" s="13"/>
      <c r="D220" s="4" t="s">
        <v>1485</v>
      </c>
      <c r="E220" s="4" t="s">
        <v>1324</v>
      </c>
      <c r="F220" s="3">
        <v>35</v>
      </c>
      <c r="G220" s="3">
        <f t="shared" si="195"/>
        <v>35</v>
      </c>
      <c r="H220" s="14" t="str">
        <f t="shared" ref="H220" si="221">IF(NOT(ISNUMBER(VALUE(G220))), "NA",IF(VALUE(G220)&gt;56,"HIGH",IF(VALUE(G220)&lt;39,"LOW", "VALUE IN RANGE")))</f>
        <v>LOW</v>
      </c>
    </row>
    <row r="221" spans="3:8" x14ac:dyDescent="0.25">
      <c r="C221" s="13"/>
      <c r="D221" s="4" t="s">
        <v>1485</v>
      </c>
      <c r="E221" s="1" t="s">
        <v>1325</v>
      </c>
      <c r="F221" s="5">
        <v>70.8</v>
      </c>
      <c r="G221" s="3">
        <f t="shared" si="195"/>
        <v>70.8</v>
      </c>
      <c r="H221" s="14" t="str">
        <f t="shared" ref="H221" si="222">IF(NOT(ISNUMBER(VALUE(G221))), "NA",IF(VALUE(G221)&gt;72,"HIGH",IF(VALUE(G221)&lt;62,"LOW", "VALUE IN RANGE")))</f>
        <v>VALUE IN RANGE</v>
      </c>
    </row>
    <row r="222" spans="3:8" x14ac:dyDescent="0.25">
      <c r="C222" s="13"/>
      <c r="D222" s="4" t="s">
        <v>1485</v>
      </c>
      <c r="E222" s="4" t="s">
        <v>1326</v>
      </c>
      <c r="F222" s="3">
        <v>22.8</v>
      </c>
      <c r="G222" s="3">
        <f t="shared" si="195"/>
        <v>22.8</v>
      </c>
      <c r="H222" s="14" t="str">
        <f t="shared" ref="H222" si="223">IF(NOT(ISNUMBER(VALUE(G222))), "NA",IF(VALUE(G222)&gt;25,"HIGH",IF(VALUE(G222)&lt;20,"LOW", "VALUE IN RANGE")))</f>
        <v>VALUE IN RANGE</v>
      </c>
    </row>
    <row r="223" spans="3:8" x14ac:dyDescent="0.25">
      <c r="C223" s="13"/>
      <c r="D223" s="4" t="s">
        <v>1485</v>
      </c>
      <c r="E223" s="1" t="s">
        <v>27</v>
      </c>
      <c r="F223" s="5">
        <v>322</v>
      </c>
      <c r="G223" s="3">
        <f t="shared" si="195"/>
        <v>322</v>
      </c>
      <c r="H223" s="14" t="str">
        <f t="shared" ref="H223" si="224">IF(NOT(ISNUMBER(VALUE(G223))), "NA",IF(VALUE(G223)&gt;380,"HIGH",IF(VALUE(G223)&lt;300,"LOW", "VALUE IN RANGE")))</f>
        <v>VALUE IN RANGE</v>
      </c>
    </row>
    <row r="224" spans="3:8" x14ac:dyDescent="0.25">
      <c r="C224" s="13"/>
      <c r="D224" s="4" t="s">
        <v>1485</v>
      </c>
      <c r="E224" s="4" t="s">
        <v>1327</v>
      </c>
      <c r="F224" s="3">
        <v>13</v>
      </c>
      <c r="G224" s="3">
        <f t="shared" si="195"/>
        <v>13</v>
      </c>
      <c r="H224" s="14" t="str">
        <f t="shared" ref="H224" si="225">IF(NOT(ISNUMBER(VALUE(G224))), "NA",IF(VALUE(G224)&gt;15.5,"HIGH",IF(VALUE(G224)&lt;11,"LOW", "VALUE IN RANGE")))</f>
        <v>VALUE IN RANGE</v>
      </c>
    </row>
    <row r="225" spans="3:8" x14ac:dyDescent="0.25">
      <c r="C225" s="13"/>
      <c r="D225" s="4" t="s">
        <v>1485</v>
      </c>
      <c r="E225" s="1" t="s">
        <v>31</v>
      </c>
      <c r="F225" s="5">
        <v>331</v>
      </c>
      <c r="G225" s="3">
        <f t="shared" si="195"/>
        <v>331</v>
      </c>
      <c r="H225" s="14" t="str">
        <f t="shared" ref="H225" si="226">IF(NOT(ISNUMBER(VALUE(G225))), "NA",IF(VALUE(G225)&gt;460,"HIGH",IF(VALUE(G225)&lt;117,"LOW", "VALUE IN RANGE")))</f>
        <v>VALUE IN RANGE</v>
      </c>
    </row>
    <row r="226" spans="3:8" x14ac:dyDescent="0.25">
      <c r="C226" s="13"/>
      <c r="D226" s="4" t="s">
        <v>1485</v>
      </c>
      <c r="E226" s="4" t="s">
        <v>1328</v>
      </c>
      <c r="F226" s="3">
        <v>8.4</v>
      </c>
      <c r="G226" s="3">
        <f t="shared" si="195"/>
        <v>8.4</v>
      </c>
      <c r="H226" s="14" t="str">
        <f t="shared" ref="H226" si="227">IF(NOT(ISNUMBER(VALUE(G226))), "NA",IF(VALUE(G226)&gt;12,"HIGH",IF(VALUE(G226)&lt;7,"LOW", "VALUE IN RANGE")))</f>
        <v>VALUE IN RANGE</v>
      </c>
    </row>
    <row r="227" spans="3:8" x14ac:dyDescent="0.25">
      <c r="C227" s="13" t="str">
        <f t="shared" ref="C227" si="228">IF(D227=D242,D241,"falso")</f>
        <v>PATIENT_0015</v>
      </c>
      <c r="D227" s="4" t="s">
        <v>1486</v>
      </c>
      <c r="E227" s="1" t="s">
        <v>1329</v>
      </c>
      <c r="F227" s="5">
        <v>1.4</v>
      </c>
      <c r="G227" s="3">
        <f t="shared" si="195"/>
        <v>1.4</v>
      </c>
      <c r="H227" s="14" t="str">
        <f t="shared" ref="H227" si="229">IF(NOT(ISNUMBER(VALUE(G227))), "NA",IF(VALUE(G227)&gt;17,"HIGH",IF(VALUE(G227)&lt;6,"LOW", "VALUE IN RANGE")))</f>
        <v>LOW</v>
      </c>
    </row>
    <row r="228" spans="3:8" x14ac:dyDescent="0.25">
      <c r="C228" s="13"/>
      <c r="D228" s="4" t="s">
        <v>1486</v>
      </c>
      <c r="E228" s="4" t="s">
        <v>1330</v>
      </c>
      <c r="F228" s="3">
        <v>34.1</v>
      </c>
      <c r="G228" s="3">
        <f t="shared" si="195"/>
        <v>34.1</v>
      </c>
      <c r="H228" s="14" t="str">
        <f t="shared" ref="H228" si="230">IF(NOT(ISNUMBER(VALUE(G228))), "NA",IF(VALUE(G228)&gt;30,"HIGH",IF(VALUE(G228)&lt;12,"LOW", "VALUE IN RANGE")))</f>
        <v>HIGH</v>
      </c>
    </row>
    <row r="229" spans="3:8" x14ac:dyDescent="0.25">
      <c r="C229" s="13"/>
      <c r="D229" s="4" t="s">
        <v>1486</v>
      </c>
      <c r="E229" s="1" t="s">
        <v>1318</v>
      </c>
      <c r="F229" s="5">
        <v>6.5</v>
      </c>
      <c r="G229" s="3">
        <f t="shared" si="195"/>
        <v>6.5</v>
      </c>
      <c r="H229" s="14" t="str">
        <f t="shared" ref="H229" si="231">IF(NOT(ISNUMBER(VALUE(G229))), "NA",IF(VALUE(G229)&gt;9,"HIGH",IF(VALUE(G229)&lt;2,"LOW", "VALUE IN RANGE")))</f>
        <v>VALUE IN RANGE</v>
      </c>
    </row>
    <row r="230" spans="3:8" x14ac:dyDescent="0.25">
      <c r="C230" s="13"/>
      <c r="D230" s="4" t="s">
        <v>1486</v>
      </c>
      <c r="E230" s="4" t="s">
        <v>1331</v>
      </c>
      <c r="F230" s="3">
        <v>59.4</v>
      </c>
      <c r="G230" s="3">
        <f t="shared" si="195"/>
        <v>59.4</v>
      </c>
      <c r="H230" s="14" t="str">
        <f t="shared" ref="H230" si="232">IF(NOT(ISNUMBER(VALUE(G230))), "NA",IF(VALUE(G230)&gt;83,"HIGH",IF(VALUE(G230)&lt;60,"LOW", "VALUE IN RANGE")))</f>
        <v>LOW</v>
      </c>
    </row>
    <row r="231" spans="3:8" x14ac:dyDescent="0.25">
      <c r="C231" s="13"/>
      <c r="D231" s="4" t="s">
        <v>1486</v>
      </c>
      <c r="E231" s="1" t="s">
        <v>1332</v>
      </c>
      <c r="F231" s="5">
        <v>0.4</v>
      </c>
      <c r="G231" s="3">
        <f t="shared" si="195"/>
        <v>0.4</v>
      </c>
      <c r="H231" s="14" t="str">
        <f t="shared" ref="H231" si="233">IF(NOT(ISNUMBER(VALUE(G231))), "NA",IF(VALUE(G231)&gt;5.1,"HIGH",IF(VALUE(G231)&lt;0.8,"LOW", "VALUE IN RANGE")))</f>
        <v>LOW</v>
      </c>
    </row>
    <row r="232" spans="3:8" x14ac:dyDescent="0.25">
      <c r="C232" s="13"/>
      <c r="D232" s="4" t="s">
        <v>1486</v>
      </c>
      <c r="E232" s="4" t="s">
        <v>1333</v>
      </c>
      <c r="F232" s="3">
        <v>0</v>
      </c>
      <c r="G232" s="3">
        <f t="shared" si="195"/>
        <v>0</v>
      </c>
      <c r="H232" s="14" t="str">
        <f t="shared" ref="H232" si="234">IF(NOT(ISNUMBER(VALUE(G232))), "NA",IF(VALUE(G232)&gt;1.8,"HIGH",IF(VALUE(G232)&lt;0,"LOW", "VALUE IN RANGE")))</f>
        <v>VALUE IN RANGE</v>
      </c>
    </row>
    <row r="233" spans="3:8" x14ac:dyDescent="0.25">
      <c r="C233" s="13"/>
      <c r="D233" s="4" t="s">
        <v>1486</v>
      </c>
      <c r="E233" s="1" t="s">
        <v>1334</v>
      </c>
      <c r="F233" s="5">
        <v>1000</v>
      </c>
      <c r="G233" s="3">
        <f t="shared" si="195"/>
        <v>1000</v>
      </c>
      <c r="H233" s="14" t="str">
        <f t="shared" ref="H233" si="235">IF(NOT(ISNUMBER(VALUE(G233))), "NA",IF(VALUE(G233)&gt;12.6,"HIGH",IF(VALUE(G233)&lt;4,"LOW", "VALUE IN RANGE")))</f>
        <v>HIGH</v>
      </c>
    </row>
    <row r="234" spans="3:8" x14ac:dyDescent="0.25">
      <c r="C234" s="13"/>
      <c r="D234" s="4" t="s">
        <v>1486</v>
      </c>
      <c r="E234" s="4" t="s">
        <v>1335</v>
      </c>
      <c r="F234" s="3">
        <v>7.93</v>
      </c>
      <c r="G234" s="3">
        <f t="shared" si="195"/>
        <v>7.93</v>
      </c>
      <c r="H234" s="14" t="str">
        <f t="shared" ref="H234" si="236">IF(NOT(ISNUMBER(VALUE(G234))), "NA",IF(VALUE(G234)&gt;8.5,"HIGH",IF(VALUE(G234)&lt;5.5,"LOW", "VALUE IN RANGE")))</f>
        <v>VALUE IN RANGE</v>
      </c>
    </row>
    <row r="235" spans="3:8" x14ac:dyDescent="0.25">
      <c r="C235" s="13"/>
      <c r="D235" s="4" t="s">
        <v>1486</v>
      </c>
      <c r="E235" s="1" t="s">
        <v>148</v>
      </c>
      <c r="F235" s="5">
        <v>114</v>
      </c>
      <c r="G235" s="3">
        <f t="shared" si="195"/>
        <v>114</v>
      </c>
      <c r="H235" s="14" t="str">
        <f t="shared" ref="H235" si="237">IF(NOT(ISNUMBER(VALUE(G235))), "NA",IF(VALUE(G235)&gt;190,"HIGH",IF(VALUE(G235)&lt;110,"LOW", "VALUE IN RANGE")))</f>
        <v>VALUE IN RANGE</v>
      </c>
    </row>
    <row r="236" spans="3:8" x14ac:dyDescent="0.25">
      <c r="C236" s="13"/>
      <c r="D236" s="4" t="s">
        <v>1486</v>
      </c>
      <c r="E236" s="4" t="s">
        <v>1336</v>
      </c>
      <c r="F236" s="3">
        <v>39.299999999999997</v>
      </c>
      <c r="G236" s="3">
        <f t="shared" si="195"/>
        <v>39.299999999999997</v>
      </c>
      <c r="H236" s="14" t="str">
        <f t="shared" ref="H236" si="238">IF(NOT(ISNUMBER(VALUE(G236))), "NA",IF(VALUE(G236)&gt;56,"HIGH",IF(VALUE(G236)&lt;39,"LOW", "VALUE IN RANGE")))</f>
        <v>VALUE IN RANGE</v>
      </c>
    </row>
    <row r="237" spans="3:8" x14ac:dyDescent="0.25">
      <c r="C237" s="13"/>
      <c r="D237" s="4" t="s">
        <v>1486</v>
      </c>
      <c r="E237" s="1" t="s">
        <v>1337</v>
      </c>
      <c r="F237" s="5">
        <v>49.6</v>
      </c>
      <c r="G237" s="3">
        <f t="shared" si="195"/>
        <v>49.6</v>
      </c>
      <c r="H237" s="14" t="str">
        <f t="shared" ref="H237" si="239">IF(NOT(ISNUMBER(VALUE(G237))), "NA",IF(VALUE(G237)&gt;72,"HIGH",IF(VALUE(G237)&lt;62,"LOW", "VALUE IN RANGE")))</f>
        <v>LOW</v>
      </c>
    </row>
    <row r="238" spans="3:8" x14ac:dyDescent="0.25">
      <c r="C238" s="13"/>
      <c r="D238" s="4" t="s">
        <v>1486</v>
      </c>
      <c r="E238" s="4" t="s">
        <v>1338</v>
      </c>
      <c r="F238" s="3">
        <v>14.3</v>
      </c>
      <c r="G238" s="3">
        <f t="shared" si="195"/>
        <v>14.3</v>
      </c>
      <c r="H238" s="14" t="str">
        <f t="shared" ref="H238" si="240">IF(NOT(ISNUMBER(VALUE(G238))), "NA",IF(VALUE(G238)&gt;25,"HIGH",IF(VALUE(G238)&lt;20,"LOW", "VALUE IN RANGE")))</f>
        <v>LOW</v>
      </c>
    </row>
    <row r="239" spans="3:8" x14ac:dyDescent="0.25">
      <c r="C239" s="13"/>
      <c r="D239" s="4" t="s">
        <v>1486</v>
      </c>
      <c r="E239" s="1" t="s">
        <v>27</v>
      </c>
      <c r="F239" s="5">
        <v>290</v>
      </c>
      <c r="G239" s="3">
        <f t="shared" si="195"/>
        <v>290</v>
      </c>
      <c r="H239" s="14" t="str">
        <f t="shared" ref="H239" si="241">IF(NOT(ISNUMBER(VALUE(G239))), "NA",IF(VALUE(G239)&gt;380,"HIGH",IF(VALUE(G239)&lt;300,"LOW", "VALUE IN RANGE")))</f>
        <v>LOW</v>
      </c>
    </row>
    <row r="240" spans="3:8" x14ac:dyDescent="0.25">
      <c r="C240" s="13"/>
      <c r="D240" s="4" t="s">
        <v>1486</v>
      </c>
      <c r="E240" s="4" t="s">
        <v>1339</v>
      </c>
      <c r="F240" s="3">
        <v>15.9</v>
      </c>
      <c r="G240" s="3">
        <f t="shared" si="195"/>
        <v>15.9</v>
      </c>
      <c r="H240" s="14" t="str">
        <f t="shared" ref="H240" si="242">IF(NOT(ISNUMBER(VALUE(G240))), "NA",IF(VALUE(G240)&gt;15.5,"HIGH",IF(VALUE(G240)&lt;11,"LOW", "VALUE IN RANGE")))</f>
        <v>HIGH</v>
      </c>
    </row>
    <row r="241" spans="3:8" x14ac:dyDescent="0.25">
      <c r="C241" s="13"/>
      <c r="D241" s="4" t="s">
        <v>1486</v>
      </c>
      <c r="E241" s="1" t="s">
        <v>159</v>
      </c>
      <c r="F241" s="5">
        <v>31</v>
      </c>
      <c r="G241" s="3">
        <f t="shared" si="195"/>
        <v>31</v>
      </c>
      <c r="H241" s="14" t="str">
        <f t="shared" ref="H241" si="243">IF(NOT(ISNUMBER(VALUE(G241))), "NA",IF(VALUE(G241)&gt;460,"HIGH",IF(VALUE(G241)&lt;117,"LOW", "VALUE IN RANGE")))</f>
        <v>LOW</v>
      </c>
    </row>
    <row r="242" spans="3:8" x14ac:dyDescent="0.25">
      <c r="C242" s="13"/>
      <c r="D242" s="4" t="s">
        <v>1486</v>
      </c>
      <c r="E242" s="4" t="s">
        <v>1340</v>
      </c>
      <c r="F242" s="3">
        <v>9.9</v>
      </c>
      <c r="G242" s="3">
        <f t="shared" si="195"/>
        <v>9.9</v>
      </c>
      <c r="H242" s="14" t="str">
        <f t="shared" ref="H242" si="244">IF(NOT(ISNUMBER(VALUE(G242))), "NA",IF(VALUE(G242)&gt;12,"HIGH",IF(VALUE(G242)&lt;7,"LOW", "VALUE IN RANGE")))</f>
        <v>VALUE IN RANGE</v>
      </c>
    </row>
    <row r="243" spans="3:8" x14ac:dyDescent="0.25">
      <c r="C243" s="13" t="str">
        <f t="shared" ref="C243" si="245">IF(D243=D258,D257,"falso")</f>
        <v>PATIENT_0016</v>
      </c>
      <c r="D243" s="4" t="s">
        <v>1487</v>
      </c>
      <c r="E243" s="1" t="s">
        <v>1329</v>
      </c>
      <c r="F243" s="5">
        <v>0</v>
      </c>
      <c r="G243" s="3">
        <f t="shared" si="195"/>
        <v>0</v>
      </c>
      <c r="H243" s="14" t="str">
        <f t="shared" ref="H243" si="246">IF(NOT(ISNUMBER(VALUE(G243))), "NA",IF(VALUE(G243)&gt;17,"HIGH",IF(VALUE(G243)&lt;6,"LOW", "VALUE IN RANGE")))</f>
        <v>LOW</v>
      </c>
    </row>
    <row r="244" spans="3:8" x14ac:dyDescent="0.25">
      <c r="C244" s="13"/>
      <c r="D244" s="4" t="s">
        <v>1487</v>
      </c>
      <c r="E244" s="4" t="s">
        <v>1330</v>
      </c>
      <c r="F244" s="3">
        <v>0</v>
      </c>
      <c r="G244" s="3">
        <f t="shared" si="195"/>
        <v>0</v>
      </c>
      <c r="H244" s="14" t="str">
        <f t="shared" ref="H244" si="247">IF(NOT(ISNUMBER(VALUE(G244))), "NA",IF(VALUE(G244)&gt;30,"HIGH",IF(VALUE(G244)&lt;12,"LOW", "VALUE IN RANGE")))</f>
        <v>LOW</v>
      </c>
    </row>
    <row r="245" spans="3:8" x14ac:dyDescent="0.25">
      <c r="C245" s="13"/>
      <c r="D245" s="4" t="s">
        <v>1487</v>
      </c>
      <c r="E245" s="1" t="s">
        <v>1318</v>
      </c>
      <c r="F245" s="5">
        <v>0</v>
      </c>
      <c r="G245" s="3">
        <f t="shared" si="195"/>
        <v>0</v>
      </c>
      <c r="H245" s="14" t="str">
        <f t="shared" ref="H245" si="248">IF(NOT(ISNUMBER(VALUE(G245))), "NA",IF(VALUE(G245)&gt;9,"HIGH",IF(VALUE(G245)&lt;2,"LOW", "VALUE IN RANGE")))</f>
        <v>LOW</v>
      </c>
    </row>
    <row r="246" spans="3:8" x14ac:dyDescent="0.25">
      <c r="C246" s="13"/>
      <c r="D246" s="4" t="s">
        <v>1487</v>
      </c>
      <c r="E246" s="4" t="s">
        <v>1331</v>
      </c>
      <c r="F246" s="3">
        <v>0</v>
      </c>
      <c r="G246" s="3">
        <f t="shared" si="195"/>
        <v>0</v>
      </c>
      <c r="H246" s="14" t="str">
        <f t="shared" ref="H246" si="249">IF(NOT(ISNUMBER(VALUE(G246))), "NA",IF(VALUE(G246)&gt;83,"HIGH",IF(VALUE(G246)&lt;60,"LOW", "VALUE IN RANGE")))</f>
        <v>LOW</v>
      </c>
    </row>
    <row r="247" spans="3:8" x14ac:dyDescent="0.25">
      <c r="C247" s="13"/>
      <c r="D247" s="4" t="s">
        <v>1487</v>
      </c>
      <c r="E247" s="1" t="s">
        <v>1332</v>
      </c>
      <c r="F247" s="5">
        <v>0</v>
      </c>
      <c r="G247" s="3">
        <f t="shared" si="195"/>
        <v>0</v>
      </c>
      <c r="H247" s="14" t="str">
        <f t="shared" ref="H247" si="250">IF(NOT(ISNUMBER(VALUE(G247))), "NA",IF(VALUE(G247)&gt;5.1,"HIGH",IF(VALUE(G247)&lt;0.8,"LOW", "VALUE IN RANGE")))</f>
        <v>LOW</v>
      </c>
    </row>
    <row r="248" spans="3:8" x14ac:dyDescent="0.25">
      <c r="C248" s="13"/>
      <c r="D248" s="4" t="s">
        <v>1487</v>
      </c>
      <c r="E248" s="4" t="s">
        <v>1333</v>
      </c>
      <c r="F248" s="3">
        <v>0</v>
      </c>
      <c r="G248" s="3">
        <f t="shared" si="195"/>
        <v>0</v>
      </c>
      <c r="H248" s="14" t="str">
        <f t="shared" ref="H248" si="251">IF(NOT(ISNUMBER(VALUE(G248))), "NA",IF(VALUE(G248)&gt;1.8,"HIGH",IF(VALUE(G248)&lt;0,"LOW", "VALUE IN RANGE")))</f>
        <v>VALUE IN RANGE</v>
      </c>
    </row>
    <row r="249" spans="3:8" x14ac:dyDescent="0.25">
      <c r="C249" s="13"/>
      <c r="D249" s="4" t="s">
        <v>1487</v>
      </c>
      <c r="E249" s="1" t="s">
        <v>1334</v>
      </c>
      <c r="F249" s="5">
        <v>0</v>
      </c>
      <c r="G249" s="3">
        <f t="shared" si="195"/>
        <v>0</v>
      </c>
      <c r="H249" s="14" t="str">
        <f t="shared" ref="H249" si="252">IF(NOT(ISNUMBER(VALUE(G249))), "NA",IF(VALUE(G249)&gt;12.6,"HIGH",IF(VALUE(G249)&lt;4,"LOW", "VALUE IN RANGE")))</f>
        <v>LOW</v>
      </c>
    </row>
    <row r="250" spans="3:8" x14ac:dyDescent="0.25">
      <c r="C250" s="13"/>
      <c r="D250" s="4" t="s">
        <v>1487</v>
      </c>
      <c r="E250" s="4" t="s">
        <v>1335</v>
      </c>
      <c r="F250" s="3">
        <v>0</v>
      </c>
      <c r="G250" s="3">
        <f t="shared" si="195"/>
        <v>0</v>
      </c>
      <c r="H250" s="14" t="str">
        <f t="shared" ref="H250" si="253">IF(NOT(ISNUMBER(VALUE(G250))), "NA",IF(VALUE(G250)&gt;8.5,"HIGH",IF(VALUE(G250)&lt;5.5,"LOW", "VALUE IN RANGE")))</f>
        <v>LOW</v>
      </c>
    </row>
    <row r="251" spans="3:8" x14ac:dyDescent="0.25">
      <c r="C251" s="13"/>
      <c r="D251" s="4" t="s">
        <v>1487</v>
      </c>
      <c r="E251" s="1" t="s">
        <v>148</v>
      </c>
      <c r="F251" s="5">
        <v>0</v>
      </c>
      <c r="G251" s="3">
        <f t="shared" si="195"/>
        <v>0</v>
      </c>
      <c r="H251" s="14" t="str">
        <f t="shared" ref="H251" si="254">IF(NOT(ISNUMBER(VALUE(G251))), "NA",IF(VALUE(G251)&gt;190,"HIGH",IF(VALUE(G251)&lt;110,"LOW", "VALUE IN RANGE")))</f>
        <v>LOW</v>
      </c>
    </row>
    <row r="252" spans="3:8" x14ac:dyDescent="0.25">
      <c r="C252" s="13"/>
      <c r="D252" s="4" t="s">
        <v>1487</v>
      </c>
      <c r="E252" s="4" t="s">
        <v>1336</v>
      </c>
      <c r="F252" s="3">
        <v>0</v>
      </c>
      <c r="G252" s="3">
        <f t="shared" si="195"/>
        <v>0</v>
      </c>
      <c r="H252" s="14" t="str">
        <f t="shared" ref="H252" si="255">IF(NOT(ISNUMBER(VALUE(G252))), "NA",IF(VALUE(G252)&gt;56,"HIGH",IF(VALUE(G252)&lt;39,"LOW", "VALUE IN RANGE")))</f>
        <v>LOW</v>
      </c>
    </row>
    <row r="253" spans="3:8" x14ac:dyDescent="0.25">
      <c r="C253" s="13"/>
      <c r="D253" s="4" t="s">
        <v>1487</v>
      </c>
      <c r="E253" s="1" t="s">
        <v>1337</v>
      </c>
      <c r="F253" s="5" t="s">
        <v>45</v>
      </c>
      <c r="G253" s="3" t="str">
        <f t="shared" si="195"/>
        <v/>
      </c>
      <c r="H253" s="14" t="str">
        <f t="shared" ref="H253" si="256">IF(NOT(ISNUMBER(VALUE(G253))), "NA",IF(VALUE(G253)&gt;72,"HIGH",IF(VALUE(G253)&lt;62,"LOW", "VALUE IN RANGE")))</f>
        <v>NA</v>
      </c>
    </row>
    <row r="254" spans="3:8" x14ac:dyDescent="0.25">
      <c r="C254" s="13"/>
      <c r="D254" s="4" t="s">
        <v>1487</v>
      </c>
      <c r="E254" s="4" t="s">
        <v>1338</v>
      </c>
      <c r="F254" s="3" t="s">
        <v>45</v>
      </c>
      <c r="G254" s="3" t="str">
        <f t="shared" si="195"/>
        <v/>
      </c>
      <c r="H254" s="14" t="str">
        <f t="shared" ref="H254" si="257">IF(NOT(ISNUMBER(VALUE(G254))), "NA",IF(VALUE(G254)&gt;25,"HIGH",IF(VALUE(G254)&lt;20,"LOW", "VALUE IN RANGE")))</f>
        <v>NA</v>
      </c>
    </row>
    <row r="255" spans="3:8" x14ac:dyDescent="0.25">
      <c r="C255" s="13"/>
      <c r="D255" s="4" t="s">
        <v>1487</v>
      </c>
      <c r="E255" s="1" t="s">
        <v>27</v>
      </c>
      <c r="F255" s="5" t="s">
        <v>45</v>
      </c>
      <c r="G255" s="3" t="str">
        <f t="shared" si="195"/>
        <v/>
      </c>
      <c r="H255" s="14" t="str">
        <f t="shared" ref="H255" si="258">IF(NOT(ISNUMBER(VALUE(G255))), "NA",IF(VALUE(G255)&gt;380,"HIGH",IF(VALUE(G255)&lt;300,"LOW", "VALUE IN RANGE")))</f>
        <v>NA</v>
      </c>
    </row>
    <row r="256" spans="3:8" x14ac:dyDescent="0.25">
      <c r="C256" s="13"/>
      <c r="D256" s="4" t="s">
        <v>1487</v>
      </c>
      <c r="E256" s="4" t="s">
        <v>1339</v>
      </c>
      <c r="F256" s="3" t="s">
        <v>45</v>
      </c>
      <c r="G256" s="3" t="str">
        <f t="shared" si="195"/>
        <v/>
      </c>
      <c r="H256" s="14" t="str">
        <f t="shared" ref="H256" si="259">IF(NOT(ISNUMBER(VALUE(G256))), "NA",IF(VALUE(G256)&gt;15.5,"HIGH",IF(VALUE(G256)&lt;11,"LOW", "VALUE IN RANGE")))</f>
        <v>NA</v>
      </c>
    </row>
    <row r="257" spans="3:8" x14ac:dyDescent="0.25">
      <c r="C257" s="13"/>
      <c r="D257" s="4" t="s">
        <v>1487</v>
      </c>
      <c r="E257" s="1" t="s">
        <v>159</v>
      </c>
      <c r="F257" s="5">
        <v>0</v>
      </c>
      <c r="G257" s="3">
        <f t="shared" si="195"/>
        <v>0</v>
      </c>
      <c r="H257" s="14" t="str">
        <f t="shared" ref="H257" si="260">IF(NOT(ISNUMBER(VALUE(G257))), "NA",IF(VALUE(G257)&gt;460,"HIGH",IF(VALUE(G257)&lt;117,"LOW", "VALUE IN RANGE")))</f>
        <v>LOW</v>
      </c>
    </row>
    <row r="258" spans="3:8" x14ac:dyDescent="0.25">
      <c r="C258" s="13"/>
      <c r="D258" s="4" t="s">
        <v>1487</v>
      </c>
      <c r="E258" s="4" t="s">
        <v>1340</v>
      </c>
      <c r="F258" s="3" t="s">
        <v>45</v>
      </c>
      <c r="G258" s="3" t="str">
        <f t="shared" si="195"/>
        <v/>
      </c>
      <c r="H258" s="14" t="str">
        <f t="shared" ref="H258" si="261">IF(NOT(ISNUMBER(VALUE(G258))), "NA",IF(VALUE(G258)&gt;12,"HIGH",IF(VALUE(G258)&lt;7,"LOW", "VALUE IN RANGE")))</f>
        <v>NA</v>
      </c>
    </row>
    <row r="259" spans="3:8" x14ac:dyDescent="0.25">
      <c r="C259" s="13" t="str">
        <f t="shared" ref="C259" si="262">IF(D259=D274,D273,"falso")</f>
        <v>PATIENT_0017</v>
      </c>
      <c r="D259" s="4" t="s">
        <v>1488</v>
      </c>
      <c r="E259" s="1" t="s">
        <v>1316</v>
      </c>
      <c r="F259" s="5">
        <v>30.6</v>
      </c>
      <c r="G259" s="3">
        <f t="shared" si="195"/>
        <v>30.6</v>
      </c>
      <c r="H259" s="14" t="str">
        <f t="shared" ref="H259" si="263">IF(NOT(ISNUMBER(VALUE(G259))), "NA",IF(VALUE(G259)&gt;17,"HIGH",IF(VALUE(G259)&lt;6,"LOW", "VALUE IN RANGE")))</f>
        <v>HIGH</v>
      </c>
    </row>
    <row r="260" spans="3:8" x14ac:dyDescent="0.25">
      <c r="C260" s="13"/>
      <c r="D260" s="4" t="s">
        <v>1488</v>
      </c>
      <c r="E260" s="4" t="s">
        <v>1317</v>
      </c>
      <c r="F260" s="3">
        <v>11.3</v>
      </c>
      <c r="G260" s="3">
        <f t="shared" ref="G260:G323" si="264">IFERROR(
   VALUE(
      SUBSTITUTE(
         CLEAN(
            TRIM(F260)
         ),
         ".",
         ","
      )
   ),
   ""
)</f>
        <v>11.3</v>
      </c>
      <c r="H260" s="14" t="str">
        <f t="shared" ref="H260" si="265">IF(NOT(ISNUMBER(VALUE(G260))), "NA",IF(VALUE(G260)&gt;30,"HIGH",IF(VALUE(G260)&lt;12,"LOW", "VALUE IN RANGE")))</f>
        <v>LOW</v>
      </c>
    </row>
    <row r="261" spans="3:8" x14ac:dyDescent="0.25">
      <c r="C261" s="13"/>
      <c r="D261" s="4" t="s">
        <v>1488</v>
      </c>
      <c r="E261" s="1" t="s">
        <v>1318</v>
      </c>
      <c r="F261" s="5">
        <v>3</v>
      </c>
      <c r="G261" s="3">
        <f t="shared" si="264"/>
        <v>3</v>
      </c>
      <c r="H261" s="14" t="str">
        <f t="shared" ref="H261" si="266">IF(NOT(ISNUMBER(VALUE(G261))), "NA",IF(VALUE(G261)&gt;9,"HIGH",IF(VALUE(G261)&lt;2,"LOW", "VALUE IN RANGE")))</f>
        <v>VALUE IN RANGE</v>
      </c>
    </row>
    <row r="262" spans="3:8" x14ac:dyDescent="0.25">
      <c r="C262" s="13"/>
      <c r="D262" s="4" t="s">
        <v>1488</v>
      </c>
      <c r="E262" s="4" t="s">
        <v>1319</v>
      </c>
      <c r="F262" s="3">
        <v>85.7</v>
      </c>
      <c r="G262" s="3">
        <f t="shared" si="264"/>
        <v>85.7</v>
      </c>
      <c r="H262" s="14" t="str">
        <f t="shared" ref="H262" si="267">IF(NOT(ISNUMBER(VALUE(G262))), "NA",IF(VALUE(G262)&gt;83,"HIGH",IF(VALUE(G262)&lt;60,"LOW", "VALUE IN RANGE")))</f>
        <v>HIGH</v>
      </c>
    </row>
    <row r="263" spans="3:8" x14ac:dyDescent="0.25">
      <c r="C263" s="13"/>
      <c r="D263" s="4" t="s">
        <v>1488</v>
      </c>
      <c r="E263" s="1" t="s">
        <v>1320</v>
      </c>
      <c r="F263" s="5">
        <v>3400</v>
      </c>
      <c r="G263" s="3">
        <f t="shared" si="264"/>
        <v>3400</v>
      </c>
      <c r="H263" s="14" t="str">
        <f t="shared" ref="H263" si="268">IF(NOT(ISNUMBER(VALUE(G263))), "NA",IF(VALUE(G263)&gt;5.1,"HIGH",IF(VALUE(G263)&lt;0.8,"LOW", "VALUE IN RANGE")))</f>
        <v>HIGH</v>
      </c>
    </row>
    <row r="264" spans="3:8" x14ac:dyDescent="0.25">
      <c r="C264" s="13"/>
      <c r="D264" s="4" t="s">
        <v>1488</v>
      </c>
      <c r="E264" s="4" t="s">
        <v>1321</v>
      </c>
      <c r="F264" s="3">
        <v>0.9</v>
      </c>
      <c r="G264" s="3">
        <f t="shared" si="264"/>
        <v>0.9</v>
      </c>
      <c r="H264" s="14" t="str">
        <f t="shared" ref="H264" si="269">IF(NOT(ISNUMBER(VALUE(G264))), "NA",IF(VALUE(G264)&gt;1.8,"HIGH",IF(VALUE(G264)&lt;0,"LOW", "VALUE IN RANGE")))</f>
        <v>VALUE IN RANGE</v>
      </c>
    </row>
    <row r="265" spans="3:8" x14ac:dyDescent="0.25">
      <c r="C265" s="13"/>
      <c r="D265" s="4" t="s">
        <v>1488</v>
      </c>
      <c r="E265" s="1" t="s">
        <v>1322</v>
      </c>
      <c r="F265" s="5">
        <v>26300</v>
      </c>
      <c r="G265" s="3">
        <f t="shared" si="264"/>
        <v>26300</v>
      </c>
      <c r="H265" s="14" t="str">
        <f t="shared" ref="H265" si="270">IF(NOT(ISNUMBER(VALUE(G265))), "NA",IF(VALUE(G265)&gt;12.6,"HIGH",IF(VALUE(G265)&lt;4,"LOW", "VALUE IN RANGE")))</f>
        <v>HIGH</v>
      </c>
    </row>
    <row r="266" spans="3:8" x14ac:dyDescent="0.25">
      <c r="C266" s="13"/>
      <c r="D266" s="4" t="s">
        <v>1488</v>
      </c>
      <c r="E266" s="4" t="s">
        <v>1323</v>
      </c>
      <c r="F266" s="3">
        <v>3.66</v>
      </c>
      <c r="G266" s="3">
        <f t="shared" si="264"/>
        <v>3.66</v>
      </c>
      <c r="H266" s="14" t="str">
        <f t="shared" ref="H266" si="271">IF(NOT(ISNUMBER(VALUE(G266))), "NA",IF(VALUE(G266)&gt;8.5,"HIGH",IF(VALUE(G266)&lt;5.5,"LOW", "VALUE IN RANGE")))</f>
        <v>LOW</v>
      </c>
    </row>
    <row r="267" spans="3:8" x14ac:dyDescent="0.25">
      <c r="C267" s="13"/>
      <c r="D267" s="4" t="s">
        <v>1488</v>
      </c>
      <c r="E267" s="1" t="s">
        <v>19</v>
      </c>
      <c r="F267" s="5">
        <v>78</v>
      </c>
      <c r="G267" s="3">
        <f t="shared" si="264"/>
        <v>78</v>
      </c>
      <c r="H267" s="14" t="str">
        <f t="shared" ref="H267" si="272">IF(NOT(ISNUMBER(VALUE(G267))), "NA",IF(VALUE(G267)&gt;190,"HIGH",IF(VALUE(G267)&lt;110,"LOW", "VALUE IN RANGE")))</f>
        <v>LOW</v>
      </c>
    </row>
    <row r="268" spans="3:8" x14ac:dyDescent="0.25">
      <c r="C268" s="13"/>
      <c r="D268" s="4" t="s">
        <v>1488</v>
      </c>
      <c r="E268" s="4" t="s">
        <v>1324</v>
      </c>
      <c r="F268" s="3">
        <v>25.8</v>
      </c>
      <c r="G268" s="3">
        <f t="shared" si="264"/>
        <v>25.8</v>
      </c>
      <c r="H268" s="14" t="str">
        <f t="shared" ref="H268" si="273">IF(NOT(ISNUMBER(VALUE(G268))), "NA",IF(VALUE(G268)&gt;56,"HIGH",IF(VALUE(G268)&lt;39,"LOW", "VALUE IN RANGE")))</f>
        <v>LOW</v>
      </c>
    </row>
    <row r="269" spans="3:8" x14ac:dyDescent="0.25">
      <c r="C269" s="13"/>
      <c r="D269" s="4" t="s">
        <v>1488</v>
      </c>
      <c r="E269" s="1" t="s">
        <v>1325</v>
      </c>
      <c r="F269" s="5">
        <v>70.5</v>
      </c>
      <c r="G269" s="3">
        <f t="shared" si="264"/>
        <v>70.5</v>
      </c>
      <c r="H269" s="14" t="str">
        <f t="shared" ref="H269" si="274">IF(NOT(ISNUMBER(VALUE(G269))), "NA",IF(VALUE(G269)&gt;72,"HIGH",IF(VALUE(G269)&lt;62,"LOW", "VALUE IN RANGE")))</f>
        <v>VALUE IN RANGE</v>
      </c>
    </row>
    <row r="270" spans="3:8" x14ac:dyDescent="0.25">
      <c r="C270" s="13"/>
      <c r="D270" s="4" t="s">
        <v>1488</v>
      </c>
      <c r="E270" s="4" t="s">
        <v>1326</v>
      </c>
      <c r="F270" s="3">
        <v>21.3</v>
      </c>
      <c r="G270" s="3">
        <f t="shared" si="264"/>
        <v>21.3</v>
      </c>
      <c r="H270" s="14" t="str">
        <f t="shared" ref="H270" si="275">IF(NOT(ISNUMBER(VALUE(G270))), "NA",IF(VALUE(G270)&gt;25,"HIGH",IF(VALUE(G270)&lt;20,"LOW", "VALUE IN RANGE")))</f>
        <v>VALUE IN RANGE</v>
      </c>
    </row>
    <row r="271" spans="3:8" x14ac:dyDescent="0.25">
      <c r="C271" s="13"/>
      <c r="D271" s="4" t="s">
        <v>1488</v>
      </c>
      <c r="E271" s="1" t="s">
        <v>27</v>
      </c>
      <c r="F271" s="5">
        <v>302</v>
      </c>
      <c r="G271" s="3">
        <f t="shared" si="264"/>
        <v>302</v>
      </c>
      <c r="H271" s="14" t="str">
        <f t="shared" ref="H271" si="276">IF(NOT(ISNUMBER(VALUE(G271))), "NA",IF(VALUE(G271)&gt;380,"HIGH",IF(VALUE(G271)&lt;300,"LOW", "VALUE IN RANGE")))</f>
        <v>VALUE IN RANGE</v>
      </c>
    </row>
    <row r="272" spans="3:8" x14ac:dyDescent="0.25">
      <c r="C272" s="13"/>
      <c r="D272" s="4" t="s">
        <v>1488</v>
      </c>
      <c r="E272" s="4" t="s">
        <v>1327</v>
      </c>
      <c r="F272" s="3">
        <v>17.7</v>
      </c>
      <c r="G272" s="3">
        <f t="shared" si="264"/>
        <v>17.7</v>
      </c>
      <c r="H272" s="14" t="str">
        <f t="shared" ref="H272" si="277">IF(NOT(ISNUMBER(VALUE(G272))), "NA",IF(VALUE(G272)&gt;15.5,"HIGH",IF(VALUE(G272)&lt;11,"LOW", "VALUE IN RANGE")))</f>
        <v>HIGH</v>
      </c>
    </row>
    <row r="273" spans="3:8" x14ac:dyDescent="0.25">
      <c r="C273" s="13"/>
      <c r="D273" s="4" t="s">
        <v>1488</v>
      </c>
      <c r="E273" s="1" t="s">
        <v>31</v>
      </c>
      <c r="F273" s="5">
        <v>124</v>
      </c>
      <c r="G273" s="3">
        <f t="shared" si="264"/>
        <v>124</v>
      </c>
      <c r="H273" s="14" t="str">
        <f t="shared" ref="H273" si="278">IF(NOT(ISNUMBER(VALUE(G273))), "NA",IF(VALUE(G273)&gt;460,"HIGH",IF(VALUE(G273)&lt;117,"LOW", "VALUE IN RANGE")))</f>
        <v>VALUE IN RANGE</v>
      </c>
    </row>
    <row r="274" spans="3:8" x14ac:dyDescent="0.25">
      <c r="C274" s="13"/>
      <c r="D274" s="4" t="s">
        <v>1488</v>
      </c>
      <c r="E274" s="4" t="s">
        <v>1328</v>
      </c>
      <c r="F274" s="3">
        <v>10.3</v>
      </c>
      <c r="G274" s="3">
        <f t="shared" si="264"/>
        <v>10.3</v>
      </c>
      <c r="H274" s="14" t="str">
        <f t="shared" ref="H274" si="279">IF(NOT(ISNUMBER(VALUE(G274))), "NA",IF(VALUE(G274)&gt;12,"HIGH",IF(VALUE(G274)&lt;7,"LOW", "VALUE IN RANGE")))</f>
        <v>VALUE IN RANGE</v>
      </c>
    </row>
    <row r="275" spans="3:8" x14ac:dyDescent="0.25">
      <c r="C275" s="13" t="str">
        <f t="shared" ref="C275" si="280">IF(D275=D290,D289,"falso")</f>
        <v>PATIENT_0018</v>
      </c>
      <c r="D275" s="4" t="s">
        <v>1489</v>
      </c>
      <c r="E275" s="1" t="s">
        <v>1316</v>
      </c>
      <c r="F275" s="5">
        <v>10</v>
      </c>
      <c r="G275" s="3">
        <f t="shared" si="264"/>
        <v>10</v>
      </c>
      <c r="H275" s="14" t="str">
        <f t="shared" ref="H275" si="281">IF(NOT(ISNUMBER(VALUE(G275))), "NA",IF(VALUE(G275)&gt;17,"HIGH",IF(VALUE(G275)&lt;6,"LOW", "VALUE IN RANGE")))</f>
        <v>VALUE IN RANGE</v>
      </c>
    </row>
    <row r="276" spans="3:8" x14ac:dyDescent="0.25">
      <c r="C276" s="13"/>
      <c r="D276" s="4" t="s">
        <v>1489</v>
      </c>
      <c r="E276" s="4" t="s">
        <v>1317</v>
      </c>
      <c r="F276" s="3">
        <v>15.8</v>
      </c>
      <c r="G276" s="3">
        <f t="shared" si="264"/>
        <v>15.8</v>
      </c>
      <c r="H276" s="14" t="str">
        <f t="shared" ref="H276" si="282">IF(NOT(ISNUMBER(VALUE(G276))), "NA",IF(VALUE(G276)&gt;30,"HIGH",IF(VALUE(G276)&lt;12,"LOW", "VALUE IN RANGE")))</f>
        <v>VALUE IN RANGE</v>
      </c>
    </row>
    <row r="277" spans="3:8" x14ac:dyDescent="0.25">
      <c r="C277" s="13"/>
      <c r="D277" s="4" t="s">
        <v>1489</v>
      </c>
      <c r="E277" s="1" t="s">
        <v>1318</v>
      </c>
      <c r="F277" s="5">
        <v>5.2</v>
      </c>
      <c r="G277" s="3">
        <f t="shared" si="264"/>
        <v>5.2</v>
      </c>
      <c r="H277" s="14" t="str">
        <f t="shared" ref="H277" si="283">IF(NOT(ISNUMBER(VALUE(G277))), "NA",IF(VALUE(G277)&gt;9,"HIGH",IF(VALUE(G277)&lt;2,"LOW", "VALUE IN RANGE")))</f>
        <v>VALUE IN RANGE</v>
      </c>
    </row>
    <row r="278" spans="3:8" x14ac:dyDescent="0.25">
      <c r="C278" s="13"/>
      <c r="D278" s="4" t="s">
        <v>1489</v>
      </c>
      <c r="E278" s="4" t="s">
        <v>1319</v>
      </c>
      <c r="F278" s="3">
        <v>79</v>
      </c>
      <c r="G278" s="3">
        <f t="shared" si="264"/>
        <v>79</v>
      </c>
      <c r="H278" s="14" t="str">
        <f t="shared" ref="H278" si="284">IF(NOT(ISNUMBER(VALUE(G278))), "NA",IF(VALUE(G278)&gt;83,"HIGH",IF(VALUE(G278)&lt;60,"LOW", "VALUE IN RANGE")))</f>
        <v>VALUE IN RANGE</v>
      </c>
    </row>
    <row r="279" spans="3:8" x14ac:dyDescent="0.25">
      <c r="C279" s="13"/>
      <c r="D279" s="4" t="s">
        <v>1489</v>
      </c>
      <c r="E279" s="1" t="s">
        <v>1320</v>
      </c>
      <c r="F279" s="5">
        <v>1500</v>
      </c>
      <c r="G279" s="3">
        <f t="shared" si="264"/>
        <v>1500</v>
      </c>
      <c r="H279" s="14" t="str">
        <f t="shared" ref="H279" si="285">IF(NOT(ISNUMBER(VALUE(G279))), "NA",IF(VALUE(G279)&gt;5.1,"HIGH",IF(VALUE(G279)&lt;0.8,"LOW", "VALUE IN RANGE")))</f>
        <v>HIGH</v>
      </c>
    </row>
    <row r="280" spans="3:8" x14ac:dyDescent="0.25">
      <c r="C280" s="13"/>
      <c r="D280" s="4" t="s">
        <v>1489</v>
      </c>
      <c r="E280" s="4" t="s">
        <v>1321</v>
      </c>
      <c r="F280" s="3">
        <v>0.5</v>
      </c>
      <c r="G280" s="3">
        <f t="shared" si="264"/>
        <v>0.5</v>
      </c>
      <c r="H280" s="14" t="str">
        <f t="shared" ref="H280" si="286">IF(NOT(ISNUMBER(VALUE(G280))), "NA",IF(VALUE(G280)&gt;1.8,"HIGH",IF(VALUE(G280)&lt;0,"LOW", "VALUE IN RANGE")))</f>
        <v>VALUE IN RANGE</v>
      </c>
    </row>
    <row r="281" spans="3:8" x14ac:dyDescent="0.25">
      <c r="C281" s="13"/>
      <c r="D281" s="4" t="s">
        <v>1489</v>
      </c>
      <c r="E281" s="1" t="s">
        <v>1322</v>
      </c>
      <c r="F281" s="5">
        <v>8000</v>
      </c>
      <c r="G281" s="3">
        <f t="shared" si="264"/>
        <v>8000</v>
      </c>
      <c r="H281" s="14" t="str">
        <f t="shared" ref="H281" si="287">IF(NOT(ISNUMBER(VALUE(G281))), "NA",IF(VALUE(G281)&gt;12.6,"HIGH",IF(VALUE(G281)&lt;4,"LOW", "VALUE IN RANGE")))</f>
        <v>HIGH</v>
      </c>
    </row>
    <row r="282" spans="3:8" x14ac:dyDescent="0.25">
      <c r="C282" s="13"/>
      <c r="D282" s="4" t="s">
        <v>1489</v>
      </c>
      <c r="E282" s="4" t="s">
        <v>1323</v>
      </c>
      <c r="F282" s="3">
        <v>8.43</v>
      </c>
      <c r="G282" s="3">
        <f t="shared" si="264"/>
        <v>8.43</v>
      </c>
      <c r="H282" s="14" t="str">
        <f t="shared" ref="H282" si="288">IF(NOT(ISNUMBER(VALUE(G282))), "NA",IF(VALUE(G282)&gt;8.5,"HIGH",IF(VALUE(G282)&lt;5.5,"LOW", "VALUE IN RANGE")))</f>
        <v>VALUE IN RANGE</v>
      </c>
    </row>
    <row r="283" spans="3:8" x14ac:dyDescent="0.25">
      <c r="C283" s="13"/>
      <c r="D283" s="4" t="s">
        <v>1489</v>
      </c>
      <c r="E283" s="1" t="s">
        <v>19</v>
      </c>
      <c r="F283" s="5">
        <v>187</v>
      </c>
      <c r="G283" s="3">
        <f t="shared" si="264"/>
        <v>187</v>
      </c>
      <c r="H283" s="14" t="str">
        <f t="shared" ref="H283" si="289">IF(NOT(ISNUMBER(VALUE(G283))), "NA",IF(VALUE(G283)&gt;190,"HIGH",IF(VALUE(G283)&lt;110,"LOW", "VALUE IN RANGE")))</f>
        <v>VALUE IN RANGE</v>
      </c>
    </row>
    <row r="284" spans="3:8" x14ac:dyDescent="0.25">
      <c r="C284" s="13"/>
      <c r="D284" s="4" t="s">
        <v>1489</v>
      </c>
      <c r="E284" s="4" t="s">
        <v>1324</v>
      </c>
      <c r="F284" s="3">
        <v>59</v>
      </c>
      <c r="G284" s="3">
        <f t="shared" si="264"/>
        <v>59</v>
      </c>
      <c r="H284" s="14" t="str">
        <f t="shared" ref="H284" si="290">IF(NOT(ISNUMBER(VALUE(G284))), "NA",IF(VALUE(G284)&gt;56,"HIGH",IF(VALUE(G284)&lt;39,"LOW", "VALUE IN RANGE")))</f>
        <v>HIGH</v>
      </c>
    </row>
    <row r="285" spans="3:8" x14ac:dyDescent="0.25">
      <c r="C285" s="13"/>
      <c r="D285" s="4" t="s">
        <v>1489</v>
      </c>
      <c r="E285" s="1" t="s">
        <v>1325</v>
      </c>
      <c r="F285" s="5">
        <v>70</v>
      </c>
      <c r="G285" s="3">
        <f t="shared" si="264"/>
        <v>70</v>
      </c>
      <c r="H285" s="14" t="str">
        <f t="shared" ref="H285" si="291">IF(NOT(ISNUMBER(VALUE(G285))), "NA",IF(VALUE(G285)&gt;72,"HIGH",IF(VALUE(G285)&lt;62,"LOW", "VALUE IN RANGE")))</f>
        <v>VALUE IN RANGE</v>
      </c>
    </row>
    <row r="286" spans="3:8" x14ac:dyDescent="0.25">
      <c r="C286" s="13"/>
      <c r="D286" s="4" t="s">
        <v>1489</v>
      </c>
      <c r="E286" s="4" t="s">
        <v>1326</v>
      </c>
      <c r="F286" s="3">
        <v>22.1</v>
      </c>
      <c r="G286" s="3">
        <f t="shared" si="264"/>
        <v>22.1</v>
      </c>
      <c r="H286" s="14" t="str">
        <f t="shared" ref="H286" si="292">IF(NOT(ISNUMBER(VALUE(G286))), "NA",IF(VALUE(G286)&gt;25,"HIGH",IF(VALUE(G286)&lt;20,"LOW", "VALUE IN RANGE")))</f>
        <v>VALUE IN RANGE</v>
      </c>
    </row>
    <row r="287" spans="3:8" x14ac:dyDescent="0.25">
      <c r="C287" s="13"/>
      <c r="D287" s="4" t="s">
        <v>1489</v>
      </c>
      <c r="E287" s="1" t="s">
        <v>27</v>
      </c>
      <c r="F287" s="5">
        <v>316</v>
      </c>
      <c r="G287" s="3">
        <f t="shared" si="264"/>
        <v>316</v>
      </c>
      <c r="H287" s="14" t="str">
        <f t="shared" ref="H287" si="293">IF(NOT(ISNUMBER(VALUE(G287))), "NA",IF(VALUE(G287)&gt;380,"HIGH",IF(VALUE(G287)&lt;300,"LOW", "VALUE IN RANGE")))</f>
        <v>VALUE IN RANGE</v>
      </c>
    </row>
    <row r="288" spans="3:8" x14ac:dyDescent="0.25">
      <c r="C288" s="13"/>
      <c r="D288" s="4" t="s">
        <v>1489</v>
      </c>
      <c r="E288" s="4" t="s">
        <v>1327</v>
      </c>
      <c r="F288" s="3">
        <v>12.6</v>
      </c>
      <c r="G288" s="3">
        <f t="shared" si="264"/>
        <v>12.6</v>
      </c>
      <c r="H288" s="14" t="str">
        <f t="shared" ref="H288" si="294">IF(NOT(ISNUMBER(VALUE(G288))), "NA",IF(VALUE(G288)&gt;15.5,"HIGH",IF(VALUE(G288)&lt;11,"LOW", "VALUE IN RANGE")))</f>
        <v>VALUE IN RANGE</v>
      </c>
    </row>
    <row r="289" spans="3:8" x14ac:dyDescent="0.25">
      <c r="C289" s="13"/>
      <c r="D289" s="4" t="s">
        <v>1489</v>
      </c>
      <c r="E289" s="1" t="s">
        <v>31</v>
      </c>
      <c r="F289" s="5">
        <v>315</v>
      </c>
      <c r="G289" s="3">
        <f t="shared" si="264"/>
        <v>315</v>
      </c>
      <c r="H289" s="14" t="str">
        <f t="shared" ref="H289" si="295">IF(NOT(ISNUMBER(VALUE(G289))), "NA",IF(VALUE(G289)&gt;460,"HIGH",IF(VALUE(G289)&lt;117,"LOW", "VALUE IN RANGE")))</f>
        <v>VALUE IN RANGE</v>
      </c>
    </row>
    <row r="290" spans="3:8" x14ac:dyDescent="0.25">
      <c r="C290" s="13"/>
      <c r="D290" s="4" t="s">
        <v>1489</v>
      </c>
      <c r="E290" s="4" t="s">
        <v>1328</v>
      </c>
      <c r="F290" s="3">
        <v>8.1</v>
      </c>
      <c r="G290" s="3">
        <f t="shared" si="264"/>
        <v>8.1</v>
      </c>
      <c r="H290" s="14" t="str">
        <f t="shared" ref="H290" si="296">IF(NOT(ISNUMBER(VALUE(G290))), "NA",IF(VALUE(G290)&gt;12,"HIGH",IF(VALUE(G290)&lt;7,"LOW", "VALUE IN RANGE")))</f>
        <v>VALUE IN RANGE</v>
      </c>
    </row>
    <row r="291" spans="3:8" x14ac:dyDescent="0.25">
      <c r="C291" s="13" t="str">
        <f t="shared" ref="C291" si="297">IF(D291=D306,D305,"falso")</f>
        <v>PATIENT_0019</v>
      </c>
      <c r="D291" s="4" t="s">
        <v>1490</v>
      </c>
      <c r="E291" s="1" t="s">
        <v>1329</v>
      </c>
      <c r="F291" s="5">
        <v>22.1</v>
      </c>
      <c r="G291" s="3">
        <f t="shared" si="264"/>
        <v>22.1</v>
      </c>
      <c r="H291" s="14" t="str">
        <f t="shared" ref="H291" si="298">IF(NOT(ISNUMBER(VALUE(G291))), "NA",IF(VALUE(G291)&gt;17,"HIGH",IF(VALUE(G291)&lt;6,"LOW", "VALUE IN RANGE")))</f>
        <v>HIGH</v>
      </c>
    </row>
    <row r="292" spans="3:8" x14ac:dyDescent="0.25">
      <c r="C292" s="13"/>
      <c r="D292" s="4" t="s">
        <v>1490</v>
      </c>
      <c r="E292" s="4" t="s">
        <v>136</v>
      </c>
      <c r="F292" s="3">
        <v>6.1</v>
      </c>
      <c r="G292" s="3">
        <f t="shared" si="264"/>
        <v>6.1</v>
      </c>
      <c r="H292" s="14" t="str">
        <f t="shared" ref="H292" si="299">IF(NOT(ISNUMBER(VALUE(G292))), "NA",IF(VALUE(G292)&gt;30,"HIGH",IF(VALUE(G292)&lt;12,"LOW", "VALUE IN RANGE")))</f>
        <v>LOW</v>
      </c>
    </row>
    <row r="293" spans="3:8" x14ac:dyDescent="0.25">
      <c r="C293" s="13"/>
      <c r="D293" s="4" t="s">
        <v>1490</v>
      </c>
      <c r="E293" s="1" t="s">
        <v>7</v>
      </c>
      <c r="F293" s="5">
        <v>3</v>
      </c>
      <c r="G293" s="3">
        <f t="shared" si="264"/>
        <v>3</v>
      </c>
      <c r="H293" s="14" t="str">
        <f t="shared" ref="H293" si="300">IF(NOT(ISNUMBER(VALUE(G293))), "NA",IF(VALUE(G293)&gt;9,"HIGH",IF(VALUE(G293)&lt;2,"LOW", "VALUE IN RANGE")))</f>
        <v>VALUE IN RANGE</v>
      </c>
    </row>
    <row r="294" spans="3:8" x14ac:dyDescent="0.25">
      <c r="C294" s="13"/>
      <c r="D294" s="4" t="s">
        <v>1490</v>
      </c>
      <c r="E294" s="4" t="s">
        <v>139</v>
      </c>
      <c r="F294" s="3">
        <v>90.9</v>
      </c>
      <c r="G294" s="3">
        <f t="shared" si="264"/>
        <v>90.9</v>
      </c>
      <c r="H294" s="14" t="str">
        <f t="shared" ref="H294" si="301">IF(NOT(ISNUMBER(VALUE(G294))), "NA",IF(VALUE(G294)&gt;83,"HIGH",IF(VALUE(G294)&lt;60,"LOW", "VALUE IN RANGE")))</f>
        <v>HIGH</v>
      </c>
    </row>
    <row r="295" spans="3:8" x14ac:dyDescent="0.25">
      <c r="C295" s="13"/>
      <c r="D295" s="4" t="s">
        <v>1490</v>
      </c>
      <c r="E295" s="1" t="s">
        <v>141</v>
      </c>
      <c r="F295" s="5">
        <v>1300</v>
      </c>
      <c r="G295" s="3">
        <f t="shared" si="264"/>
        <v>1300</v>
      </c>
      <c r="H295" s="14" t="str">
        <f t="shared" ref="H295" si="302">IF(NOT(ISNUMBER(VALUE(G295))), "NA",IF(VALUE(G295)&gt;5.1,"HIGH",IF(VALUE(G295)&lt;0.8,"LOW", "VALUE IN RANGE")))</f>
        <v>HIGH</v>
      </c>
    </row>
    <row r="296" spans="3:8" x14ac:dyDescent="0.25">
      <c r="C296" s="13"/>
      <c r="D296" s="4" t="s">
        <v>1490</v>
      </c>
      <c r="E296" s="4" t="s">
        <v>143</v>
      </c>
      <c r="F296" s="3">
        <v>0.6</v>
      </c>
      <c r="G296" s="3">
        <f t="shared" si="264"/>
        <v>0.6</v>
      </c>
      <c r="H296" s="14" t="str">
        <f t="shared" ref="H296" si="303">IF(NOT(ISNUMBER(VALUE(G296))), "NA",IF(VALUE(G296)&gt;1.8,"HIGH",IF(VALUE(G296)&lt;0,"LOW", "VALUE IN RANGE")))</f>
        <v>VALUE IN RANGE</v>
      </c>
    </row>
    <row r="297" spans="3:8" x14ac:dyDescent="0.25">
      <c r="C297" s="13"/>
      <c r="D297" s="4" t="s">
        <v>1490</v>
      </c>
      <c r="E297" s="1" t="s">
        <v>144</v>
      </c>
      <c r="F297" s="5">
        <v>20200</v>
      </c>
      <c r="G297" s="3">
        <f t="shared" si="264"/>
        <v>20200</v>
      </c>
      <c r="H297" s="14" t="str">
        <f t="shared" ref="H297" si="304">IF(NOT(ISNUMBER(VALUE(G297))), "NA",IF(VALUE(G297)&gt;12.6,"HIGH",IF(VALUE(G297)&lt;4,"LOW", "VALUE IN RANGE")))</f>
        <v>HIGH</v>
      </c>
    </row>
    <row r="298" spans="3:8" x14ac:dyDescent="0.25">
      <c r="C298" s="13"/>
      <c r="D298" s="4" t="s">
        <v>1490</v>
      </c>
      <c r="E298" s="4" t="s">
        <v>146</v>
      </c>
      <c r="F298" s="3">
        <v>10.53</v>
      </c>
      <c r="G298" s="3">
        <f t="shared" si="264"/>
        <v>10.53</v>
      </c>
      <c r="H298" s="14" t="str">
        <f t="shared" ref="H298" si="305">IF(NOT(ISNUMBER(VALUE(G298))), "NA",IF(VALUE(G298)&gt;8.5,"HIGH",IF(VALUE(G298)&lt;5.5,"LOW", "VALUE IN RANGE")))</f>
        <v>HIGH</v>
      </c>
    </row>
    <row r="299" spans="3:8" x14ac:dyDescent="0.25">
      <c r="C299" s="13"/>
      <c r="D299" s="4" t="s">
        <v>1490</v>
      </c>
      <c r="E299" s="1" t="s">
        <v>148</v>
      </c>
      <c r="F299" s="5">
        <v>155</v>
      </c>
      <c r="G299" s="3">
        <f t="shared" si="264"/>
        <v>155</v>
      </c>
      <c r="H299" s="14" t="str">
        <f t="shared" ref="H299" si="306">IF(NOT(ISNUMBER(VALUE(G299))), "NA",IF(VALUE(G299)&gt;190,"HIGH",IF(VALUE(G299)&lt;110,"LOW", "VALUE IN RANGE")))</f>
        <v>VALUE IN RANGE</v>
      </c>
    </row>
    <row r="300" spans="3:8" x14ac:dyDescent="0.25">
      <c r="C300" s="13"/>
      <c r="D300" s="4" t="s">
        <v>1490</v>
      </c>
      <c r="E300" s="4" t="s">
        <v>150</v>
      </c>
      <c r="F300" s="3">
        <v>55.1</v>
      </c>
      <c r="G300" s="3">
        <f t="shared" si="264"/>
        <v>55.1</v>
      </c>
      <c r="H300" s="14" t="str">
        <f t="shared" ref="H300" si="307">IF(NOT(ISNUMBER(VALUE(G300))), "NA",IF(VALUE(G300)&gt;56,"HIGH",IF(VALUE(G300)&lt;39,"LOW", "VALUE IN RANGE")))</f>
        <v>VALUE IN RANGE</v>
      </c>
    </row>
    <row r="301" spans="3:8" x14ac:dyDescent="0.25">
      <c r="C301" s="13"/>
      <c r="D301" s="4" t="s">
        <v>1490</v>
      </c>
      <c r="E301" s="1" t="s">
        <v>152</v>
      </c>
      <c r="F301" s="5">
        <v>52.4</v>
      </c>
      <c r="G301" s="3">
        <f t="shared" si="264"/>
        <v>52.4</v>
      </c>
      <c r="H301" s="14" t="str">
        <f t="shared" ref="H301" si="308">IF(NOT(ISNUMBER(VALUE(G301))), "NA",IF(VALUE(G301)&gt;72,"HIGH",IF(VALUE(G301)&lt;62,"LOW", "VALUE IN RANGE")))</f>
        <v>LOW</v>
      </c>
    </row>
    <row r="302" spans="3:8" x14ac:dyDescent="0.25">
      <c r="C302" s="13"/>
      <c r="D302" s="4" t="s">
        <v>1490</v>
      </c>
      <c r="E302" s="4" t="s">
        <v>154</v>
      </c>
      <c r="F302" s="3">
        <v>14.7</v>
      </c>
      <c r="G302" s="3">
        <f t="shared" si="264"/>
        <v>14.7</v>
      </c>
      <c r="H302" s="14" t="str">
        <f t="shared" ref="H302" si="309">IF(NOT(ISNUMBER(VALUE(G302))), "NA",IF(VALUE(G302)&gt;25,"HIGH",IF(VALUE(G302)&lt;20,"LOW", "VALUE IN RANGE")))</f>
        <v>LOW</v>
      </c>
    </row>
    <row r="303" spans="3:8" x14ac:dyDescent="0.25">
      <c r="C303" s="13"/>
      <c r="D303" s="4" t="s">
        <v>1490</v>
      </c>
      <c r="E303" s="1" t="s">
        <v>27</v>
      </c>
      <c r="F303" s="5">
        <v>281</v>
      </c>
      <c r="G303" s="3">
        <f t="shared" si="264"/>
        <v>281</v>
      </c>
      <c r="H303" s="14" t="str">
        <f t="shared" ref="H303" si="310">IF(NOT(ISNUMBER(VALUE(G303))), "NA",IF(VALUE(G303)&gt;380,"HIGH",IF(VALUE(G303)&lt;300,"LOW", "VALUE IN RANGE")))</f>
        <v>LOW</v>
      </c>
    </row>
    <row r="304" spans="3:8" x14ac:dyDescent="0.25">
      <c r="C304" s="13"/>
      <c r="D304" s="4" t="s">
        <v>1490</v>
      </c>
      <c r="E304" s="4" t="s">
        <v>157</v>
      </c>
      <c r="F304" s="3">
        <v>15.1</v>
      </c>
      <c r="G304" s="3">
        <f t="shared" si="264"/>
        <v>15.1</v>
      </c>
      <c r="H304" s="14" t="str">
        <f t="shared" ref="H304" si="311">IF(NOT(ISNUMBER(VALUE(G304))), "NA",IF(VALUE(G304)&gt;15.5,"HIGH",IF(VALUE(G304)&lt;11,"LOW", "VALUE IN RANGE")))</f>
        <v>VALUE IN RANGE</v>
      </c>
    </row>
    <row r="305" spans="3:8" x14ac:dyDescent="0.25">
      <c r="C305" s="13"/>
      <c r="D305" s="4" t="s">
        <v>1490</v>
      </c>
      <c r="E305" s="1" t="s">
        <v>159</v>
      </c>
      <c r="F305" s="5">
        <v>254</v>
      </c>
      <c r="G305" s="3">
        <f t="shared" si="264"/>
        <v>254</v>
      </c>
      <c r="H305" s="14" t="str">
        <f t="shared" ref="H305" si="312">IF(NOT(ISNUMBER(VALUE(G305))), "NA",IF(VALUE(G305)&gt;460,"HIGH",IF(VALUE(G305)&lt;117,"LOW", "VALUE IN RANGE")))</f>
        <v>VALUE IN RANGE</v>
      </c>
    </row>
    <row r="306" spans="3:8" x14ac:dyDescent="0.25">
      <c r="C306" s="13"/>
      <c r="D306" s="4" t="s">
        <v>1490</v>
      </c>
      <c r="E306" s="4" t="s">
        <v>161</v>
      </c>
      <c r="F306" s="3">
        <v>9.5</v>
      </c>
      <c r="G306" s="3">
        <f t="shared" si="264"/>
        <v>9.5</v>
      </c>
      <c r="H306" s="14" t="str">
        <f t="shared" ref="H306" si="313">IF(NOT(ISNUMBER(VALUE(G306))), "NA",IF(VALUE(G306)&gt;12,"HIGH",IF(VALUE(G306)&lt;7,"LOW", "VALUE IN RANGE")))</f>
        <v>VALUE IN RANGE</v>
      </c>
    </row>
    <row r="307" spans="3:8" x14ac:dyDescent="0.25">
      <c r="C307" s="13" t="str">
        <f t="shared" ref="C307" si="314">IF(D307=D322,D321,"falso")</f>
        <v>PATIENT_0020</v>
      </c>
      <c r="D307" s="4" t="s">
        <v>1491</v>
      </c>
      <c r="E307" s="1" t="s">
        <v>3</v>
      </c>
      <c r="F307" s="5">
        <v>8.8000000000000007</v>
      </c>
      <c r="G307" s="3">
        <f t="shared" si="264"/>
        <v>8.8000000000000007</v>
      </c>
      <c r="H307" s="14" t="str">
        <f t="shared" ref="H307" si="315">IF(NOT(ISNUMBER(VALUE(G307))), "NA",IF(VALUE(G307)&gt;17,"HIGH",IF(VALUE(G307)&lt;6,"LOW", "VALUE IN RANGE")))</f>
        <v>VALUE IN RANGE</v>
      </c>
    </row>
    <row r="308" spans="3:8" x14ac:dyDescent="0.25">
      <c r="C308" s="13"/>
      <c r="D308" s="4" t="s">
        <v>1491</v>
      </c>
      <c r="E308" s="4" t="s">
        <v>5</v>
      </c>
      <c r="F308" s="3">
        <v>22.7</v>
      </c>
      <c r="G308" s="3">
        <f t="shared" si="264"/>
        <v>22.7</v>
      </c>
      <c r="H308" s="14" t="str">
        <f t="shared" ref="H308" si="316">IF(NOT(ISNUMBER(VALUE(G308))), "NA",IF(VALUE(G308)&gt;30,"HIGH",IF(VALUE(G308)&lt;12,"LOW", "VALUE IN RANGE")))</f>
        <v>VALUE IN RANGE</v>
      </c>
    </row>
    <row r="309" spans="3:8" x14ac:dyDescent="0.25">
      <c r="C309" s="13"/>
      <c r="D309" s="4" t="s">
        <v>1491</v>
      </c>
      <c r="E309" s="1" t="s">
        <v>7</v>
      </c>
      <c r="F309" s="5">
        <v>6.4</v>
      </c>
      <c r="G309" s="3">
        <f t="shared" si="264"/>
        <v>6.4</v>
      </c>
      <c r="H309" s="14" t="str">
        <f t="shared" ref="H309" si="317">IF(NOT(ISNUMBER(VALUE(G309))), "NA",IF(VALUE(G309)&gt;9,"HIGH",IF(VALUE(G309)&lt;2,"LOW", "VALUE IN RANGE")))</f>
        <v>VALUE IN RANGE</v>
      </c>
    </row>
    <row r="310" spans="3:8" x14ac:dyDescent="0.25">
      <c r="C310" s="13"/>
      <c r="D310" s="4" t="s">
        <v>1491</v>
      </c>
      <c r="E310" s="4" t="s">
        <v>9</v>
      </c>
      <c r="F310" s="3">
        <v>70.900000000000006</v>
      </c>
      <c r="G310" s="3">
        <f t="shared" si="264"/>
        <v>70.900000000000006</v>
      </c>
      <c r="H310" s="14" t="str">
        <f t="shared" ref="H310" si="318">IF(NOT(ISNUMBER(VALUE(G310))), "NA",IF(VALUE(G310)&gt;83,"HIGH",IF(VALUE(G310)&lt;60,"LOW", "VALUE IN RANGE")))</f>
        <v>VALUE IN RANGE</v>
      </c>
    </row>
    <row r="311" spans="3:8" x14ac:dyDescent="0.25">
      <c r="C311" s="13"/>
      <c r="D311" s="4" t="s">
        <v>1491</v>
      </c>
      <c r="E311" s="1" t="s">
        <v>11</v>
      </c>
      <c r="F311" s="5">
        <v>1900</v>
      </c>
      <c r="G311" s="3">
        <f t="shared" si="264"/>
        <v>1900</v>
      </c>
      <c r="H311" s="14" t="str">
        <f t="shared" ref="H311" si="319">IF(NOT(ISNUMBER(VALUE(G311))), "NA",IF(VALUE(G311)&gt;5.1,"HIGH",IF(VALUE(G311)&lt;0.8,"LOW", "VALUE IN RANGE")))</f>
        <v>HIGH</v>
      </c>
    </row>
    <row r="312" spans="3:8" x14ac:dyDescent="0.25">
      <c r="C312" s="13"/>
      <c r="D312" s="4" t="s">
        <v>1491</v>
      </c>
      <c r="E312" s="4" t="s">
        <v>13</v>
      </c>
      <c r="F312" s="3">
        <v>0.5</v>
      </c>
      <c r="G312" s="3">
        <f t="shared" si="264"/>
        <v>0.5</v>
      </c>
      <c r="H312" s="14" t="str">
        <f t="shared" ref="H312" si="320">IF(NOT(ISNUMBER(VALUE(G312))), "NA",IF(VALUE(G312)&gt;1.8,"HIGH",IF(VALUE(G312)&lt;0,"LOW", "VALUE IN RANGE")))</f>
        <v>VALUE IN RANGE</v>
      </c>
    </row>
    <row r="313" spans="3:8" x14ac:dyDescent="0.25">
      <c r="C313" s="13"/>
      <c r="D313" s="4" t="s">
        <v>1491</v>
      </c>
      <c r="E313" s="1" t="s">
        <v>15</v>
      </c>
      <c r="F313" s="5">
        <v>6400</v>
      </c>
      <c r="G313" s="3">
        <f t="shared" si="264"/>
        <v>6400</v>
      </c>
      <c r="H313" s="14" t="str">
        <f t="shared" ref="H313" si="321">IF(NOT(ISNUMBER(VALUE(G313))), "NA",IF(VALUE(G313)&gt;12.6,"HIGH",IF(VALUE(G313)&lt;4,"LOW", "VALUE IN RANGE")))</f>
        <v>HIGH</v>
      </c>
    </row>
    <row r="314" spans="3:8" x14ac:dyDescent="0.25">
      <c r="C314" s="13"/>
      <c r="D314" s="4" t="s">
        <v>1491</v>
      </c>
      <c r="E314" s="4" t="s">
        <v>17</v>
      </c>
      <c r="F314" s="3">
        <v>679</v>
      </c>
      <c r="G314" s="3">
        <f t="shared" si="264"/>
        <v>679</v>
      </c>
      <c r="H314" s="14" t="str">
        <f t="shared" ref="H314" si="322">IF(NOT(ISNUMBER(VALUE(G314))), "NA",IF(VALUE(G314)&gt;8.5,"HIGH",IF(VALUE(G314)&lt;5.5,"LOW", "VALUE IN RANGE")))</f>
        <v>HIGH</v>
      </c>
    </row>
    <row r="315" spans="3:8" x14ac:dyDescent="0.25">
      <c r="C315" s="13"/>
      <c r="D315" s="4" t="s">
        <v>1491</v>
      </c>
      <c r="E315" s="1" t="s">
        <v>19</v>
      </c>
      <c r="F315" s="5">
        <v>153</v>
      </c>
      <c r="G315" s="3">
        <f t="shared" si="264"/>
        <v>153</v>
      </c>
      <c r="H315" s="14" t="str">
        <f t="shared" ref="H315" si="323">IF(NOT(ISNUMBER(VALUE(G315))), "NA",IF(VALUE(G315)&gt;190,"HIGH",IF(VALUE(G315)&lt;110,"LOW", "VALUE IN RANGE")))</f>
        <v>VALUE IN RANGE</v>
      </c>
    </row>
    <row r="316" spans="3:8" x14ac:dyDescent="0.25">
      <c r="C316" s="13"/>
      <c r="D316" s="4" t="s">
        <v>1491</v>
      </c>
      <c r="E316" s="4" t="s">
        <v>21</v>
      </c>
      <c r="F316" s="3">
        <v>46.5</v>
      </c>
      <c r="G316" s="3">
        <f t="shared" si="264"/>
        <v>46.5</v>
      </c>
      <c r="H316" s="14" t="str">
        <f t="shared" ref="H316" si="324">IF(NOT(ISNUMBER(VALUE(G316))), "NA",IF(VALUE(G316)&gt;56,"HIGH",IF(VALUE(G316)&lt;39,"LOW", "VALUE IN RANGE")))</f>
        <v>VALUE IN RANGE</v>
      </c>
    </row>
    <row r="317" spans="3:8" x14ac:dyDescent="0.25">
      <c r="C317" s="13"/>
      <c r="D317" s="4" t="s">
        <v>1491</v>
      </c>
      <c r="E317" s="1" t="s">
        <v>23</v>
      </c>
      <c r="F317" s="5">
        <v>68.5</v>
      </c>
      <c r="G317" s="3">
        <f t="shared" si="264"/>
        <v>68.5</v>
      </c>
      <c r="H317" s="14" t="str">
        <f t="shared" ref="H317" si="325">IF(NOT(ISNUMBER(VALUE(G317))), "NA",IF(VALUE(G317)&gt;72,"HIGH",IF(VALUE(G317)&lt;62,"LOW", "VALUE IN RANGE")))</f>
        <v>VALUE IN RANGE</v>
      </c>
    </row>
    <row r="318" spans="3:8" x14ac:dyDescent="0.25">
      <c r="C318" s="13"/>
      <c r="D318" s="4" t="s">
        <v>1491</v>
      </c>
      <c r="E318" s="4" t="s">
        <v>25</v>
      </c>
      <c r="F318" s="3">
        <v>22.5</v>
      </c>
      <c r="G318" s="3">
        <f t="shared" si="264"/>
        <v>22.5</v>
      </c>
      <c r="H318" s="14" t="str">
        <f t="shared" ref="H318" si="326">IF(NOT(ISNUMBER(VALUE(G318))), "NA",IF(VALUE(G318)&gt;25,"HIGH",IF(VALUE(G318)&lt;20,"LOW", "VALUE IN RANGE")))</f>
        <v>VALUE IN RANGE</v>
      </c>
    </row>
    <row r="319" spans="3:8" x14ac:dyDescent="0.25">
      <c r="C319" s="13"/>
      <c r="D319" s="4" t="s">
        <v>1491</v>
      </c>
      <c r="E319" s="1" t="s">
        <v>27</v>
      </c>
      <c r="F319" s="5">
        <v>329</v>
      </c>
      <c r="G319" s="3">
        <f t="shared" si="264"/>
        <v>329</v>
      </c>
      <c r="H319" s="14" t="str">
        <f t="shared" ref="H319" si="327">IF(NOT(ISNUMBER(VALUE(G319))), "NA",IF(VALUE(G319)&gt;380,"HIGH",IF(VALUE(G319)&lt;300,"LOW", "VALUE IN RANGE")))</f>
        <v>VALUE IN RANGE</v>
      </c>
    </row>
    <row r="320" spans="3:8" x14ac:dyDescent="0.25">
      <c r="C320" s="13"/>
      <c r="D320" s="4" t="s">
        <v>1491</v>
      </c>
      <c r="E320" s="4" t="s">
        <v>29</v>
      </c>
      <c r="F320" s="3">
        <v>11.7</v>
      </c>
      <c r="G320" s="3">
        <f t="shared" si="264"/>
        <v>11.7</v>
      </c>
      <c r="H320" s="14" t="str">
        <f t="shared" ref="H320" si="328">IF(NOT(ISNUMBER(VALUE(G320))), "NA",IF(VALUE(G320)&gt;15.5,"HIGH",IF(VALUE(G320)&lt;11,"LOW", "VALUE IN RANGE")))</f>
        <v>VALUE IN RANGE</v>
      </c>
    </row>
    <row r="321" spans="3:8" x14ac:dyDescent="0.25">
      <c r="C321" s="13"/>
      <c r="D321" s="4" t="s">
        <v>1491</v>
      </c>
      <c r="E321" s="1" t="s">
        <v>31</v>
      </c>
      <c r="F321" s="5">
        <v>268</v>
      </c>
      <c r="G321" s="3">
        <f t="shared" si="264"/>
        <v>268</v>
      </c>
      <c r="H321" s="14" t="str">
        <f t="shared" ref="H321" si="329">IF(NOT(ISNUMBER(VALUE(G321))), "NA",IF(VALUE(G321)&gt;460,"HIGH",IF(VALUE(G321)&lt;117,"LOW", "VALUE IN RANGE")))</f>
        <v>VALUE IN RANGE</v>
      </c>
    </row>
    <row r="322" spans="3:8" x14ac:dyDescent="0.25">
      <c r="C322" s="13"/>
      <c r="D322" s="4" t="s">
        <v>1491</v>
      </c>
      <c r="E322" s="4" t="s">
        <v>33</v>
      </c>
      <c r="F322" s="3">
        <v>8.8000000000000007</v>
      </c>
      <c r="G322" s="3">
        <f t="shared" si="264"/>
        <v>8.8000000000000007</v>
      </c>
      <c r="H322" s="14" t="str">
        <f t="shared" ref="H322" si="330">IF(NOT(ISNUMBER(VALUE(G322))), "NA",IF(VALUE(G322)&gt;12,"HIGH",IF(VALUE(G322)&lt;7,"LOW", "VALUE IN RANGE")))</f>
        <v>VALUE IN RANGE</v>
      </c>
    </row>
    <row r="323" spans="3:8" x14ac:dyDescent="0.25">
      <c r="C323" s="13" t="str">
        <f t="shared" ref="C323" si="331">IF(D323=D338,D337,"falso")</f>
        <v>PATIENT_0021</v>
      </c>
      <c r="D323" s="4" t="s">
        <v>1492</v>
      </c>
      <c r="E323" s="1" t="s">
        <v>134</v>
      </c>
      <c r="F323" s="5">
        <v>8.6999999999999993</v>
      </c>
      <c r="G323" s="3">
        <f t="shared" si="264"/>
        <v>8.6999999999999993</v>
      </c>
      <c r="H323" s="14" t="str">
        <f t="shared" ref="H323" si="332">IF(NOT(ISNUMBER(VALUE(G323))), "NA",IF(VALUE(G323)&gt;17,"HIGH",IF(VALUE(G323)&lt;6,"LOW", "VALUE IN RANGE")))</f>
        <v>VALUE IN RANGE</v>
      </c>
    </row>
    <row r="324" spans="3:8" x14ac:dyDescent="0.25">
      <c r="C324" s="13"/>
      <c r="D324" s="4" t="s">
        <v>1492</v>
      </c>
      <c r="E324" s="4" t="s">
        <v>136</v>
      </c>
      <c r="F324" s="3">
        <v>26.3</v>
      </c>
      <c r="G324" s="3">
        <f t="shared" ref="G324:G387" si="333">IFERROR(
   VALUE(
      SUBSTITUTE(
         CLEAN(
            TRIM(F324)
         ),
         ".",
         ","
      )
   ),
   ""
)</f>
        <v>26.3</v>
      </c>
      <c r="H324" s="14" t="str">
        <f t="shared" ref="H324" si="334">IF(NOT(ISNUMBER(VALUE(G324))), "NA",IF(VALUE(G324)&gt;30,"HIGH",IF(VALUE(G324)&lt;12,"LOW", "VALUE IN RANGE")))</f>
        <v>VALUE IN RANGE</v>
      </c>
    </row>
    <row r="325" spans="3:8" x14ac:dyDescent="0.25">
      <c r="C325" s="13"/>
      <c r="D325" s="4" t="s">
        <v>1492</v>
      </c>
      <c r="E325" s="1" t="s">
        <v>7</v>
      </c>
      <c r="F325" s="5">
        <v>17.399999999999999</v>
      </c>
      <c r="G325" s="3">
        <f t="shared" si="333"/>
        <v>17.399999999999999</v>
      </c>
      <c r="H325" s="14" t="str">
        <f t="shared" ref="H325" si="335">IF(NOT(ISNUMBER(VALUE(G325))), "NA",IF(VALUE(G325)&gt;9,"HIGH",IF(VALUE(G325)&lt;2,"LOW", "VALUE IN RANGE")))</f>
        <v>HIGH</v>
      </c>
    </row>
    <row r="326" spans="3:8" x14ac:dyDescent="0.25">
      <c r="C326" s="13"/>
      <c r="D326" s="4" t="s">
        <v>1492</v>
      </c>
      <c r="E326" s="4" t="s">
        <v>139</v>
      </c>
      <c r="F326" s="3">
        <v>56.3</v>
      </c>
      <c r="G326" s="3">
        <f t="shared" si="333"/>
        <v>56.3</v>
      </c>
      <c r="H326" s="14" t="str">
        <f t="shared" ref="H326" si="336">IF(NOT(ISNUMBER(VALUE(G326))), "NA",IF(VALUE(G326)&gt;83,"HIGH",IF(VALUE(G326)&lt;60,"LOW", "VALUE IN RANGE")))</f>
        <v>LOW</v>
      </c>
    </row>
    <row r="327" spans="3:8" x14ac:dyDescent="0.25">
      <c r="C327" s="13"/>
      <c r="D327" s="4" t="s">
        <v>1492</v>
      </c>
      <c r="E327" s="1" t="s">
        <v>141</v>
      </c>
      <c r="F327" s="5">
        <v>2200</v>
      </c>
      <c r="G327" s="3">
        <f t="shared" si="333"/>
        <v>2200</v>
      </c>
      <c r="H327" s="14" t="str">
        <f t="shared" ref="H327" si="337">IF(NOT(ISNUMBER(VALUE(G327))), "NA",IF(VALUE(G327)&gt;5.1,"HIGH",IF(VALUE(G327)&lt;0.8,"LOW", "VALUE IN RANGE")))</f>
        <v>HIGH</v>
      </c>
    </row>
    <row r="328" spans="3:8" x14ac:dyDescent="0.25">
      <c r="C328" s="13"/>
      <c r="D328" s="4" t="s">
        <v>1492</v>
      </c>
      <c r="E328" s="4" t="s">
        <v>143</v>
      </c>
      <c r="F328" s="3">
        <v>1500</v>
      </c>
      <c r="G328" s="3">
        <f t="shared" si="333"/>
        <v>1500</v>
      </c>
      <c r="H328" s="14" t="str">
        <f t="shared" ref="H328" si="338">IF(NOT(ISNUMBER(VALUE(G328))), "NA",IF(VALUE(G328)&gt;1.8,"HIGH",IF(VALUE(G328)&lt;0,"LOW", "VALUE IN RANGE")))</f>
        <v>HIGH</v>
      </c>
    </row>
    <row r="329" spans="3:8" x14ac:dyDescent="0.25">
      <c r="C329" s="13"/>
      <c r="D329" s="4" t="s">
        <v>1492</v>
      </c>
      <c r="E329" s="1" t="s">
        <v>144</v>
      </c>
      <c r="F329" s="5">
        <v>5000</v>
      </c>
      <c r="G329" s="3">
        <f t="shared" si="333"/>
        <v>5000</v>
      </c>
      <c r="H329" s="14" t="str">
        <f t="shared" ref="H329" si="339">IF(NOT(ISNUMBER(VALUE(G329))), "NA",IF(VALUE(G329)&gt;12.6,"HIGH",IF(VALUE(G329)&lt;4,"LOW", "VALUE IN RANGE")))</f>
        <v>HIGH</v>
      </c>
    </row>
    <row r="330" spans="3:8" x14ac:dyDescent="0.25">
      <c r="C330" s="13"/>
      <c r="D330" s="4" t="s">
        <v>1492</v>
      </c>
      <c r="E330" s="4" t="s">
        <v>146</v>
      </c>
      <c r="F330" s="3">
        <v>7.59</v>
      </c>
      <c r="G330" s="3">
        <f t="shared" si="333"/>
        <v>7.59</v>
      </c>
      <c r="H330" s="14" t="str">
        <f t="shared" ref="H330" si="340">IF(NOT(ISNUMBER(VALUE(G330))), "NA",IF(VALUE(G330)&gt;8.5,"HIGH",IF(VALUE(G330)&lt;5.5,"LOW", "VALUE IN RANGE")))</f>
        <v>VALUE IN RANGE</v>
      </c>
    </row>
    <row r="331" spans="3:8" x14ac:dyDescent="0.25">
      <c r="C331" s="13"/>
      <c r="D331" s="4" t="s">
        <v>1492</v>
      </c>
      <c r="E331" s="1" t="s">
        <v>148</v>
      </c>
      <c r="F331" s="5">
        <v>111</v>
      </c>
      <c r="G331" s="3">
        <f t="shared" si="333"/>
        <v>111</v>
      </c>
      <c r="H331" s="14" t="str">
        <f t="shared" ref="H331" si="341">IF(NOT(ISNUMBER(VALUE(G331))), "NA",IF(VALUE(G331)&gt;190,"HIGH",IF(VALUE(G331)&lt;110,"LOW", "VALUE IN RANGE")))</f>
        <v>VALUE IN RANGE</v>
      </c>
    </row>
    <row r="332" spans="3:8" x14ac:dyDescent="0.25">
      <c r="C332" s="13"/>
      <c r="D332" s="4" t="s">
        <v>1492</v>
      </c>
      <c r="E332" s="4" t="s">
        <v>150</v>
      </c>
      <c r="F332" s="3">
        <v>39</v>
      </c>
      <c r="G332" s="3">
        <f t="shared" si="333"/>
        <v>39</v>
      </c>
      <c r="H332" s="14" t="str">
        <f t="shared" ref="H332" si="342">IF(NOT(ISNUMBER(VALUE(G332))), "NA",IF(VALUE(G332)&gt;56,"HIGH",IF(VALUE(G332)&lt;39,"LOW", "VALUE IN RANGE")))</f>
        <v>VALUE IN RANGE</v>
      </c>
    </row>
    <row r="333" spans="3:8" x14ac:dyDescent="0.25">
      <c r="C333" s="13"/>
      <c r="D333" s="4" t="s">
        <v>1492</v>
      </c>
      <c r="E333" s="1" t="s">
        <v>152</v>
      </c>
      <c r="F333" s="5">
        <v>51.5</v>
      </c>
      <c r="G333" s="3">
        <f t="shared" si="333"/>
        <v>51.5</v>
      </c>
      <c r="H333" s="14" t="str">
        <f t="shared" ref="H333" si="343">IF(NOT(ISNUMBER(VALUE(G333))), "NA",IF(VALUE(G333)&gt;72,"HIGH",IF(VALUE(G333)&lt;62,"LOW", "VALUE IN RANGE")))</f>
        <v>LOW</v>
      </c>
    </row>
    <row r="334" spans="3:8" x14ac:dyDescent="0.25">
      <c r="C334" s="13"/>
      <c r="D334" s="4" t="s">
        <v>1492</v>
      </c>
      <c r="E334" s="4" t="s">
        <v>154</v>
      </c>
      <c r="F334" s="3">
        <v>14.6</v>
      </c>
      <c r="G334" s="3">
        <f t="shared" si="333"/>
        <v>14.6</v>
      </c>
      <c r="H334" s="14" t="str">
        <f t="shared" ref="H334" si="344">IF(NOT(ISNUMBER(VALUE(G334))), "NA",IF(VALUE(G334)&gt;25,"HIGH",IF(VALUE(G334)&lt;20,"LOW", "VALUE IN RANGE")))</f>
        <v>LOW</v>
      </c>
    </row>
    <row r="335" spans="3:8" x14ac:dyDescent="0.25">
      <c r="C335" s="13"/>
      <c r="D335" s="4" t="s">
        <v>1492</v>
      </c>
      <c r="E335" s="1" t="s">
        <v>27</v>
      </c>
      <c r="F335" s="5">
        <v>284</v>
      </c>
      <c r="G335" s="3">
        <f t="shared" si="333"/>
        <v>284</v>
      </c>
      <c r="H335" s="14" t="str">
        <f t="shared" ref="H335" si="345">IF(NOT(ISNUMBER(VALUE(G335))), "NA",IF(VALUE(G335)&gt;380,"HIGH",IF(VALUE(G335)&lt;300,"LOW", "VALUE IN RANGE")))</f>
        <v>LOW</v>
      </c>
    </row>
    <row r="336" spans="3:8" x14ac:dyDescent="0.25">
      <c r="C336" s="13"/>
      <c r="D336" s="4" t="s">
        <v>1492</v>
      </c>
      <c r="E336" s="4" t="s">
        <v>157</v>
      </c>
      <c r="F336" s="3">
        <v>14.5</v>
      </c>
      <c r="G336" s="3">
        <f t="shared" si="333"/>
        <v>14.5</v>
      </c>
      <c r="H336" s="14" t="str">
        <f t="shared" ref="H336" si="346">IF(NOT(ISNUMBER(VALUE(G336))), "NA",IF(VALUE(G336)&gt;15.5,"HIGH",IF(VALUE(G336)&lt;11,"LOW", "VALUE IN RANGE")))</f>
        <v>VALUE IN RANGE</v>
      </c>
    </row>
    <row r="337" spans="3:8" x14ac:dyDescent="0.25">
      <c r="C337" s="13"/>
      <c r="D337" s="4" t="s">
        <v>1492</v>
      </c>
      <c r="E337" s="1" t="s">
        <v>159</v>
      </c>
      <c r="F337" s="5">
        <v>52</v>
      </c>
      <c r="G337" s="3">
        <f t="shared" si="333"/>
        <v>52</v>
      </c>
      <c r="H337" s="14" t="str">
        <f t="shared" ref="H337" si="347">IF(NOT(ISNUMBER(VALUE(G337))), "NA",IF(VALUE(G337)&gt;460,"HIGH",IF(VALUE(G337)&lt;117,"LOW", "VALUE IN RANGE")))</f>
        <v>LOW</v>
      </c>
    </row>
    <row r="338" spans="3:8" x14ac:dyDescent="0.25">
      <c r="C338" s="13"/>
      <c r="D338" s="4" t="s">
        <v>1492</v>
      </c>
      <c r="E338" s="4" t="s">
        <v>161</v>
      </c>
      <c r="F338" s="3">
        <v>10.6</v>
      </c>
      <c r="G338" s="3">
        <f t="shared" si="333"/>
        <v>10.6</v>
      </c>
      <c r="H338" s="14" t="str">
        <f t="shared" ref="H338" si="348">IF(NOT(ISNUMBER(VALUE(G338))), "NA",IF(VALUE(G338)&gt;12,"HIGH",IF(VALUE(G338)&lt;7,"LOW", "VALUE IN RANGE")))</f>
        <v>VALUE IN RANGE</v>
      </c>
    </row>
    <row r="339" spans="3:8" x14ac:dyDescent="0.25">
      <c r="C339" s="13" t="str">
        <f t="shared" ref="C339" si="349">IF(D339=D354,D353,"falso")</f>
        <v>PATIENT_0022</v>
      </c>
      <c r="D339" s="4" t="s">
        <v>1493</v>
      </c>
      <c r="E339" s="1" t="s">
        <v>134</v>
      </c>
      <c r="F339" s="5">
        <v>2.6</v>
      </c>
      <c r="G339" s="3">
        <f t="shared" si="333"/>
        <v>2.6</v>
      </c>
      <c r="H339" s="14" t="str">
        <f t="shared" ref="H339" si="350">IF(NOT(ISNUMBER(VALUE(G339))), "NA",IF(VALUE(G339)&gt;17,"HIGH",IF(VALUE(G339)&lt;6,"LOW", "VALUE IN RANGE")))</f>
        <v>LOW</v>
      </c>
    </row>
    <row r="340" spans="3:8" x14ac:dyDescent="0.25">
      <c r="C340" s="13"/>
      <c r="D340" s="4" t="s">
        <v>1493</v>
      </c>
      <c r="E340" s="4" t="s">
        <v>136</v>
      </c>
      <c r="F340" s="3">
        <v>8.4</v>
      </c>
      <c r="G340" s="3">
        <f t="shared" si="333"/>
        <v>8.4</v>
      </c>
      <c r="H340" s="14" t="str">
        <f t="shared" ref="H340" si="351">IF(NOT(ISNUMBER(VALUE(G340))), "NA",IF(VALUE(G340)&gt;30,"HIGH",IF(VALUE(G340)&lt;12,"LOW", "VALUE IN RANGE")))</f>
        <v>LOW</v>
      </c>
    </row>
    <row r="341" spans="3:8" x14ac:dyDescent="0.25">
      <c r="C341" s="13"/>
      <c r="D341" s="4" t="s">
        <v>1493</v>
      </c>
      <c r="E341" s="1" t="s">
        <v>7</v>
      </c>
      <c r="F341" s="5">
        <v>3.5</v>
      </c>
      <c r="G341" s="3">
        <f t="shared" si="333"/>
        <v>3.5</v>
      </c>
      <c r="H341" s="14" t="str">
        <f t="shared" ref="H341" si="352">IF(NOT(ISNUMBER(VALUE(G341))), "NA",IF(VALUE(G341)&gt;9,"HIGH",IF(VALUE(G341)&lt;2,"LOW", "VALUE IN RANGE")))</f>
        <v>VALUE IN RANGE</v>
      </c>
    </row>
    <row r="342" spans="3:8" x14ac:dyDescent="0.25">
      <c r="C342" s="13"/>
      <c r="D342" s="4" t="s">
        <v>1493</v>
      </c>
      <c r="E342" s="4" t="s">
        <v>139</v>
      </c>
      <c r="F342" s="3">
        <v>88.1</v>
      </c>
      <c r="G342" s="3">
        <f t="shared" si="333"/>
        <v>88.1</v>
      </c>
      <c r="H342" s="14" t="str">
        <f t="shared" ref="H342" si="353">IF(NOT(ISNUMBER(VALUE(G342))), "NA",IF(VALUE(G342)&gt;83,"HIGH",IF(VALUE(G342)&lt;60,"LOW", "VALUE IN RANGE")))</f>
        <v>HIGH</v>
      </c>
    </row>
    <row r="343" spans="3:8" x14ac:dyDescent="0.25">
      <c r="C343" s="13"/>
      <c r="D343" s="4" t="s">
        <v>1493</v>
      </c>
      <c r="E343" s="1" t="s">
        <v>141</v>
      </c>
      <c r="F343" s="5">
        <v>0.2</v>
      </c>
      <c r="G343" s="3">
        <f t="shared" si="333"/>
        <v>0.2</v>
      </c>
      <c r="H343" s="14" t="str">
        <f t="shared" ref="H343" si="354">IF(NOT(ISNUMBER(VALUE(G343))), "NA",IF(VALUE(G343)&gt;5.1,"HIGH",IF(VALUE(G343)&lt;0.8,"LOW", "VALUE IN RANGE")))</f>
        <v>LOW</v>
      </c>
    </row>
    <row r="344" spans="3:8" x14ac:dyDescent="0.25">
      <c r="C344" s="13"/>
      <c r="D344" s="4" t="s">
        <v>1493</v>
      </c>
      <c r="E344" s="4" t="s">
        <v>143</v>
      </c>
      <c r="F344" s="3">
        <v>0</v>
      </c>
      <c r="G344" s="3">
        <f t="shared" si="333"/>
        <v>0</v>
      </c>
      <c r="H344" s="14" t="str">
        <f t="shared" ref="H344" si="355">IF(NOT(ISNUMBER(VALUE(G344))), "NA",IF(VALUE(G344)&gt;1.8,"HIGH",IF(VALUE(G344)&lt;0,"LOW", "VALUE IN RANGE")))</f>
        <v>VALUE IN RANGE</v>
      </c>
    </row>
    <row r="345" spans="3:8" x14ac:dyDescent="0.25">
      <c r="C345" s="13"/>
      <c r="D345" s="4" t="s">
        <v>1493</v>
      </c>
      <c r="E345" s="1" t="s">
        <v>144</v>
      </c>
      <c r="F345" s="5">
        <v>2400</v>
      </c>
      <c r="G345" s="3">
        <f t="shared" si="333"/>
        <v>2400</v>
      </c>
      <c r="H345" s="14" t="str">
        <f t="shared" ref="H345" si="356">IF(NOT(ISNUMBER(VALUE(G345))), "NA",IF(VALUE(G345)&gt;12.6,"HIGH",IF(VALUE(G345)&lt;4,"LOW", "VALUE IN RANGE")))</f>
        <v>HIGH</v>
      </c>
    </row>
    <row r="346" spans="3:8" x14ac:dyDescent="0.25">
      <c r="C346" s="13"/>
      <c r="D346" s="4" t="s">
        <v>1493</v>
      </c>
      <c r="E346" s="4" t="s">
        <v>146</v>
      </c>
      <c r="F346" s="3" t="s">
        <v>313</v>
      </c>
      <c r="G346" s="3">
        <f t="shared" si="333"/>
        <v>1.34</v>
      </c>
      <c r="H346" s="14" t="str">
        <f t="shared" ref="H346" si="357">IF(NOT(ISNUMBER(VALUE(G346))), "NA",IF(VALUE(G346)&gt;8.5,"HIGH",IF(VALUE(G346)&lt;5.5,"LOW", "VALUE IN RANGE")))</f>
        <v>LOW</v>
      </c>
    </row>
    <row r="347" spans="3:8" x14ac:dyDescent="0.25">
      <c r="C347" s="13"/>
      <c r="D347" s="4" t="s">
        <v>1493</v>
      </c>
      <c r="E347" s="1" t="s">
        <v>148</v>
      </c>
      <c r="F347" s="5">
        <v>18</v>
      </c>
      <c r="G347" s="3">
        <f t="shared" si="333"/>
        <v>18</v>
      </c>
      <c r="H347" s="14" t="str">
        <f t="shared" ref="H347" si="358">IF(NOT(ISNUMBER(VALUE(G347))), "NA",IF(VALUE(G347)&gt;190,"HIGH",IF(VALUE(G347)&lt;110,"LOW", "VALUE IN RANGE")))</f>
        <v>LOW</v>
      </c>
    </row>
    <row r="348" spans="3:8" x14ac:dyDescent="0.25">
      <c r="C348" s="13"/>
      <c r="D348" s="4" t="s">
        <v>1493</v>
      </c>
      <c r="E348" s="4" t="s">
        <v>150</v>
      </c>
      <c r="F348" s="3" t="s">
        <v>315</v>
      </c>
      <c r="G348" s="3">
        <f t="shared" si="333"/>
        <v>6.4</v>
      </c>
      <c r="H348" s="14" t="str">
        <f t="shared" ref="H348" si="359">IF(NOT(ISNUMBER(VALUE(G348))), "NA",IF(VALUE(G348)&gt;56,"HIGH",IF(VALUE(G348)&lt;39,"LOW", "VALUE IN RANGE")))</f>
        <v>LOW</v>
      </c>
    </row>
    <row r="349" spans="3:8" x14ac:dyDescent="0.25">
      <c r="C349" s="13"/>
      <c r="D349" s="4" t="s">
        <v>1493</v>
      </c>
      <c r="E349" s="1" t="s">
        <v>152</v>
      </c>
      <c r="F349" s="5" t="s">
        <v>316</v>
      </c>
      <c r="G349" s="3">
        <f t="shared" si="333"/>
        <v>48</v>
      </c>
      <c r="H349" s="14" t="str">
        <f t="shared" ref="H349" si="360">IF(NOT(ISNUMBER(VALUE(G349))), "NA",IF(VALUE(G349)&gt;72,"HIGH",IF(VALUE(G349)&lt;62,"LOW", "VALUE IN RANGE")))</f>
        <v>LOW</v>
      </c>
    </row>
    <row r="350" spans="3:8" x14ac:dyDescent="0.25">
      <c r="C350" s="13"/>
      <c r="D350" s="4" t="s">
        <v>1493</v>
      </c>
      <c r="E350" s="4" t="s">
        <v>154</v>
      </c>
      <c r="F350" s="3" t="s">
        <v>317</v>
      </c>
      <c r="G350" s="3">
        <f t="shared" si="333"/>
        <v>13.4</v>
      </c>
      <c r="H350" s="14" t="str">
        <f t="shared" ref="H350" si="361">IF(NOT(ISNUMBER(VALUE(G350))), "NA",IF(VALUE(G350)&gt;25,"HIGH",IF(VALUE(G350)&lt;20,"LOW", "VALUE IN RANGE")))</f>
        <v>LOW</v>
      </c>
    </row>
    <row r="351" spans="3:8" x14ac:dyDescent="0.25">
      <c r="C351" s="13"/>
      <c r="D351" s="4" t="s">
        <v>1493</v>
      </c>
      <c r="E351" s="1" t="s">
        <v>27</v>
      </c>
      <c r="F351" s="5">
        <v>281</v>
      </c>
      <c r="G351" s="3">
        <f t="shared" si="333"/>
        <v>281</v>
      </c>
      <c r="H351" s="14" t="str">
        <f t="shared" ref="H351" si="362">IF(NOT(ISNUMBER(VALUE(G351))), "NA",IF(VALUE(G351)&gt;380,"HIGH",IF(VALUE(G351)&lt;300,"LOW", "VALUE IN RANGE")))</f>
        <v>LOW</v>
      </c>
    </row>
    <row r="352" spans="3:8" x14ac:dyDescent="0.25">
      <c r="C352" s="13"/>
      <c r="D352" s="4" t="s">
        <v>1493</v>
      </c>
      <c r="E352" s="4" t="s">
        <v>157</v>
      </c>
      <c r="F352" s="3" t="s">
        <v>215</v>
      </c>
      <c r="G352" s="3">
        <f t="shared" si="333"/>
        <v>14.7</v>
      </c>
      <c r="H352" s="14" t="str">
        <f t="shared" ref="H352" si="363">IF(NOT(ISNUMBER(VALUE(G352))), "NA",IF(VALUE(G352)&gt;15.5,"HIGH",IF(VALUE(G352)&lt;11,"LOW", "VALUE IN RANGE")))</f>
        <v>VALUE IN RANGE</v>
      </c>
    </row>
    <row r="353" spans="3:9" x14ac:dyDescent="0.25">
      <c r="C353" s="13"/>
      <c r="D353" s="4" t="s">
        <v>1493</v>
      </c>
      <c r="E353" s="1" t="s">
        <v>159</v>
      </c>
      <c r="F353" s="5">
        <v>2</v>
      </c>
      <c r="G353" s="3">
        <f t="shared" si="333"/>
        <v>2</v>
      </c>
      <c r="H353" s="14" t="str">
        <f t="shared" ref="H353" si="364">IF(NOT(ISNUMBER(VALUE(G353))), "NA",IF(VALUE(G353)&gt;460,"HIGH",IF(VALUE(G353)&lt;117,"LOW", "VALUE IN RANGE")))</f>
        <v>LOW</v>
      </c>
    </row>
    <row r="354" spans="3:9" x14ac:dyDescent="0.25">
      <c r="C354" s="13"/>
      <c r="D354" s="4" t="s">
        <v>1493</v>
      </c>
      <c r="E354" s="4" t="s">
        <v>161</v>
      </c>
      <c r="F354" s="3" t="s">
        <v>45</v>
      </c>
      <c r="G354" s="3" t="str">
        <f t="shared" si="333"/>
        <v/>
      </c>
      <c r="H354" s="14" t="str">
        <f t="shared" ref="H354" si="365">IF(NOT(ISNUMBER(VALUE(G354))), "NA",IF(VALUE(G354)&gt;12,"HIGH",IF(VALUE(G354)&lt;7,"LOW", "VALUE IN RANGE")))</f>
        <v>NA</v>
      </c>
      <c r="I354" t="b">
        <f>ISNUMBER(F354)</f>
        <v>0</v>
      </c>
    </row>
    <row r="355" spans="3:9" x14ac:dyDescent="0.25">
      <c r="C355" s="13" t="str">
        <f t="shared" ref="C355" si="366">IF(D355=D370,D369,"falso")</f>
        <v>PATIENT_0023</v>
      </c>
      <c r="D355" s="4" t="s">
        <v>1494</v>
      </c>
      <c r="E355" s="1" t="s">
        <v>134</v>
      </c>
      <c r="F355" s="5" t="s">
        <v>309</v>
      </c>
      <c r="G355" s="3">
        <f t="shared" si="333"/>
        <v>8.4</v>
      </c>
      <c r="H355" s="14" t="str">
        <f t="shared" ref="H355" si="367">IF(NOT(ISNUMBER(VALUE(G355))), "NA",IF(VALUE(G355)&gt;17,"HIGH",IF(VALUE(G355)&lt;6,"LOW", "VALUE IN RANGE")))</f>
        <v>VALUE IN RANGE</v>
      </c>
    </row>
    <row r="356" spans="3:9" x14ac:dyDescent="0.25">
      <c r="C356" s="13"/>
      <c r="D356" s="4" t="s">
        <v>1494</v>
      </c>
      <c r="E356" s="4" t="s">
        <v>136</v>
      </c>
      <c r="F356" s="3" t="s">
        <v>319</v>
      </c>
      <c r="G356" s="3">
        <f t="shared" si="333"/>
        <v>31</v>
      </c>
      <c r="H356" s="14" t="str">
        <f t="shared" ref="H356" si="368">IF(NOT(ISNUMBER(VALUE(G356))), "NA",IF(VALUE(G356)&gt;30,"HIGH",IF(VALUE(G356)&lt;12,"LOW", "VALUE IN RANGE")))</f>
        <v>HIGH</v>
      </c>
    </row>
    <row r="357" spans="3:9" x14ac:dyDescent="0.25">
      <c r="C357" s="13"/>
      <c r="D357" s="4" t="s">
        <v>1494</v>
      </c>
      <c r="E357" s="1" t="s">
        <v>7</v>
      </c>
      <c r="F357" s="5" t="s">
        <v>320</v>
      </c>
      <c r="G357" s="3">
        <f t="shared" si="333"/>
        <v>7.1</v>
      </c>
      <c r="H357" s="14" t="str">
        <f t="shared" ref="H357" si="369">IF(NOT(ISNUMBER(VALUE(G357))), "NA",IF(VALUE(G357)&gt;9,"HIGH",IF(VALUE(G357)&lt;2,"LOW", "VALUE IN RANGE")))</f>
        <v>VALUE IN RANGE</v>
      </c>
    </row>
    <row r="358" spans="3:9" x14ac:dyDescent="0.25">
      <c r="C358" s="13"/>
      <c r="D358" s="4" t="s">
        <v>1494</v>
      </c>
      <c r="E358" s="4" t="s">
        <v>139</v>
      </c>
      <c r="F358" s="3" t="s">
        <v>321</v>
      </c>
      <c r="G358" s="3">
        <f t="shared" si="333"/>
        <v>61.9</v>
      </c>
      <c r="H358" s="14" t="str">
        <f t="shared" ref="H358" si="370">IF(NOT(ISNUMBER(VALUE(G358))), "NA",IF(VALUE(G358)&gt;83,"HIGH",IF(VALUE(G358)&lt;60,"LOW", "VALUE IN RANGE")))</f>
        <v>VALUE IN RANGE</v>
      </c>
    </row>
    <row r="359" spans="3:9" x14ac:dyDescent="0.25">
      <c r="C359" s="13"/>
      <c r="D359" s="4" t="s">
        <v>1494</v>
      </c>
      <c r="E359" s="1" t="s">
        <v>141</v>
      </c>
      <c r="F359" s="5">
        <v>2600</v>
      </c>
      <c r="G359" s="3">
        <f t="shared" si="333"/>
        <v>2600</v>
      </c>
      <c r="H359" s="14" t="str">
        <f t="shared" ref="H359" si="371">IF(NOT(ISNUMBER(VALUE(G359))), "NA",IF(VALUE(G359)&gt;5.1,"HIGH",IF(VALUE(G359)&lt;0.8,"LOW", "VALUE IN RANGE")))</f>
        <v>HIGH</v>
      </c>
    </row>
    <row r="360" spans="3:9" x14ac:dyDescent="0.25">
      <c r="C360" s="13"/>
      <c r="D360" s="4" t="s">
        <v>1494</v>
      </c>
      <c r="E360" s="4" t="s">
        <v>143</v>
      </c>
      <c r="F360" s="3" t="s">
        <v>109</v>
      </c>
      <c r="G360" s="3">
        <f t="shared" si="333"/>
        <v>0.5</v>
      </c>
      <c r="H360" s="14" t="str">
        <f t="shared" ref="H360" si="372">IF(NOT(ISNUMBER(VALUE(G360))), "NA",IF(VALUE(G360)&gt;1.8,"HIGH",IF(VALUE(G360)&lt;0,"LOW", "VALUE IN RANGE")))</f>
        <v>VALUE IN RANGE</v>
      </c>
    </row>
    <row r="361" spans="3:9" x14ac:dyDescent="0.25">
      <c r="C361" s="13"/>
      <c r="D361" s="4" t="s">
        <v>1494</v>
      </c>
      <c r="E361" s="1" t="s">
        <v>144</v>
      </c>
      <c r="F361" s="5">
        <v>5300</v>
      </c>
      <c r="G361" s="3">
        <f t="shared" si="333"/>
        <v>5300</v>
      </c>
      <c r="H361" s="14" t="str">
        <f t="shared" ref="H361" si="373">IF(NOT(ISNUMBER(VALUE(G361))), "NA",IF(VALUE(G361)&gt;12.6,"HIGH",IF(VALUE(G361)&lt;4,"LOW", "VALUE IN RANGE")))</f>
        <v>HIGH</v>
      </c>
    </row>
    <row r="362" spans="3:9" x14ac:dyDescent="0.25">
      <c r="C362" s="13"/>
      <c r="D362" s="4" t="s">
        <v>1494</v>
      </c>
      <c r="E362" s="4" t="s">
        <v>146</v>
      </c>
      <c r="F362" s="3" t="s">
        <v>324</v>
      </c>
      <c r="G362" s="3">
        <f t="shared" si="333"/>
        <v>10.47</v>
      </c>
      <c r="H362" s="14" t="str">
        <f t="shared" ref="H362" si="374">IF(NOT(ISNUMBER(VALUE(G362))), "NA",IF(VALUE(G362)&gt;8.5,"HIGH",IF(VALUE(G362)&lt;5.5,"LOW", "VALUE IN RANGE")))</f>
        <v>HIGH</v>
      </c>
    </row>
    <row r="363" spans="3:9" x14ac:dyDescent="0.25">
      <c r="C363" s="13"/>
      <c r="D363" s="4" t="s">
        <v>1494</v>
      </c>
      <c r="E363" s="1" t="s">
        <v>148</v>
      </c>
      <c r="F363" s="5">
        <v>144</v>
      </c>
      <c r="G363" s="3">
        <f t="shared" si="333"/>
        <v>144</v>
      </c>
      <c r="H363" s="14" t="str">
        <f t="shared" ref="H363" si="375">IF(NOT(ISNUMBER(VALUE(G363))), "NA",IF(VALUE(G363)&gt;190,"HIGH",IF(VALUE(G363)&lt;110,"LOW", "VALUE IN RANGE")))</f>
        <v>VALUE IN RANGE</v>
      </c>
    </row>
    <row r="364" spans="3:9" x14ac:dyDescent="0.25">
      <c r="C364" s="13"/>
      <c r="D364" s="4" t="s">
        <v>1494</v>
      </c>
      <c r="E364" s="4" t="s">
        <v>150</v>
      </c>
      <c r="F364" s="3" t="s">
        <v>326</v>
      </c>
      <c r="G364" s="3">
        <f t="shared" si="333"/>
        <v>51.9</v>
      </c>
      <c r="H364" s="14" t="str">
        <f t="shared" ref="H364" si="376">IF(NOT(ISNUMBER(VALUE(G364))), "NA",IF(VALUE(G364)&gt;56,"HIGH",IF(VALUE(G364)&lt;39,"LOW", "VALUE IN RANGE")))</f>
        <v>VALUE IN RANGE</v>
      </c>
    </row>
    <row r="365" spans="3:9" x14ac:dyDescent="0.25">
      <c r="C365" s="13"/>
      <c r="D365" s="4" t="s">
        <v>1494</v>
      </c>
      <c r="E365" s="1" t="s">
        <v>152</v>
      </c>
      <c r="F365" s="5" t="s">
        <v>237</v>
      </c>
      <c r="G365" s="3">
        <f t="shared" si="333"/>
        <v>49.6</v>
      </c>
      <c r="H365" s="14" t="str">
        <f t="shared" ref="H365" si="377">IF(NOT(ISNUMBER(VALUE(G365))), "NA",IF(VALUE(G365)&gt;72,"HIGH",IF(VALUE(G365)&lt;62,"LOW", "VALUE IN RANGE")))</f>
        <v>LOW</v>
      </c>
    </row>
    <row r="366" spans="3:9" x14ac:dyDescent="0.25">
      <c r="C366" s="13"/>
      <c r="D366" s="4" t="s">
        <v>1494</v>
      </c>
      <c r="E366" s="4" t="s">
        <v>154</v>
      </c>
      <c r="F366" s="3" t="s">
        <v>327</v>
      </c>
      <c r="G366" s="3">
        <f t="shared" si="333"/>
        <v>13.7</v>
      </c>
      <c r="H366" s="14" t="str">
        <f t="shared" ref="H366" si="378">IF(NOT(ISNUMBER(VALUE(G366))), "NA",IF(VALUE(G366)&gt;25,"HIGH",IF(VALUE(G366)&lt;20,"LOW", "VALUE IN RANGE")))</f>
        <v>LOW</v>
      </c>
    </row>
    <row r="367" spans="3:9" x14ac:dyDescent="0.25">
      <c r="C367" s="13"/>
      <c r="D367" s="4" t="s">
        <v>1494</v>
      </c>
      <c r="E367" s="1" t="s">
        <v>27</v>
      </c>
      <c r="F367" s="5">
        <v>277</v>
      </c>
      <c r="G367" s="3">
        <f t="shared" si="333"/>
        <v>277</v>
      </c>
      <c r="H367" s="14" t="str">
        <f t="shared" ref="H367" si="379">IF(NOT(ISNUMBER(VALUE(G367))), "NA",IF(VALUE(G367)&gt;380,"HIGH",IF(VALUE(G367)&lt;300,"LOW", "VALUE IN RANGE")))</f>
        <v>LOW</v>
      </c>
    </row>
    <row r="368" spans="3:9" x14ac:dyDescent="0.25">
      <c r="C368" s="13"/>
      <c r="D368" s="4" t="s">
        <v>1494</v>
      </c>
      <c r="E368" s="4" t="s">
        <v>157</v>
      </c>
      <c r="F368" s="3" t="s">
        <v>239</v>
      </c>
      <c r="G368" s="3">
        <f t="shared" si="333"/>
        <v>15.9</v>
      </c>
      <c r="H368" s="14" t="str">
        <f t="shared" ref="H368" si="380">IF(NOT(ISNUMBER(VALUE(G368))), "NA",IF(VALUE(G368)&gt;15.5,"HIGH",IF(VALUE(G368)&lt;11,"LOW", "VALUE IN RANGE")))</f>
        <v>HIGH</v>
      </c>
    </row>
    <row r="369" spans="3:8" x14ac:dyDescent="0.25">
      <c r="C369" s="13"/>
      <c r="D369" s="4" t="s">
        <v>1494</v>
      </c>
      <c r="E369" s="1" t="s">
        <v>159</v>
      </c>
      <c r="F369" s="5">
        <v>443</v>
      </c>
      <c r="G369" s="3">
        <f t="shared" si="333"/>
        <v>443</v>
      </c>
      <c r="H369" s="14" t="str">
        <f t="shared" ref="H369" si="381">IF(NOT(ISNUMBER(VALUE(G369))), "NA",IF(VALUE(G369)&gt;460,"HIGH",IF(VALUE(G369)&lt;117,"LOW", "VALUE IN RANGE")))</f>
        <v>VALUE IN RANGE</v>
      </c>
    </row>
    <row r="370" spans="3:8" x14ac:dyDescent="0.25">
      <c r="C370" s="13"/>
      <c r="D370" s="4" t="s">
        <v>1494</v>
      </c>
      <c r="E370" s="4" t="s">
        <v>161</v>
      </c>
      <c r="F370" s="3" t="s">
        <v>330</v>
      </c>
      <c r="G370" s="3">
        <f t="shared" si="333"/>
        <v>10.5</v>
      </c>
      <c r="H370" s="14" t="str">
        <f t="shared" ref="H370" si="382">IF(NOT(ISNUMBER(VALUE(G370))), "NA",IF(VALUE(G370)&gt;12,"HIGH",IF(VALUE(G370)&lt;7,"LOW", "VALUE IN RANGE")))</f>
        <v>VALUE IN RANGE</v>
      </c>
    </row>
    <row r="371" spans="3:8" x14ac:dyDescent="0.25">
      <c r="C371" s="13" t="str">
        <f t="shared" ref="C371" si="383">IF(D371=D386,D385,"falso")</f>
        <v>PATIENT_0024</v>
      </c>
      <c r="D371" s="4" t="s">
        <v>1495</v>
      </c>
      <c r="E371" s="1" t="s">
        <v>3</v>
      </c>
      <c r="F371" s="5" t="s">
        <v>331</v>
      </c>
      <c r="G371" s="3">
        <f t="shared" si="333"/>
        <v>18.7</v>
      </c>
      <c r="H371" s="14" t="str">
        <f t="shared" ref="H371" si="384">IF(NOT(ISNUMBER(VALUE(G371))), "NA",IF(VALUE(G371)&gt;17,"HIGH",IF(VALUE(G371)&lt;6,"LOW", "VALUE IN RANGE")))</f>
        <v>HIGH</v>
      </c>
    </row>
    <row r="372" spans="3:8" x14ac:dyDescent="0.25">
      <c r="C372" s="13"/>
      <c r="D372" s="4" t="s">
        <v>1495</v>
      </c>
      <c r="E372" s="4" t="s">
        <v>5</v>
      </c>
      <c r="F372" s="3" t="s">
        <v>332</v>
      </c>
      <c r="G372" s="3">
        <f t="shared" si="333"/>
        <v>9.1</v>
      </c>
      <c r="H372" s="14" t="str">
        <f t="shared" ref="H372" si="385">IF(NOT(ISNUMBER(VALUE(G372))), "NA",IF(VALUE(G372)&gt;30,"HIGH",IF(VALUE(G372)&lt;12,"LOW", "VALUE IN RANGE")))</f>
        <v>LOW</v>
      </c>
    </row>
    <row r="373" spans="3:8" x14ac:dyDescent="0.25">
      <c r="C373" s="13"/>
      <c r="D373" s="4" t="s">
        <v>1495</v>
      </c>
      <c r="E373" s="1" t="s">
        <v>7</v>
      </c>
      <c r="F373" s="5" t="s">
        <v>333</v>
      </c>
      <c r="G373" s="3">
        <f t="shared" si="333"/>
        <v>3.1</v>
      </c>
      <c r="H373" s="14" t="str">
        <f t="shared" ref="H373" si="386">IF(NOT(ISNUMBER(VALUE(G373))), "NA",IF(VALUE(G373)&gt;9,"HIGH",IF(VALUE(G373)&lt;2,"LOW", "VALUE IN RANGE")))</f>
        <v>VALUE IN RANGE</v>
      </c>
    </row>
    <row r="374" spans="3:8" x14ac:dyDescent="0.25">
      <c r="C374" s="13"/>
      <c r="D374" s="4" t="s">
        <v>1495</v>
      </c>
      <c r="E374" s="4" t="s">
        <v>9</v>
      </c>
      <c r="F374" s="3" t="s">
        <v>334</v>
      </c>
      <c r="G374" s="3">
        <f t="shared" si="333"/>
        <v>87.8</v>
      </c>
      <c r="H374" s="14" t="str">
        <f t="shared" ref="H374" si="387">IF(NOT(ISNUMBER(VALUE(G374))), "NA",IF(VALUE(G374)&gt;83,"HIGH",IF(VALUE(G374)&lt;60,"LOW", "VALUE IN RANGE")))</f>
        <v>HIGH</v>
      </c>
    </row>
    <row r="375" spans="3:8" x14ac:dyDescent="0.25">
      <c r="C375" s="13"/>
      <c r="D375" s="4" t="s">
        <v>1495</v>
      </c>
      <c r="E375" s="1" t="s">
        <v>11</v>
      </c>
      <c r="F375" s="5">
        <v>1700</v>
      </c>
      <c r="G375" s="3">
        <f t="shared" si="333"/>
        <v>1700</v>
      </c>
      <c r="H375" s="14" t="str">
        <f t="shared" ref="H375" si="388">IF(NOT(ISNUMBER(VALUE(G375))), "NA",IF(VALUE(G375)&gt;5.1,"HIGH",IF(VALUE(G375)&lt;0.8,"LOW", "VALUE IN RANGE")))</f>
        <v>HIGH</v>
      </c>
    </row>
    <row r="376" spans="3:8" x14ac:dyDescent="0.25">
      <c r="C376" s="13"/>
      <c r="D376" s="4" t="s">
        <v>1495</v>
      </c>
      <c r="E376" s="4" t="s">
        <v>13</v>
      </c>
      <c r="F376" s="3" t="s">
        <v>109</v>
      </c>
      <c r="G376" s="3">
        <f t="shared" si="333"/>
        <v>0.5</v>
      </c>
      <c r="H376" s="14" t="str">
        <f t="shared" ref="H376" si="389">IF(NOT(ISNUMBER(VALUE(G376))), "NA",IF(VALUE(G376)&gt;1.8,"HIGH",IF(VALUE(G376)&lt;0,"LOW", "VALUE IN RANGE")))</f>
        <v>VALUE IN RANGE</v>
      </c>
    </row>
    <row r="377" spans="3:8" x14ac:dyDescent="0.25">
      <c r="C377" s="13"/>
      <c r="D377" s="4" t="s">
        <v>1495</v>
      </c>
      <c r="E377" s="1" t="s">
        <v>15</v>
      </c>
      <c r="F377" s="5">
        <v>16500</v>
      </c>
      <c r="G377" s="3">
        <f t="shared" si="333"/>
        <v>16500</v>
      </c>
      <c r="H377" s="14" t="str">
        <f t="shared" ref="H377" si="390">IF(NOT(ISNUMBER(VALUE(G377))), "NA",IF(VALUE(G377)&gt;12.6,"HIGH",IF(VALUE(G377)&lt;4,"LOW", "VALUE IN RANGE")))</f>
        <v>HIGH</v>
      </c>
    </row>
    <row r="378" spans="3:8" x14ac:dyDescent="0.25">
      <c r="C378" s="13"/>
      <c r="D378" s="4" t="s">
        <v>1495</v>
      </c>
      <c r="E378" s="4" t="s">
        <v>17</v>
      </c>
      <c r="F378" s="3" t="s">
        <v>337</v>
      </c>
      <c r="G378" s="3">
        <f t="shared" si="333"/>
        <v>5.53</v>
      </c>
      <c r="H378" s="14" t="str">
        <f t="shared" ref="H378" si="391">IF(NOT(ISNUMBER(VALUE(G378))), "NA",IF(VALUE(G378)&gt;8.5,"HIGH",IF(VALUE(G378)&lt;5.5,"LOW", "VALUE IN RANGE")))</f>
        <v>VALUE IN RANGE</v>
      </c>
    </row>
    <row r="379" spans="3:8" x14ac:dyDescent="0.25">
      <c r="C379" s="13"/>
      <c r="D379" s="4" t="s">
        <v>1495</v>
      </c>
      <c r="E379" s="1" t="s">
        <v>19</v>
      </c>
      <c r="F379" s="5">
        <v>124</v>
      </c>
      <c r="G379" s="3">
        <f t="shared" si="333"/>
        <v>124</v>
      </c>
      <c r="H379" s="14" t="str">
        <f t="shared" ref="H379" si="392">IF(NOT(ISNUMBER(VALUE(G379))), "NA",IF(VALUE(G379)&gt;190,"HIGH",IF(VALUE(G379)&lt;110,"LOW", "VALUE IN RANGE")))</f>
        <v>VALUE IN RANGE</v>
      </c>
    </row>
    <row r="380" spans="3:8" x14ac:dyDescent="0.25">
      <c r="C380" s="13"/>
      <c r="D380" s="4" t="s">
        <v>1495</v>
      </c>
      <c r="E380" s="4" t="s">
        <v>21</v>
      </c>
      <c r="F380" s="3" t="s">
        <v>338</v>
      </c>
      <c r="G380" s="3">
        <f t="shared" si="333"/>
        <v>39.4</v>
      </c>
      <c r="H380" s="14" t="str">
        <f t="shared" ref="H380" si="393">IF(NOT(ISNUMBER(VALUE(G380))), "NA",IF(VALUE(G380)&gt;56,"HIGH",IF(VALUE(G380)&lt;39,"LOW", "VALUE IN RANGE")))</f>
        <v>VALUE IN RANGE</v>
      </c>
    </row>
    <row r="381" spans="3:8" x14ac:dyDescent="0.25">
      <c r="C381" s="13"/>
      <c r="D381" s="4" t="s">
        <v>1495</v>
      </c>
      <c r="E381" s="1" t="s">
        <v>23</v>
      </c>
      <c r="F381" s="5" t="s">
        <v>339</v>
      </c>
      <c r="G381" s="3">
        <f t="shared" si="333"/>
        <v>71.400000000000006</v>
      </c>
      <c r="H381" s="14" t="str">
        <f t="shared" ref="H381" si="394">IF(NOT(ISNUMBER(VALUE(G381))), "NA",IF(VALUE(G381)&gt;72,"HIGH",IF(VALUE(G381)&lt;62,"LOW", "VALUE IN RANGE")))</f>
        <v>VALUE IN RANGE</v>
      </c>
    </row>
    <row r="382" spans="3:8" x14ac:dyDescent="0.25">
      <c r="C382" s="13"/>
      <c r="D382" s="4" t="s">
        <v>1495</v>
      </c>
      <c r="E382" s="4" t="s">
        <v>25</v>
      </c>
      <c r="F382" s="3" t="s">
        <v>340</v>
      </c>
      <c r="G382" s="3">
        <f t="shared" si="333"/>
        <v>22.4</v>
      </c>
      <c r="H382" s="14" t="str">
        <f t="shared" ref="H382" si="395">IF(NOT(ISNUMBER(VALUE(G382))), "NA",IF(VALUE(G382)&gt;25,"HIGH",IF(VALUE(G382)&lt;20,"LOW", "VALUE IN RANGE")))</f>
        <v>VALUE IN RANGE</v>
      </c>
    </row>
    <row r="383" spans="3:8" x14ac:dyDescent="0.25">
      <c r="C383" s="13"/>
      <c r="D383" s="4" t="s">
        <v>1495</v>
      </c>
      <c r="E383" s="1" t="s">
        <v>27</v>
      </c>
      <c r="F383" s="5">
        <v>314</v>
      </c>
      <c r="G383" s="3">
        <f t="shared" si="333"/>
        <v>314</v>
      </c>
      <c r="H383" s="14" t="str">
        <f t="shared" ref="H383" si="396">IF(NOT(ISNUMBER(VALUE(G383))), "NA",IF(VALUE(G383)&gt;380,"HIGH",IF(VALUE(G383)&lt;300,"LOW", "VALUE IN RANGE")))</f>
        <v>VALUE IN RANGE</v>
      </c>
    </row>
    <row r="384" spans="3:8" x14ac:dyDescent="0.25">
      <c r="C384" s="13"/>
      <c r="D384" s="4" t="s">
        <v>1495</v>
      </c>
      <c r="E384" s="4" t="s">
        <v>29</v>
      </c>
      <c r="F384" s="3" t="s">
        <v>341</v>
      </c>
      <c r="G384" s="3">
        <f t="shared" si="333"/>
        <v>11.8</v>
      </c>
      <c r="H384" s="14" t="str">
        <f t="shared" ref="H384" si="397">IF(NOT(ISNUMBER(VALUE(G384))), "NA",IF(VALUE(G384)&gt;15.5,"HIGH",IF(VALUE(G384)&lt;11,"LOW", "VALUE IN RANGE")))</f>
        <v>VALUE IN RANGE</v>
      </c>
    </row>
    <row r="385" spans="3:8" x14ac:dyDescent="0.25">
      <c r="C385" s="13"/>
      <c r="D385" s="4" t="s">
        <v>1495</v>
      </c>
      <c r="E385" s="1" t="s">
        <v>31</v>
      </c>
      <c r="F385" s="5">
        <v>323</v>
      </c>
      <c r="G385" s="3">
        <f t="shared" si="333"/>
        <v>323</v>
      </c>
      <c r="H385" s="14" t="str">
        <f t="shared" ref="H385" si="398">IF(NOT(ISNUMBER(VALUE(G385))), "NA",IF(VALUE(G385)&gt;460,"HIGH",IF(VALUE(G385)&lt;117,"LOW", "VALUE IN RANGE")))</f>
        <v>VALUE IN RANGE</v>
      </c>
    </row>
    <row r="386" spans="3:8" x14ac:dyDescent="0.25">
      <c r="C386" s="13"/>
      <c r="D386" s="4" t="s">
        <v>1495</v>
      </c>
      <c r="E386" s="4" t="s">
        <v>33</v>
      </c>
      <c r="F386" s="3" t="s">
        <v>176</v>
      </c>
      <c r="G386" s="3">
        <f t="shared" si="333"/>
        <v>8.5</v>
      </c>
      <c r="H386" s="14" t="str">
        <f t="shared" ref="H386" si="399">IF(NOT(ISNUMBER(VALUE(G386))), "NA",IF(VALUE(G386)&gt;12,"HIGH",IF(VALUE(G386)&lt;7,"LOW", "VALUE IN RANGE")))</f>
        <v>VALUE IN RANGE</v>
      </c>
    </row>
    <row r="387" spans="3:8" x14ac:dyDescent="0.25">
      <c r="C387" s="13" t="str">
        <f t="shared" ref="C387" si="400">IF(D387=D402,D401,"falso")</f>
        <v>PATIENT_0025</v>
      </c>
      <c r="D387" s="4" t="s">
        <v>1496</v>
      </c>
      <c r="E387" s="1" t="s">
        <v>3</v>
      </c>
      <c r="F387" s="5" t="s">
        <v>342</v>
      </c>
      <c r="G387" s="3">
        <f t="shared" si="333"/>
        <v>15</v>
      </c>
      <c r="H387" s="14" t="str">
        <f t="shared" ref="H387" si="401">IF(NOT(ISNUMBER(VALUE(G387))), "NA",IF(VALUE(G387)&gt;17,"HIGH",IF(VALUE(G387)&lt;6,"LOW", "VALUE IN RANGE")))</f>
        <v>VALUE IN RANGE</v>
      </c>
    </row>
    <row r="388" spans="3:8" x14ac:dyDescent="0.25">
      <c r="C388" s="13"/>
      <c r="D388" s="4" t="s">
        <v>1496</v>
      </c>
      <c r="E388" s="4" t="s">
        <v>5</v>
      </c>
      <c r="F388" s="3" t="s">
        <v>343</v>
      </c>
      <c r="G388" s="3">
        <f t="shared" ref="G388:G451" si="402">IFERROR(
   VALUE(
      SUBSTITUTE(
         CLEAN(
            TRIM(F388)
         ),
         ".",
         ","
      )
   ),
   ""
)</f>
        <v>7.8</v>
      </c>
      <c r="H388" s="14" t="str">
        <f t="shared" ref="H388" si="403">IF(NOT(ISNUMBER(VALUE(G388))), "NA",IF(VALUE(G388)&gt;30,"HIGH",IF(VALUE(G388)&lt;12,"LOW", "VALUE IN RANGE")))</f>
        <v>LOW</v>
      </c>
    </row>
    <row r="389" spans="3:8" x14ac:dyDescent="0.25">
      <c r="C389" s="13"/>
      <c r="D389" s="4" t="s">
        <v>1496</v>
      </c>
      <c r="E389" s="1" t="s">
        <v>7</v>
      </c>
      <c r="F389" s="5" t="s">
        <v>122</v>
      </c>
      <c r="G389" s="3">
        <f t="shared" si="402"/>
        <v>2.2999999999999998</v>
      </c>
      <c r="H389" s="14" t="str">
        <f t="shared" ref="H389" si="404">IF(NOT(ISNUMBER(VALUE(G389))), "NA",IF(VALUE(G389)&gt;9,"HIGH",IF(VALUE(G389)&lt;2,"LOW", "VALUE IN RANGE")))</f>
        <v>VALUE IN RANGE</v>
      </c>
    </row>
    <row r="390" spans="3:8" x14ac:dyDescent="0.25">
      <c r="C390" s="13"/>
      <c r="D390" s="4" t="s">
        <v>1496</v>
      </c>
      <c r="E390" s="4" t="s">
        <v>9</v>
      </c>
      <c r="F390" s="3" t="s">
        <v>344</v>
      </c>
      <c r="G390" s="3">
        <f t="shared" si="402"/>
        <v>89.9</v>
      </c>
      <c r="H390" s="14" t="str">
        <f t="shared" ref="H390" si="405">IF(NOT(ISNUMBER(VALUE(G390))), "NA",IF(VALUE(G390)&gt;83,"HIGH",IF(VALUE(G390)&lt;60,"LOW", "VALUE IN RANGE")))</f>
        <v>HIGH</v>
      </c>
    </row>
    <row r="391" spans="3:8" x14ac:dyDescent="0.25">
      <c r="C391" s="13"/>
      <c r="D391" s="4" t="s">
        <v>1496</v>
      </c>
      <c r="E391" s="1" t="s">
        <v>11</v>
      </c>
      <c r="F391" s="5">
        <v>1100</v>
      </c>
      <c r="G391" s="3">
        <f t="shared" si="402"/>
        <v>1100</v>
      </c>
      <c r="H391" s="14" t="str">
        <f t="shared" ref="H391" si="406">IF(NOT(ISNUMBER(VALUE(G391))), "NA",IF(VALUE(G391)&gt;5.1,"HIGH",IF(VALUE(G391)&lt;0.8,"LOW", "VALUE IN RANGE")))</f>
        <v>HIGH</v>
      </c>
    </row>
    <row r="392" spans="3:8" x14ac:dyDescent="0.25">
      <c r="C392" s="13"/>
      <c r="D392" s="4" t="s">
        <v>1496</v>
      </c>
      <c r="E392" s="4" t="s">
        <v>13</v>
      </c>
      <c r="F392" s="3" t="s">
        <v>14</v>
      </c>
      <c r="G392" s="3">
        <f t="shared" si="402"/>
        <v>0.3</v>
      </c>
      <c r="H392" s="14" t="str">
        <f t="shared" ref="H392" si="407">IF(NOT(ISNUMBER(VALUE(G392))), "NA",IF(VALUE(G392)&gt;1.8,"HIGH",IF(VALUE(G392)&lt;0,"LOW", "VALUE IN RANGE")))</f>
        <v>VALUE IN RANGE</v>
      </c>
    </row>
    <row r="393" spans="3:8" x14ac:dyDescent="0.25">
      <c r="C393" s="13"/>
      <c r="D393" s="4" t="s">
        <v>1496</v>
      </c>
      <c r="E393" s="1" t="s">
        <v>15</v>
      </c>
      <c r="F393" s="5">
        <v>13600</v>
      </c>
      <c r="G393" s="3">
        <f t="shared" si="402"/>
        <v>13600</v>
      </c>
      <c r="H393" s="14" t="str">
        <f t="shared" ref="H393" si="408">IF(NOT(ISNUMBER(VALUE(G393))), "NA",IF(VALUE(G393)&gt;12.6,"HIGH",IF(VALUE(G393)&lt;4,"LOW", "VALUE IN RANGE")))</f>
        <v>HIGH</v>
      </c>
    </row>
    <row r="394" spans="3:8" x14ac:dyDescent="0.25">
      <c r="C394" s="13"/>
      <c r="D394" s="4" t="s">
        <v>1496</v>
      </c>
      <c r="E394" s="4" t="s">
        <v>17</v>
      </c>
      <c r="F394" s="3" t="s">
        <v>190</v>
      </c>
      <c r="G394" s="3">
        <f t="shared" si="402"/>
        <v>5.4</v>
      </c>
      <c r="H394" s="14" t="str">
        <f t="shared" ref="H394" si="409">IF(NOT(ISNUMBER(VALUE(G394))), "NA",IF(VALUE(G394)&gt;8.5,"HIGH",IF(VALUE(G394)&lt;5.5,"LOW", "VALUE IN RANGE")))</f>
        <v>LOW</v>
      </c>
    </row>
    <row r="395" spans="3:8" x14ac:dyDescent="0.25">
      <c r="C395" s="13"/>
      <c r="D395" s="4" t="s">
        <v>1496</v>
      </c>
      <c r="E395" s="1" t="s">
        <v>19</v>
      </c>
      <c r="F395" s="5">
        <v>112</v>
      </c>
      <c r="G395" s="3">
        <f t="shared" si="402"/>
        <v>112</v>
      </c>
      <c r="H395" s="14" t="str">
        <f t="shared" ref="H395" si="410">IF(NOT(ISNUMBER(VALUE(G395))), "NA",IF(VALUE(G395)&gt;190,"HIGH",IF(VALUE(G395)&lt;110,"LOW", "VALUE IN RANGE")))</f>
        <v>VALUE IN RANGE</v>
      </c>
    </row>
    <row r="396" spans="3:8" x14ac:dyDescent="0.25">
      <c r="C396" s="13"/>
      <c r="D396" s="4" t="s">
        <v>1496</v>
      </c>
      <c r="E396" s="4" t="s">
        <v>21</v>
      </c>
      <c r="F396" s="3" t="s">
        <v>347</v>
      </c>
      <c r="G396" s="3">
        <f t="shared" si="402"/>
        <v>34.4</v>
      </c>
      <c r="H396" s="14" t="str">
        <f t="shared" ref="H396" si="411">IF(NOT(ISNUMBER(VALUE(G396))), "NA",IF(VALUE(G396)&gt;56,"HIGH",IF(VALUE(G396)&lt;39,"LOW", "VALUE IN RANGE")))</f>
        <v>LOW</v>
      </c>
    </row>
    <row r="397" spans="3:8" x14ac:dyDescent="0.25">
      <c r="C397" s="13"/>
      <c r="D397" s="4" t="s">
        <v>1496</v>
      </c>
      <c r="E397" s="1" t="s">
        <v>23</v>
      </c>
      <c r="F397" s="5" t="s">
        <v>348</v>
      </c>
      <c r="G397" s="3">
        <f t="shared" si="402"/>
        <v>63.8</v>
      </c>
      <c r="H397" s="14" t="str">
        <f t="shared" ref="H397" si="412">IF(NOT(ISNUMBER(VALUE(G397))), "NA",IF(VALUE(G397)&gt;72,"HIGH",IF(VALUE(G397)&lt;62,"LOW", "VALUE IN RANGE")))</f>
        <v>VALUE IN RANGE</v>
      </c>
    </row>
    <row r="398" spans="3:8" x14ac:dyDescent="0.25">
      <c r="C398" s="13"/>
      <c r="D398" s="4" t="s">
        <v>1496</v>
      </c>
      <c r="E398" s="4" t="s">
        <v>25</v>
      </c>
      <c r="F398" s="3" t="s">
        <v>349</v>
      </c>
      <c r="G398" s="3">
        <f t="shared" si="402"/>
        <v>20.7</v>
      </c>
      <c r="H398" s="14" t="str">
        <f t="shared" ref="H398" si="413">IF(NOT(ISNUMBER(VALUE(G398))), "NA",IF(VALUE(G398)&gt;25,"HIGH",IF(VALUE(G398)&lt;20,"LOW", "VALUE IN RANGE")))</f>
        <v>VALUE IN RANGE</v>
      </c>
    </row>
    <row r="399" spans="3:8" x14ac:dyDescent="0.25">
      <c r="C399" s="13"/>
      <c r="D399" s="4" t="s">
        <v>1496</v>
      </c>
      <c r="E399" s="1" t="s">
        <v>27</v>
      </c>
      <c r="F399" s="5">
        <v>325</v>
      </c>
      <c r="G399" s="3">
        <f t="shared" si="402"/>
        <v>325</v>
      </c>
      <c r="H399" s="14" t="str">
        <f t="shared" ref="H399" si="414">IF(NOT(ISNUMBER(VALUE(G399))), "NA",IF(VALUE(G399)&gt;380,"HIGH",IF(VALUE(G399)&lt;300,"LOW", "VALUE IN RANGE")))</f>
        <v>VALUE IN RANGE</v>
      </c>
    </row>
    <row r="400" spans="3:8" x14ac:dyDescent="0.25">
      <c r="C400" s="13"/>
      <c r="D400" s="4" t="s">
        <v>1496</v>
      </c>
      <c r="E400" s="4" t="s">
        <v>29</v>
      </c>
      <c r="F400" s="3" t="s">
        <v>30</v>
      </c>
      <c r="G400" s="3">
        <f t="shared" si="402"/>
        <v>11.9</v>
      </c>
      <c r="H400" s="14" t="str">
        <f t="shared" ref="H400" si="415">IF(NOT(ISNUMBER(VALUE(G400))), "NA",IF(VALUE(G400)&gt;15.5,"HIGH",IF(VALUE(G400)&lt;11,"LOW", "VALUE IN RANGE")))</f>
        <v>VALUE IN RANGE</v>
      </c>
    </row>
    <row r="401" spans="3:8" x14ac:dyDescent="0.25">
      <c r="C401" s="13"/>
      <c r="D401" s="4" t="s">
        <v>1496</v>
      </c>
      <c r="E401" s="1" t="s">
        <v>31</v>
      </c>
      <c r="F401" s="5">
        <v>85</v>
      </c>
      <c r="G401" s="3">
        <f t="shared" si="402"/>
        <v>85</v>
      </c>
      <c r="H401" s="14" t="str">
        <f t="shared" ref="H401" si="416">IF(NOT(ISNUMBER(VALUE(G401))), "NA",IF(VALUE(G401)&gt;460,"HIGH",IF(VALUE(G401)&lt;117,"LOW", "VALUE IN RANGE")))</f>
        <v>LOW</v>
      </c>
    </row>
    <row r="402" spans="3:8" x14ac:dyDescent="0.25">
      <c r="C402" s="13"/>
      <c r="D402" s="4" t="s">
        <v>1496</v>
      </c>
      <c r="E402" s="4" t="s">
        <v>33</v>
      </c>
      <c r="F402" s="3" t="s">
        <v>105</v>
      </c>
      <c r="G402" s="3">
        <f t="shared" si="402"/>
        <v>8.9</v>
      </c>
      <c r="H402" s="14" t="str">
        <f t="shared" ref="H402" si="417">IF(NOT(ISNUMBER(VALUE(G402))), "NA",IF(VALUE(G402)&gt;12,"HIGH",IF(VALUE(G402)&lt;7,"LOW", "VALUE IN RANGE")))</f>
        <v>VALUE IN RANGE</v>
      </c>
    </row>
    <row r="403" spans="3:8" x14ac:dyDescent="0.25">
      <c r="C403" s="13" t="str">
        <f t="shared" ref="C403" si="418">IF(D403=D418,D417,"falso")</f>
        <v>PATIENT_0026</v>
      </c>
      <c r="D403" s="4" t="s">
        <v>1497</v>
      </c>
      <c r="E403" s="1" t="s">
        <v>3</v>
      </c>
      <c r="F403" s="5" t="s">
        <v>138</v>
      </c>
      <c r="G403" s="3">
        <f t="shared" si="402"/>
        <v>6</v>
      </c>
      <c r="H403" s="14" t="str">
        <f t="shared" ref="H403" si="419">IF(NOT(ISNUMBER(VALUE(G403))), "NA",IF(VALUE(G403)&gt;17,"HIGH",IF(VALUE(G403)&lt;6,"LOW", "VALUE IN RANGE")))</f>
        <v>VALUE IN RANGE</v>
      </c>
    </row>
    <row r="404" spans="3:8" x14ac:dyDescent="0.25">
      <c r="C404" s="13"/>
      <c r="D404" s="4" t="s">
        <v>1497</v>
      </c>
      <c r="E404" s="4" t="s">
        <v>5</v>
      </c>
      <c r="F404" s="3" t="s">
        <v>351</v>
      </c>
      <c r="G404" s="3">
        <f t="shared" si="402"/>
        <v>21.2</v>
      </c>
      <c r="H404" s="14" t="str">
        <f t="shared" ref="H404" si="420">IF(NOT(ISNUMBER(VALUE(G404))), "NA",IF(VALUE(G404)&gt;30,"HIGH",IF(VALUE(G404)&lt;12,"LOW", "VALUE IN RANGE")))</f>
        <v>VALUE IN RANGE</v>
      </c>
    </row>
    <row r="405" spans="3:8" x14ac:dyDescent="0.25">
      <c r="C405" s="13"/>
      <c r="D405" s="4" t="s">
        <v>1497</v>
      </c>
      <c r="E405" s="1" t="s">
        <v>7</v>
      </c>
      <c r="F405" s="5" t="s">
        <v>352</v>
      </c>
      <c r="G405" s="3">
        <f t="shared" si="402"/>
        <v>4.9000000000000004</v>
      </c>
      <c r="H405" s="14" t="str">
        <f t="shared" ref="H405" si="421">IF(NOT(ISNUMBER(VALUE(G405))), "NA",IF(VALUE(G405)&gt;9,"HIGH",IF(VALUE(G405)&lt;2,"LOW", "VALUE IN RANGE")))</f>
        <v>VALUE IN RANGE</v>
      </c>
    </row>
    <row r="406" spans="3:8" x14ac:dyDescent="0.25">
      <c r="C406" s="13"/>
      <c r="D406" s="4" t="s">
        <v>1497</v>
      </c>
      <c r="E406" s="4" t="s">
        <v>9</v>
      </c>
      <c r="F406" s="3" t="s">
        <v>353</v>
      </c>
      <c r="G406" s="3">
        <f t="shared" si="402"/>
        <v>73.900000000000006</v>
      </c>
      <c r="H406" s="14" t="str">
        <f t="shared" ref="H406" si="422">IF(NOT(ISNUMBER(VALUE(G406))), "NA",IF(VALUE(G406)&gt;83,"HIGH",IF(VALUE(G406)&lt;60,"LOW", "VALUE IN RANGE")))</f>
        <v>VALUE IN RANGE</v>
      </c>
    </row>
    <row r="407" spans="3:8" x14ac:dyDescent="0.25">
      <c r="C407" s="13"/>
      <c r="D407" s="4" t="s">
        <v>1497</v>
      </c>
      <c r="E407" s="1" t="s">
        <v>11</v>
      </c>
      <c r="F407" s="5">
        <v>1200</v>
      </c>
      <c r="G407" s="3">
        <f t="shared" si="402"/>
        <v>1200</v>
      </c>
      <c r="H407" s="14" t="str">
        <f t="shared" ref="H407" si="423">IF(NOT(ISNUMBER(VALUE(G407))), "NA",IF(VALUE(G407)&gt;5.1,"HIGH",IF(VALUE(G407)&lt;0.8,"LOW", "VALUE IN RANGE")))</f>
        <v>HIGH</v>
      </c>
    </row>
    <row r="408" spans="3:8" x14ac:dyDescent="0.25">
      <c r="C408" s="13"/>
      <c r="D408" s="4" t="s">
        <v>1497</v>
      </c>
      <c r="E408" s="4" t="s">
        <v>13</v>
      </c>
      <c r="F408" s="3" t="s">
        <v>51</v>
      </c>
      <c r="G408" s="3">
        <f t="shared" si="402"/>
        <v>0.2</v>
      </c>
      <c r="H408" s="14" t="str">
        <f t="shared" ref="H408" si="424">IF(NOT(ISNUMBER(VALUE(G408))), "NA",IF(VALUE(G408)&gt;1.8,"HIGH",IF(VALUE(G408)&lt;0,"LOW", "VALUE IN RANGE")))</f>
        <v>VALUE IN RANGE</v>
      </c>
    </row>
    <row r="409" spans="3:8" x14ac:dyDescent="0.25">
      <c r="C409" s="13"/>
      <c r="D409" s="4" t="s">
        <v>1497</v>
      </c>
      <c r="E409" s="1" t="s">
        <v>15</v>
      </c>
      <c r="F409" s="5">
        <v>4600</v>
      </c>
      <c r="G409" s="3">
        <f t="shared" si="402"/>
        <v>4600</v>
      </c>
      <c r="H409" s="14" t="str">
        <f t="shared" ref="H409" si="425">IF(NOT(ISNUMBER(VALUE(G409))), "NA",IF(VALUE(G409)&gt;12.6,"HIGH",IF(VALUE(G409)&lt;4,"LOW", "VALUE IN RANGE")))</f>
        <v>HIGH</v>
      </c>
    </row>
    <row r="410" spans="3:8" x14ac:dyDescent="0.25">
      <c r="C410" s="13"/>
      <c r="D410" s="4" t="s">
        <v>1497</v>
      </c>
      <c r="E410" s="4" t="s">
        <v>17</v>
      </c>
      <c r="F410" s="3" t="s">
        <v>356</v>
      </c>
      <c r="G410" s="3">
        <f t="shared" si="402"/>
        <v>6.32</v>
      </c>
      <c r="H410" s="14" t="str">
        <f t="shared" ref="H410" si="426">IF(NOT(ISNUMBER(VALUE(G410))), "NA",IF(VALUE(G410)&gt;8.5,"HIGH",IF(VALUE(G410)&lt;5.5,"LOW", "VALUE IN RANGE")))</f>
        <v>VALUE IN RANGE</v>
      </c>
    </row>
    <row r="411" spans="3:8" x14ac:dyDescent="0.25">
      <c r="C411" s="13"/>
      <c r="D411" s="4" t="s">
        <v>1497</v>
      </c>
      <c r="E411" s="1" t="s">
        <v>19</v>
      </c>
      <c r="F411" s="5">
        <v>147</v>
      </c>
      <c r="G411" s="3">
        <f t="shared" si="402"/>
        <v>147</v>
      </c>
      <c r="H411" s="14" t="str">
        <f t="shared" ref="H411" si="427">IF(NOT(ISNUMBER(VALUE(G411))), "NA",IF(VALUE(G411)&gt;190,"HIGH",IF(VALUE(G411)&lt;110,"LOW", "VALUE IN RANGE")))</f>
        <v>VALUE IN RANGE</v>
      </c>
    </row>
    <row r="412" spans="3:8" x14ac:dyDescent="0.25">
      <c r="C412" s="13"/>
      <c r="D412" s="4" t="s">
        <v>1497</v>
      </c>
      <c r="E412" s="4" t="s">
        <v>21</v>
      </c>
      <c r="F412" s="3" t="s">
        <v>357</v>
      </c>
      <c r="G412" s="3">
        <f t="shared" si="402"/>
        <v>45.5</v>
      </c>
      <c r="H412" s="14" t="str">
        <f t="shared" ref="H412" si="428">IF(NOT(ISNUMBER(VALUE(G412))), "NA",IF(VALUE(G412)&gt;56,"HIGH",IF(VALUE(G412)&lt;39,"LOW", "VALUE IN RANGE")))</f>
        <v>VALUE IN RANGE</v>
      </c>
    </row>
    <row r="413" spans="3:8" x14ac:dyDescent="0.25">
      <c r="C413" s="13"/>
      <c r="D413" s="4" t="s">
        <v>1497</v>
      </c>
      <c r="E413" s="1" t="s">
        <v>23</v>
      </c>
      <c r="F413" s="5" t="s">
        <v>358</v>
      </c>
      <c r="G413" s="3">
        <f t="shared" si="402"/>
        <v>72.099999999999994</v>
      </c>
      <c r="H413" s="14" t="str">
        <f t="shared" ref="H413" si="429">IF(NOT(ISNUMBER(VALUE(G413))), "NA",IF(VALUE(G413)&gt;72,"HIGH",IF(VALUE(G413)&lt;62,"LOW", "VALUE IN RANGE")))</f>
        <v>HIGH</v>
      </c>
    </row>
    <row r="414" spans="3:8" x14ac:dyDescent="0.25">
      <c r="C414" s="13"/>
      <c r="D414" s="4" t="s">
        <v>1497</v>
      </c>
      <c r="E414" s="4" t="s">
        <v>25</v>
      </c>
      <c r="F414" s="3" t="s">
        <v>359</v>
      </c>
      <c r="G414" s="3">
        <f t="shared" si="402"/>
        <v>23.2</v>
      </c>
      <c r="H414" s="14" t="str">
        <f t="shared" ref="H414" si="430">IF(NOT(ISNUMBER(VALUE(G414))), "NA",IF(VALUE(G414)&gt;25,"HIGH",IF(VALUE(G414)&lt;20,"LOW", "VALUE IN RANGE")))</f>
        <v>VALUE IN RANGE</v>
      </c>
    </row>
    <row r="415" spans="3:8" x14ac:dyDescent="0.25">
      <c r="C415" s="13"/>
      <c r="D415" s="4" t="s">
        <v>1497</v>
      </c>
      <c r="E415" s="1" t="s">
        <v>27</v>
      </c>
      <c r="F415" s="5">
        <v>323</v>
      </c>
      <c r="G415" s="3">
        <f t="shared" si="402"/>
        <v>323</v>
      </c>
      <c r="H415" s="14" t="str">
        <f t="shared" ref="H415" si="431">IF(NOT(ISNUMBER(VALUE(G415))), "NA",IF(VALUE(G415)&gt;380,"HIGH",IF(VALUE(G415)&lt;300,"LOW", "VALUE IN RANGE")))</f>
        <v>VALUE IN RANGE</v>
      </c>
    </row>
    <row r="416" spans="3:8" x14ac:dyDescent="0.25">
      <c r="C416" s="13"/>
      <c r="D416" s="4" t="s">
        <v>1497</v>
      </c>
      <c r="E416" s="4" t="s">
        <v>29</v>
      </c>
      <c r="F416" s="3" t="s">
        <v>360</v>
      </c>
      <c r="G416" s="3">
        <f t="shared" si="402"/>
        <v>12.2</v>
      </c>
      <c r="H416" s="14" t="str">
        <f t="shared" ref="H416" si="432">IF(NOT(ISNUMBER(VALUE(G416))), "NA",IF(VALUE(G416)&gt;15.5,"HIGH",IF(VALUE(G416)&lt;11,"LOW", "VALUE IN RANGE")))</f>
        <v>VALUE IN RANGE</v>
      </c>
    </row>
    <row r="417" spans="3:8" x14ac:dyDescent="0.25">
      <c r="C417" s="13"/>
      <c r="D417" s="4" t="s">
        <v>1497</v>
      </c>
      <c r="E417" s="1" t="s">
        <v>31</v>
      </c>
      <c r="F417" s="5">
        <v>190</v>
      </c>
      <c r="G417" s="3">
        <f t="shared" si="402"/>
        <v>190</v>
      </c>
      <c r="H417" s="14" t="str">
        <f t="shared" ref="H417" si="433">IF(NOT(ISNUMBER(VALUE(G417))), "NA",IF(VALUE(G417)&gt;460,"HIGH",IF(VALUE(G417)&lt;117,"LOW", "VALUE IN RANGE")))</f>
        <v>VALUE IN RANGE</v>
      </c>
    </row>
    <row r="418" spans="3:8" x14ac:dyDescent="0.25">
      <c r="C418" s="13"/>
      <c r="D418" s="4" t="s">
        <v>1497</v>
      </c>
      <c r="E418" s="4" t="s">
        <v>33</v>
      </c>
      <c r="F418" s="3" t="s">
        <v>361</v>
      </c>
      <c r="G418" s="3">
        <f t="shared" si="402"/>
        <v>9.3000000000000007</v>
      </c>
      <c r="H418" s="14" t="str">
        <f t="shared" ref="H418" si="434">IF(NOT(ISNUMBER(VALUE(G418))), "NA",IF(VALUE(G418)&gt;12,"HIGH",IF(VALUE(G418)&lt;7,"LOW", "VALUE IN RANGE")))</f>
        <v>VALUE IN RANGE</v>
      </c>
    </row>
    <row r="419" spans="3:8" x14ac:dyDescent="0.25">
      <c r="C419" s="13" t="str">
        <f t="shared" ref="C419" si="435">IF(D419=D434,D433,"falso")</f>
        <v>PATIENT_0027</v>
      </c>
      <c r="D419" s="4" t="s">
        <v>1498</v>
      </c>
      <c r="E419" s="1" t="s">
        <v>3</v>
      </c>
      <c r="F419" s="5" t="s">
        <v>362</v>
      </c>
      <c r="G419" s="3">
        <f t="shared" si="402"/>
        <v>0.8</v>
      </c>
      <c r="H419" s="14" t="str">
        <f t="shared" ref="H419" si="436">IF(NOT(ISNUMBER(VALUE(G419))), "NA",IF(VALUE(G419)&gt;17,"HIGH",IF(VALUE(G419)&lt;6,"LOW", "VALUE IN RANGE")))</f>
        <v>LOW</v>
      </c>
    </row>
    <row r="420" spans="3:8" x14ac:dyDescent="0.25">
      <c r="C420" s="13"/>
      <c r="D420" s="4" t="s">
        <v>1498</v>
      </c>
      <c r="E420" s="4" t="s">
        <v>5</v>
      </c>
      <c r="F420" s="3" t="s">
        <v>363</v>
      </c>
      <c r="G420" s="3">
        <f t="shared" si="402"/>
        <v>13.6</v>
      </c>
      <c r="H420" s="14" t="str">
        <f t="shared" ref="H420" si="437">IF(NOT(ISNUMBER(VALUE(G420))), "NA",IF(VALUE(G420)&gt;30,"HIGH",IF(VALUE(G420)&lt;12,"LOW", "VALUE IN RANGE")))</f>
        <v>VALUE IN RANGE</v>
      </c>
    </row>
    <row r="421" spans="3:8" x14ac:dyDescent="0.25">
      <c r="C421" s="13"/>
      <c r="D421" s="4" t="s">
        <v>1498</v>
      </c>
      <c r="E421" s="1" t="s">
        <v>7</v>
      </c>
      <c r="F421" s="5" t="s">
        <v>364</v>
      </c>
      <c r="G421" s="3">
        <f t="shared" si="402"/>
        <v>6.9</v>
      </c>
      <c r="H421" s="14" t="str">
        <f t="shared" ref="H421" si="438">IF(NOT(ISNUMBER(VALUE(G421))), "NA",IF(VALUE(G421)&gt;9,"HIGH",IF(VALUE(G421)&lt;2,"LOW", "VALUE IN RANGE")))</f>
        <v>VALUE IN RANGE</v>
      </c>
    </row>
    <row r="422" spans="3:8" x14ac:dyDescent="0.25">
      <c r="C422" s="13"/>
      <c r="D422" s="4" t="s">
        <v>1498</v>
      </c>
      <c r="E422" s="4" t="s">
        <v>9</v>
      </c>
      <c r="F422" s="3" t="s">
        <v>365</v>
      </c>
      <c r="G422" s="3">
        <f t="shared" si="402"/>
        <v>79.5</v>
      </c>
      <c r="H422" s="14" t="str">
        <f t="shared" ref="H422" si="439">IF(NOT(ISNUMBER(VALUE(G422))), "NA",IF(VALUE(G422)&gt;83,"HIGH",IF(VALUE(G422)&lt;60,"LOW", "VALUE IN RANGE")))</f>
        <v>VALUE IN RANGE</v>
      </c>
    </row>
    <row r="423" spans="3:8" x14ac:dyDescent="0.25">
      <c r="C423" s="13"/>
      <c r="D423" s="4" t="s">
        <v>1498</v>
      </c>
      <c r="E423" s="1" t="s">
        <v>11</v>
      </c>
      <c r="F423" s="5" t="s">
        <v>40</v>
      </c>
      <c r="G423" s="3">
        <f t="shared" si="402"/>
        <v>0.1</v>
      </c>
      <c r="H423" s="14" t="str">
        <f t="shared" ref="H423" si="440">IF(NOT(ISNUMBER(VALUE(G423))), "NA",IF(VALUE(G423)&gt;5.1,"HIGH",IF(VALUE(G423)&lt;0.8,"LOW", "VALUE IN RANGE")))</f>
        <v>LOW</v>
      </c>
    </row>
    <row r="424" spans="3:8" x14ac:dyDescent="0.25">
      <c r="C424" s="13"/>
      <c r="D424" s="4" t="s">
        <v>1498</v>
      </c>
      <c r="E424" s="4" t="s">
        <v>13</v>
      </c>
      <c r="F424" s="3" t="s">
        <v>39</v>
      </c>
      <c r="G424" s="3">
        <f t="shared" si="402"/>
        <v>0</v>
      </c>
      <c r="H424" s="14" t="str">
        <f t="shared" ref="H424" si="441">IF(NOT(ISNUMBER(VALUE(G424))), "NA",IF(VALUE(G424)&gt;1.8,"HIGH",IF(VALUE(G424)&lt;0,"LOW", "VALUE IN RANGE")))</f>
        <v>VALUE IN RANGE</v>
      </c>
    </row>
    <row r="425" spans="3:8" x14ac:dyDescent="0.25">
      <c r="C425" s="13"/>
      <c r="D425" s="4" t="s">
        <v>1498</v>
      </c>
      <c r="E425" s="1" t="s">
        <v>15</v>
      </c>
      <c r="F425" s="5" t="s">
        <v>12</v>
      </c>
      <c r="G425" s="3">
        <f t="shared" si="402"/>
        <v>0.7</v>
      </c>
      <c r="H425" s="14" t="str">
        <f t="shared" ref="H425" si="442">IF(NOT(ISNUMBER(VALUE(G425))), "NA",IF(VALUE(G425)&gt;12.6,"HIGH",IF(VALUE(G425)&lt;4,"LOW", "VALUE IN RANGE")))</f>
        <v>LOW</v>
      </c>
    </row>
    <row r="426" spans="3:8" x14ac:dyDescent="0.25">
      <c r="C426" s="13"/>
      <c r="D426" s="4" t="s">
        <v>1498</v>
      </c>
      <c r="E426" s="4" t="s">
        <v>17</v>
      </c>
      <c r="F426" s="3" t="s">
        <v>366</v>
      </c>
      <c r="G426" s="3">
        <f t="shared" si="402"/>
        <v>9.09</v>
      </c>
      <c r="H426" s="14" t="str">
        <f t="shared" ref="H426" si="443">IF(NOT(ISNUMBER(VALUE(G426))), "NA",IF(VALUE(G426)&gt;8.5,"HIGH",IF(VALUE(G426)&lt;5.5,"LOW", "VALUE IN RANGE")))</f>
        <v>HIGH</v>
      </c>
    </row>
    <row r="427" spans="3:8" x14ac:dyDescent="0.25">
      <c r="C427" s="13"/>
      <c r="D427" s="4" t="s">
        <v>1498</v>
      </c>
      <c r="E427" s="1" t="s">
        <v>19</v>
      </c>
      <c r="F427" s="5">
        <v>189</v>
      </c>
      <c r="G427" s="3">
        <f t="shared" si="402"/>
        <v>189</v>
      </c>
      <c r="H427" s="14" t="str">
        <f t="shared" ref="H427" si="444">IF(NOT(ISNUMBER(VALUE(G427))), "NA",IF(VALUE(G427)&gt;190,"HIGH",IF(VALUE(G427)&lt;110,"LOW", "VALUE IN RANGE")))</f>
        <v>VALUE IN RANGE</v>
      </c>
    </row>
    <row r="428" spans="3:8" x14ac:dyDescent="0.25">
      <c r="C428" s="13"/>
      <c r="D428" s="4" t="s">
        <v>1498</v>
      </c>
      <c r="E428" s="4" t="s">
        <v>21</v>
      </c>
      <c r="F428" s="3" t="s">
        <v>368</v>
      </c>
      <c r="G428" s="3">
        <f t="shared" si="402"/>
        <v>57.9</v>
      </c>
      <c r="H428" s="14" t="str">
        <f t="shared" ref="H428" si="445">IF(NOT(ISNUMBER(VALUE(G428))), "NA",IF(VALUE(G428)&gt;56,"HIGH",IF(VALUE(G428)&lt;39,"LOW", "VALUE IN RANGE")))</f>
        <v>HIGH</v>
      </c>
    </row>
    <row r="429" spans="3:8" x14ac:dyDescent="0.25">
      <c r="C429" s="13"/>
      <c r="D429" s="4" t="s">
        <v>1498</v>
      </c>
      <c r="E429" s="1" t="s">
        <v>23</v>
      </c>
      <c r="F429" s="5" t="s">
        <v>369</v>
      </c>
      <c r="G429" s="3">
        <f t="shared" si="402"/>
        <v>63.7</v>
      </c>
      <c r="H429" s="14" t="str">
        <f t="shared" ref="H429" si="446">IF(NOT(ISNUMBER(VALUE(G429))), "NA",IF(VALUE(G429)&gt;72,"HIGH",IF(VALUE(G429)&lt;62,"LOW", "VALUE IN RANGE")))</f>
        <v>VALUE IN RANGE</v>
      </c>
    </row>
    <row r="430" spans="3:8" x14ac:dyDescent="0.25">
      <c r="C430" s="13"/>
      <c r="D430" s="4" t="s">
        <v>1498</v>
      </c>
      <c r="E430" s="4" t="s">
        <v>25</v>
      </c>
      <c r="F430" s="3" t="s">
        <v>349</v>
      </c>
      <c r="G430" s="3">
        <f t="shared" si="402"/>
        <v>20.7</v>
      </c>
      <c r="H430" s="14" t="str">
        <f t="shared" ref="H430" si="447">IF(NOT(ISNUMBER(VALUE(G430))), "NA",IF(VALUE(G430)&gt;25,"HIGH",IF(VALUE(G430)&lt;20,"LOW", "VALUE IN RANGE")))</f>
        <v>VALUE IN RANGE</v>
      </c>
    </row>
    <row r="431" spans="3:8" x14ac:dyDescent="0.25">
      <c r="C431" s="13"/>
      <c r="D431" s="4" t="s">
        <v>1498</v>
      </c>
      <c r="E431" s="1" t="s">
        <v>27</v>
      </c>
      <c r="F431" s="5">
        <v>326</v>
      </c>
      <c r="G431" s="3">
        <f t="shared" si="402"/>
        <v>326</v>
      </c>
      <c r="H431" s="14" t="str">
        <f t="shared" ref="H431" si="448">IF(NOT(ISNUMBER(VALUE(G431))), "NA",IF(VALUE(G431)&gt;380,"HIGH",IF(VALUE(G431)&lt;300,"LOW", "VALUE IN RANGE")))</f>
        <v>VALUE IN RANGE</v>
      </c>
    </row>
    <row r="432" spans="3:8" x14ac:dyDescent="0.25">
      <c r="C432" s="13"/>
      <c r="D432" s="4" t="s">
        <v>1498</v>
      </c>
      <c r="E432" s="4" t="s">
        <v>29</v>
      </c>
      <c r="F432" s="3" t="s">
        <v>371</v>
      </c>
      <c r="G432" s="3">
        <f t="shared" si="402"/>
        <v>13.2</v>
      </c>
      <c r="H432" s="14" t="str">
        <f t="shared" ref="H432" si="449">IF(NOT(ISNUMBER(VALUE(G432))), "NA",IF(VALUE(G432)&gt;15.5,"HIGH",IF(VALUE(G432)&lt;11,"LOW", "VALUE IN RANGE")))</f>
        <v>VALUE IN RANGE</v>
      </c>
    </row>
    <row r="433" spans="3:8" x14ac:dyDescent="0.25">
      <c r="C433" s="13"/>
      <c r="D433" s="4" t="s">
        <v>1498</v>
      </c>
      <c r="E433" s="1" t="s">
        <v>31</v>
      </c>
      <c r="F433" s="5">
        <v>153</v>
      </c>
      <c r="G433" s="3">
        <f t="shared" si="402"/>
        <v>153</v>
      </c>
      <c r="H433" s="14" t="str">
        <f t="shared" ref="H433" si="450">IF(NOT(ISNUMBER(VALUE(G433))), "NA",IF(VALUE(G433)&gt;460,"HIGH",IF(VALUE(G433)&lt;117,"LOW", "VALUE IN RANGE")))</f>
        <v>VALUE IN RANGE</v>
      </c>
    </row>
    <row r="434" spans="3:8" x14ac:dyDescent="0.25">
      <c r="C434" s="13"/>
      <c r="D434" s="4" t="s">
        <v>1498</v>
      </c>
      <c r="E434" s="4" t="s">
        <v>33</v>
      </c>
      <c r="F434" s="3" t="s">
        <v>372</v>
      </c>
      <c r="G434" s="3">
        <f t="shared" si="402"/>
        <v>7.7</v>
      </c>
      <c r="H434" s="14" t="str">
        <f t="shared" ref="H434" si="451">IF(NOT(ISNUMBER(VALUE(G434))), "NA",IF(VALUE(G434)&gt;12,"HIGH",IF(VALUE(G434)&lt;7,"LOW", "VALUE IN RANGE")))</f>
        <v>VALUE IN RANGE</v>
      </c>
    </row>
    <row r="435" spans="3:8" x14ac:dyDescent="0.25">
      <c r="C435" s="13" t="str">
        <f t="shared" ref="C435" si="452">IF(D435=D450,D449,"falso")</f>
        <v>PATIENT_0028</v>
      </c>
      <c r="D435" s="4" t="s">
        <v>1499</v>
      </c>
      <c r="E435" s="1" t="s">
        <v>3</v>
      </c>
      <c r="F435" s="5" t="s">
        <v>373</v>
      </c>
      <c r="G435" s="3">
        <f t="shared" si="402"/>
        <v>7.7</v>
      </c>
      <c r="H435" s="14" t="str">
        <f t="shared" ref="H435" si="453">IF(NOT(ISNUMBER(VALUE(G435))), "NA",IF(VALUE(G435)&gt;17,"HIGH",IF(VALUE(G435)&lt;6,"LOW", "VALUE IN RANGE")))</f>
        <v>VALUE IN RANGE</v>
      </c>
    </row>
    <row r="436" spans="3:8" x14ac:dyDescent="0.25">
      <c r="C436" s="13"/>
      <c r="D436" s="4" t="s">
        <v>1499</v>
      </c>
      <c r="E436" s="4" t="s">
        <v>5</v>
      </c>
      <c r="F436" s="3" t="s">
        <v>374</v>
      </c>
      <c r="G436" s="3">
        <f t="shared" si="402"/>
        <v>18</v>
      </c>
      <c r="H436" s="14" t="str">
        <f t="shared" ref="H436" si="454">IF(NOT(ISNUMBER(VALUE(G436))), "NA",IF(VALUE(G436)&gt;30,"HIGH",IF(VALUE(G436)&lt;12,"LOW", "VALUE IN RANGE")))</f>
        <v>VALUE IN RANGE</v>
      </c>
    </row>
    <row r="437" spans="3:8" x14ac:dyDescent="0.25">
      <c r="C437" s="13"/>
      <c r="D437" s="4" t="s">
        <v>1499</v>
      </c>
      <c r="E437" s="1" t="s">
        <v>7</v>
      </c>
      <c r="F437" s="5" t="s">
        <v>219</v>
      </c>
      <c r="G437" s="3">
        <f t="shared" si="402"/>
        <v>6.2</v>
      </c>
      <c r="H437" s="14" t="str">
        <f t="shared" ref="H437" si="455">IF(NOT(ISNUMBER(VALUE(G437))), "NA",IF(VALUE(G437)&gt;9,"HIGH",IF(VALUE(G437)&lt;2,"LOW", "VALUE IN RANGE")))</f>
        <v>VALUE IN RANGE</v>
      </c>
    </row>
    <row r="438" spans="3:8" x14ac:dyDescent="0.25">
      <c r="C438" s="13"/>
      <c r="D438" s="4" t="s">
        <v>1499</v>
      </c>
      <c r="E438" s="4" t="s">
        <v>9</v>
      </c>
      <c r="F438" s="3" t="s">
        <v>375</v>
      </c>
      <c r="G438" s="3">
        <f t="shared" si="402"/>
        <v>75.8</v>
      </c>
      <c r="H438" s="14" t="str">
        <f t="shared" ref="H438" si="456">IF(NOT(ISNUMBER(VALUE(G438))), "NA",IF(VALUE(G438)&gt;83,"HIGH",IF(VALUE(G438)&lt;60,"LOW", "VALUE IN RANGE")))</f>
        <v>VALUE IN RANGE</v>
      </c>
    </row>
    <row r="439" spans="3:8" x14ac:dyDescent="0.25">
      <c r="C439" s="13"/>
      <c r="D439" s="4" t="s">
        <v>1499</v>
      </c>
      <c r="E439" s="1" t="s">
        <v>11</v>
      </c>
      <c r="F439" s="5">
        <v>1300</v>
      </c>
      <c r="G439" s="3">
        <f t="shared" si="402"/>
        <v>1300</v>
      </c>
      <c r="H439" s="14" t="str">
        <f t="shared" ref="H439" si="457">IF(NOT(ISNUMBER(VALUE(G439))), "NA",IF(VALUE(G439)&gt;5.1,"HIGH",IF(VALUE(G439)&lt;0.8,"LOW", "VALUE IN RANGE")))</f>
        <v>HIGH</v>
      </c>
    </row>
    <row r="440" spans="3:8" x14ac:dyDescent="0.25">
      <c r="C440" s="13"/>
      <c r="D440" s="4" t="s">
        <v>1499</v>
      </c>
      <c r="E440" s="4" t="s">
        <v>13</v>
      </c>
      <c r="F440" s="3" t="s">
        <v>167</v>
      </c>
      <c r="G440" s="3">
        <f t="shared" si="402"/>
        <v>0.4</v>
      </c>
      <c r="H440" s="14" t="str">
        <f t="shared" ref="H440" si="458">IF(NOT(ISNUMBER(VALUE(G440))), "NA",IF(VALUE(G440)&gt;1.8,"HIGH",IF(VALUE(G440)&lt;0,"LOW", "VALUE IN RANGE")))</f>
        <v>VALUE IN RANGE</v>
      </c>
    </row>
    <row r="441" spans="3:8" x14ac:dyDescent="0.25">
      <c r="C441" s="13"/>
      <c r="D441" s="4" t="s">
        <v>1499</v>
      </c>
      <c r="E441" s="1" t="s">
        <v>15</v>
      </c>
      <c r="F441" s="5">
        <v>6000</v>
      </c>
      <c r="G441" s="3">
        <f t="shared" si="402"/>
        <v>6000</v>
      </c>
      <c r="H441" s="14" t="str">
        <f t="shared" ref="H441" si="459">IF(NOT(ISNUMBER(VALUE(G441))), "NA",IF(VALUE(G441)&gt;12.6,"HIGH",IF(VALUE(G441)&lt;4,"LOW", "VALUE IN RANGE")))</f>
        <v>HIGH</v>
      </c>
    </row>
    <row r="442" spans="3:8" x14ac:dyDescent="0.25">
      <c r="C442" s="13"/>
      <c r="D442" s="4" t="s">
        <v>1499</v>
      </c>
      <c r="E442" s="4" t="s">
        <v>17</v>
      </c>
      <c r="F442" s="3" t="s">
        <v>377</v>
      </c>
      <c r="G442" s="3">
        <f t="shared" si="402"/>
        <v>6.78</v>
      </c>
      <c r="H442" s="14" t="str">
        <f t="shared" ref="H442" si="460">IF(NOT(ISNUMBER(VALUE(G442))), "NA",IF(VALUE(G442)&gt;8.5,"HIGH",IF(VALUE(G442)&lt;5.5,"LOW", "VALUE IN RANGE")))</f>
        <v>VALUE IN RANGE</v>
      </c>
    </row>
    <row r="443" spans="3:8" x14ac:dyDescent="0.25">
      <c r="C443" s="13"/>
      <c r="D443" s="4" t="s">
        <v>1499</v>
      </c>
      <c r="E443" s="1" t="s">
        <v>19</v>
      </c>
      <c r="F443" s="5">
        <v>154</v>
      </c>
      <c r="G443" s="3">
        <f t="shared" si="402"/>
        <v>154</v>
      </c>
      <c r="H443" s="14" t="str">
        <f t="shared" ref="H443" si="461">IF(NOT(ISNUMBER(VALUE(G443))), "NA",IF(VALUE(G443)&gt;190,"HIGH",IF(VALUE(G443)&lt;110,"LOW", "VALUE IN RANGE")))</f>
        <v>VALUE IN RANGE</v>
      </c>
    </row>
    <row r="444" spans="3:8" x14ac:dyDescent="0.25">
      <c r="C444" s="13"/>
      <c r="D444" s="4" t="s">
        <v>1499</v>
      </c>
      <c r="E444" s="4" t="s">
        <v>21</v>
      </c>
      <c r="F444" s="3" t="s">
        <v>379</v>
      </c>
      <c r="G444" s="3">
        <f t="shared" si="402"/>
        <v>47.5</v>
      </c>
      <c r="H444" s="14" t="str">
        <f t="shared" ref="H444" si="462">IF(NOT(ISNUMBER(VALUE(G444))), "NA",IF(VALUE(G444)&gt;56,"HIGH",IF(VALUE(G444)&lt;39,"LOW", "VALUE IN RANGE")))</f>
        <v>VALUE IN RANGE</v>
      </c>
    </row>
    <row r="445" spans="3:8" x14ac:dyDescent="0.25">
      <c r="C445" s="13"/>
      <c r="D445" s="4" t="s">
        <v>1499</v>
      </c>
      <c r="E445" s="1" t="s">
        <v>23</v>
      </c>
      <c r="F445" s="5" t="s">
        <v>380</v>
      </c>
      <c r="G445" s="3">
        <f t="shared" si="402"/>
        <v>70.2</v>
      </c>
      <c r="H445" s="14" t="str">
        <f t="shared" ref="H445" si="463">IF(NOT(ISNUMBER(VALUE(G445))), "NA",IF(VALUE(G445)&gt;72,"HIGH",IF(VALUE(G445)&lt;62,"LOW", "VALUE IN RANGE")))</f>
        <v>VALUE IN RANGE</v>
      </c>
    </row>
    <row r="446" spans="3:8" x14ac:dyDescent="0.25">
      <c r="C446" s="13"/>
      <c r="D446" s="4" t="s">
        <v>1499</v>
      </c>
      <c r="E446" s="4" t="s">
        <v>25</v>
      </c>
      <c r="F446" s="3" t="s">
        <v>381</v>
      </c>
      <c r="G446" s="3">
        <f t="shared" si="402"/>
        <v>22.7</v>
      </c>
      <c r="H446" s="14" t="str">
        <f t="shared" ref="H446" si="464">IF(NOT(ISNUMBER(VALUE(G446))), "NA",IF(VALUE(G446)&gt;25,"HIGH",IF(VALUE(G446)&lt;20,"LOW", "VALUE IN RANGE")))</f>
        <v>VALUE IN RANGE</v>
      </c>
    </row>
    <row r="447" spans="3:8" x14ac:dyDescent="0.25">
      <c r="C447" s="13"/>
      <c r="D447" s="4" t="s">
        <v>1499</v>
      </c>
      <c r="E447" s="1" t="s">
        <v>27</v>
      </c>
      <c r="F447" s="5">
        <v>324</v>
      </c>
      <c r="G447" s="3">
        <f t="shared" si="402"/>
        <v>324</v>
      </c>
      <c r="H447" s="14" t="str">
        <f t="shared" ref="H447" si="465">IF(NOT(ISNUMBER(VALUE(G447))), "NA",IF(VALUE(G447)&gt;380,"HIGH",IF(VALUE(G447)&lt;300,"LOW", "VALUE IN RANGE")))</f>
        <v>VALUE IN RANGE</v>
      </c>
    </row>
    <row r="448" spans="3:8" x14ac:dyDescent="0.25">
      <c r="C448" s="13"/>
      <c r="D448" s="4" t="s">
        <v>1499</v>
      </c>
      <c r="E448" s="4" t="s">
        <v>29</v>
      </c>
      <c r="F448" s="3" t="s">
        <v>383</v>
      </c>
      <c r="G448" s="3">
        <f t="shared" si="402"/>
        <v>12</v>
      </c>
      <c r="H448" s="14" t="str">
        <f t="shared" ref="H448" si="466">IF(NOT(ISNUMBER(VALUE(G448))), "NA",IF(VALUE(G448)&gt;15.5,"HIGH",IF(VALUE(G448)&lt;11,"LOW", "VALUE IN RANGE")))</f>
        <v>VALUE IN RANGE</v>
      </c>
    </row>
    <row r="449" spans="3:8" x14ac:dyDescent="0.25">
      <c r="C449" s="13"/>
      <c r="D449" s="4" t="s">
        <v>1499</v>
      </c>
      <c r="E449" s="1" t="s">
        <v>31</v>
      </c>
      <c r="F449" s="5">
        <v>322</v>
      </c>
      <c r="G449" s="3">
        <f t="shared" si="402"/>
        <v>322</v>
      </c>
      <c r="H449" s="14" t="str">
        <f t="shared" ref="H449" si="467">IF(NOT(ISNUMBER(VALUE(G449))), "NA",IF(VALUE(G449)&gt;460,"HIGH",IF(VALUE(G449)&lt;117,"LOW", "VALUE IN RANGE")))</f>
        <v>VALUE IN RANGE</v>
      </c>
    </row>
    <row r="450" spans="3:8" x14ac:dyDescent="0.25">
      <c r="C450" s="13"/>
      <c r="D450" s="4" t="s">
        <v>1499</v>
      </c>
      <c r="E450" s="4" t="s">
        <v>33</v>
      </c>
      <c r="F450" s="3" t="s">
        <v>34</v>
      </c>
      <c r="G450" s="3">
        <f t="shared" si="402"/>
        <v>8.8000000000000007</v>
      </c>
      <c r="H450" s="14" t="str">
        <f t="shared" ref="H450" si="468">IF(NOT(ISNUMBER(VALUE(G450))), "NA",IF(VALUE(G450)&gt;12,"HIGH",IF(VALUE(G450)&lt;7,"LOW", "VALUE IN RANGE")))</f>
        <v>VALUE IN RANGE</v>
      </c>
    </row>
    <row r="451" spans="3:8" x14ac:dyDescent="0.25">
      <c r="C451" s="13" t="str">
        <f t="shared" ref="C451" si="469">IF(D451=D466,D465,"falso")</f>
        <v>PATIENT_0029</v>
      </c>
      <c r="D451" s="4" t="s">
        <v>1500</v>
      </c>
      <c r="E451" s="1" t="s">
        <v>134</v>
      </c>
      <c r="F451" s="5" t="s">
        <v>6</v>
      </c>
      <c r="G451" s="3">
        <f t="shared" si="402"/>
        <v>8.9</v>
      </c>
      <c r="H451" s="14" t="str">
        <f t="shared" ref="H451" si="470">IF(NOT(ISNUMBER(VALUE(G451))), "NA",IF(VALUE(G451)&gt;17,"HIGH",IF(VALUE(G451)&lt;6,"LOW", "VALUE IN RANGE")))</f>
        <v>VALUE IN RANGE</v>
      </c>
    </row>
    <row r="452" spans="3:8" x14ac:dyDescent="0.25">
      <c r="C452" s="13"/>
      <c r="D452" s="4" t="s">
        <v>1500</v>
      </c>
      <c r="E452" s="4" t="s">
        <v>136</v>
      </c>
      <c r="F452" s="3" t="s">
        <v>384</v>
      </c>
      <c r="G452" s="3">
        <f t="shared" ref="G452:G515" si="471">IFERROR(
   VALUE(
      SUBSTITUTE(
         CLEAN(
            TRIM(F452)
         ),
         ".",
         ","
      )
   ),
   ""
)</f>
        <v>38.200000000000003</v>
      </c>
      <c r="H452" s="14" t="str">
        <f t="shared" ref="H452" si="472">IF(NOT(ISNUMBER(VALUE(G452))), "NA",IF(VALUE(G452)&gt;30,"HIGH",IF(VALUE(G452)&lt;12,"LOW", "VALUE IN RANGE")))</f>
        <v>HIGH</v>
      </c>
    </row>
    <row r="453" spans="3:8" x14ac:dyDescent="0.25">
      <c r="C453" s="13"/>
      <c r="D453" s="4" t="s">
        <v>1500</v>
      </c>
      <c r="E453" s="1" t="s">
        <v>7</v>
      </c>
      <c r="F453" s="5" t="s">
        <v>63</v>
      </c>
      <c r="G453" s="3">
        <f t="shared" si="471"/>
        <v>6.8</v>
      </c>
      <c r="H453" s="14" t="str">
        <f t="shared" ref="H453" si="473">IF(NOT(ISNUMBER(VALUE(G453))), "NA",IF(VALUE(G453)&gt;9,"HIGH",IF(VALUE(G453)&lt;2,"LOW", "VALUE IN RANGE")))</f>
        <v>VALUE IN RANGE</v>
      </c>
    </row>
    <row r="454" spans="3:8" x14ac:dyDescent="0.25">
      <c r="C454" s="13"/>
      <c r="D454" s="4" t="s">
        <v>1500</v>
      </c>
      <c r="E454" s="4" t="s">
        <v>139</v>
      </c>
      <c r="F454" s="3" t="s">
        <v>385</v>
      </c>
      <c r="G454" s="3">
        <f t="shared" si="471"/>
        <v>55</v>
      </c>
      <c r="H454" s="14" t="str">
        <f t="shared" ref="H454" si="474">IF(NOT(ISNUMBER(VALUE(G454))), "NA",IF(VALUE(G454)&gt;83,"HIGH",IF(VALUE(G454)&lt;60,"LOW", "VALUE IN RANGE")))</f>
        <v>LOW</v>
      </c>
    </row>
    <row r="455" spans="3:8" x14ac:dyDescent="0.25">
      <c r="C455" s="13"/>
      <c r="D455" s="4" t="s">
        <v>1500</v>
      </c>
      <c r="E455" s="1" t="s">
        <v>141</v>
      </c>
      <c r="F455" s="5">
        <v>3300</v>
      </c>
      <c r="G455" s="3">
        <f t="shared" si="471"/>
        <v>3300</v>
      </c>
      <c r="H455" s="14" t="str">
        <f t="shared" ref="H455" si="475">IF(NOT(ISNUMBER(VALUE(G455))), "NA",IF(VALUE(G455)&gt;5.1,"HIGH",IF(VALUE(G455)&lt;0.8,"LOW", "VALUE IN RANGE")))</f>
        <v>HIGH</v>
      </c>
    </row>
    <row r="456" spans="3:8" x14ac:dyDescent="0.25">
      <c r="C456" s="13"/>
      <c r="D456" s="4" t="s">
        <v>1500</v>
      </c>
      <c r="E456" s="4" t="s">
        <v>143</v>
      </c>
      <c r="F456" s="3" t="s">
        <v>52</v>
      </c>
      <c r="G456" s="3">
        <f t="shared" si="471"/>
        <v>0.6</v>
      </c>
      <c r="H456" s="14" t="str">
        <f t="shared" ref="H456" si="476">IF(NOT(ISNUMBER(VALUE(G456))), "NA",IF(VALUE(G456)&gt;1.8,"HIGH",IF(VALUE(G456)&lt;0,"LOW", "VALUE IN RANGE")))</f>
        <v>VALUE IN RANGE</v>
      </c>
    </row>
    <row r="457" spans="3:8" x14ac:dyDescent="0.25">
      <c r="C457" s="13"/>
      <c r="D457" s="4" t="s">
        <v>1500</v>
      </c>
      <c r="E457" s="1" t="s">
        <v>144</v>
      </c>
      <c r="F457" s="5">
        <v>5000</v>
      </c>
      <c r="G457" s="3">
        <f t="shared" si="471"/>
        <v>5000</v>
      </c>
      <c r="H457" s="14" t="str">
        <f t="shared" ref="H457" si="477">IF(NOT(ISNUMBER(VALUE(G457))), "NA",IF(VALUE(G457)&gt;12.6,"HIGH",IF(VALUE(G457)&lt;4,"LOW", "VALUE IN RANGE")))</f>
        <v>HIGH</v>
      </c>
    </row>
    <row r="458" spans="3:8" x14ac:dyDescent="0.25">
      <c r="C458" s="13"/>
      <c r="D458" s="4" t="s">
        <v>1500</v>
      </c>
      <c r="E458" s="4" t="s">
        <v>146</v>
      </c>
      <c r="F458" s="3" t="s">
        <v>387</v>
      </c>
      <c r="G458" s="3">
        <f t="shared" si="471"/>
        <v>11.84</v>
      </c>
      <c r="H458" s="14" t="str">
        <f t="shared" ref="H458" si="478">IF(NOT(ISNUMBER(VALUE(G458))), "NA",IF(VALUE(G458)&gt;8.5,"HIGH",IF(VALUE(G458)&lt;5.5,"LOW", "VALUE IN RANGE")))</f>
        <v>HIGH</v>
      </c>
    </row>
    <row r="459" spans="3:8" x14ac:dyDescent="0.25">
      <c r="C459" s="13"/>
      <c r="D459" s="4" t="s">
        <v>1500</v>
      </c>
      <c r="E459" s="1" t="s">
        <v>148</v>
      </c>
      <c r="F459" s="5">
        <v>157</v>
      </c>
      <c r="G459" s="3">
        <f t="shared" si="471"/>
        <v>157</v>
      </c>
      <c r="H459" s="14" t="str">
        <f t="shared" ref="H459" si="479">IF(NOT(ISNUMBER(VALUE(G459))), "NA",IF(VALUE(G459)&gt;190,"HIGH",IF(VALUE(G459)&lt;110,"LOW", "VALUE IN RANGE")))</f>
        <v>VALUE IN RANGE</v>
      </c>
    </row>
    <row r="460" spans="3:8" x14ac:dyDescent="0.25">
      <c r="C460" s="13"/>
      <c r="D460" s="4" t="s">
        <v>1500</v>
      </c>
      <c r="E460" s="4" t="s">
        <v>150</v>
      </c>
      <c r="F460" s="3" t="s">
        <v>389</v>
      </c>
      <c r="G460" s="3">
        <f t="shared" si="471"/>
        <v>58.1</v>
      </c>
      <c r="H460" s="14" t="str">
        <f t="shared" ref="H460" si="480">IF(NOT(ISNUMBER(VALUE(G460))), "NA",IF(VALUE(G460)&gt;56,"HIGH",IF(VALUE(G460)&lt;39,"LOW", "VALUE IN RANGE")))</f>
        <v>HIGH</v>
      </c>
    </row>
    <row r="461" spans="3:8" x14ac:dyDescent="0.25">
      <c r="C461" s="13"/>
      <c r="D461" s="4" t="s">
        <v>1500</v>
      </c>
      <c r="E461" s="1" t="s">
        <v>152</v>
      </c>
      <c r="F461" s="5" t="s">
        <v>390</v>
      </c>
      <c r="G461" s="3">
        <f t="shared" si="471"/>
        <v>49.1</v>
      </c>
      <c r="H461" s="14" t="str">
        <f t="shared" ref="H461" si="481">IF(NOT(ISNUMBER(VALUE(G461))), "NA",IF(VALUE(G461)&gt;72,"HIGH",IF(VALUE(G461)&lt;62,"LOW", "VALUE IN RANGE")))</f>
        <v>LOW</v>
      </c>
    </row>
    <row r="462" spans="3:8" x14ac:dyDescent="0.25">
      <c r="C462" s="13"/>
      <c r="D462" s="4" t="s">
        <v>1500</v>
      </c>
      <c r="E462" s="4" t="s">
        <v>154</v>
      </c>
      <c r="F462" s="3" t="s">
        <v>371</v>
      </c>
      <c r="G462" s="3">
        <f t="shared" si="471"/>
        <v>13.2</v>
      </c>
      <c r="H462" s="14" t="str">
        <f t="shared" ref="H462" si="482">IF(NOT(ISNUMBER(VALUE(G462))), "NA",IF(VALUE(G462)&gt;25,"HIGH",IF(VALUE(G462)&lt;20,"LOW", "VALUE IN RANGE")))</f>
        <v>LOW</v>
      </c>
    </row>
    <row r="463" spans="3:8" x14ac:dyDescent="0.25">
      <c r="C463" s="13"/>
      <c r="D463" s="4" t="s">
        <v>1500</v>
      </c>
      <c r="E463" s="1" t="s">
        <v>27</v>
      </c>
      <c r="F463" s="5">
        <v>270</v>
      </c>
      <c r="G463" s="3">
        <f t="shared" si="471"/>
        <v>270</v>
      </c>
      <c r="H463" s="14" t="str">
        <f t="shared" ref="H463" si="483">IF(NOT(ISNUMBER(VALUE(G463))), "NA",IF(VALUE(G463)&gt;380,"HIGH",IF(VALUE(G463)&lt;300,"LOW", "VALUE IN RANGE")))</f>
        <v>LOW</v>
      </c>
    </row>
    <row r="464" spans="3:8" x14ac:dyDescent="0.25">
      <c r="C464" s="13"/>
      <c r="D464" s="4" t="s">
        <v>1500</v>
      </c>
      <c r="E464" s="4" t="s">
        <v>157</v>
      </c>
      <c r="F464" s="3" t="s">
        <v>392</v>
      </c>
      <c r="G464" s="3">
        <f t="shared" si="471"/>
        <v>15.2</v>
      </c>
      <c r="H464" s="14" t="str">
        <f t="shared" ref="H464" si="484">IF(NOT(ISNUMBER(VALUE(G464))), "NA",IF(VALUE(G464)&gt;15.5,"HIGH",IF(VALUE(G464)&lt;11,"LOW", "VALUE IN RANGE")))</f>
        <v>VALUE IN RANGE</v>
      </c>
    </row>
    <row r="465" spans="3:8" x14ac:dyDescent="0.25">
      <c r="C465" s="13"/>
      <c r="D465" s="4" t="s">
        <v>1500</v>
      </c>
      <c r="E465" s="1" t="s">
        <v>159</v>
      </c>
      <c r="F465" s="5">
        <v>262</v>
      </c>
      <c r="G465" s="3">
        <f t="shared" si="471"/>
        <v>262</v>
      </c>
      <c r="H465" s="14" t="str">
        <f t="shared" ref="H465" si="485">IF(NOT(ISNUMBER(VALUE(G465))), "NA",IF(VALUE(G465)&gt;460,"HIGH",IF(VALUE(G465)&lt;117,"LOW", "VALUE IN RANGE")))</f>
        <v>VALUE IN RANGE</v>
      </c>
    </row>
    <row r="466" spans="3:8" x14ac:dyDescent="0.25">
      <c r="C466" s="13"/>
      <c r="D466" s="4" t="s">
        <v>1500</v>
      </c>
      <c r="E466" s="4" t="s">
        <v>161</v>
      </c>
      <c r="F466" s="3" t="s">
        <v>393</v>
      </c>
      <c r="G466" s="3">
        <f t="shared" si="471"/>
        <v>10.8</v>
      </c>
      <c r="H466" s="14" t="str">
        <f t="shared" ref="H466" si="486">IF(NOT(ISNUMBER(VALUE(G466))), "NA",IF(VALUE(G466)&gt;12,"HIGH",IF(VALUE(G466)&lt;7,"LOW", "VALUE IN RANGE")))</f>
        <v>VALUE IN RANGE</v>
      </c>
    </row>
    <row r="467" spans="3:8" x14ac:dyDescent="0.25">
      <c r="C467" s="13" t="str">
        <f t="shared" ref="C467" si="487">IF(D467=D482,D481,"falso")</f>
        <v>PATIENT_0030</v>
      </c>
      <c r="D467" s="4" t="s">
        <v>1501</v>
      </c>
      <c r="E467" s="1" t="s">
        <v>3</v>
      </c>
      <c r="F467" s="5" t="s">
        <v>394</v>
      </c>
      <c r="G467" s="3">
        <f t="shared" si="471"/>
        <v>14.3</v>
      </c>
      <c r="H467" s="14" t="str">
        <f t="shared" ref="H467" si="488">IF(NOT(ISNUMBER(VALUE(G467))), "NA",IF(VALUE(G467)&gt;17,"HIGH",IF(VALUE(G467)&lt;6,"LOW", "VALUE IN RANGE")))</f>
        <v>VALUE IN RANGE</v>
      </c>
    </row>
    <row r="468" spans="3:8" x14ac:dyDescent="0.25">
      <c r="C468" s="13"/>
      <c r="D468" s="4" t="s">
        <v>1501</v>
      </c>
      <c r="E468" s="4" t="s">
        <v>5</v>
      </c>
      <c r="F468" s="3" t="s">
        <v>395</v>
      </c>
      <c r="G468" s="3">
        <f t="shared" si="471"/>
        <v>11.6</v>
      </c>
      <c r="H468" s="14" t="str">
        <f t="shared" ref="H468" si="489">IF(NOT(ISNUMBER(VALUE(G468))), "NA",IF(VALUE(G468)&gt;30,"HIGH",IF(VALUE(G468)&lt;12,"LOW", "VALUE IN RANGE")))</f>
        <v>LOW</v>
      </c>
    </row>
    <row r="469" spans="3:8" x14ac:dyDescent="0.25">
      <c r="C469" s="13"/>
      <c r="D469" s="4" t="s">
        <v>1501</v>
      </c>
      <c r="E469" s="1" t="s">
        <v>7</v>
      </c>
      <c r="F469" s="5" t="s">
        <v>396</v>
      </c>
      <c r="G469" s="3">
        <f t="shared" si="471"/>
        <v>4.4000000000000004</v>
      </c>
      <c r="H469" s="14" t="str">
        <f t="shared" ref="H469" si="490">IF(NOT(ISNUMBER(VALUE(G469))), "NA",IF(VALUE(G469)&gt;9,"HIGH",IF(VALUE(G469)&lt;2,"LOW", "VALUE IN RANGE")))</f>
        <v>VALUE IN RANGE</v>
      </c>
    </row>
    <row r="470" spans="3:8" x14ac:dyDescent="0.25">
      <c r="C470" s="13"/>
      <c r="D470" s="4" t="s">
        <v>1501</v>
      </c>
      <c r="E470" s="4" t="s">
        <v>9</v>
      </c>
      <c r="F470" s="3" t="s">
        <v>50</v>
      </c>
      <c r="G470" s="3">
        <f t="shared" si="471"/>
        <v>84</v>
      </c>
      <c r="H470" s="14" t="str">
        <f t="shared" ref="H470" si="491">IF(NOT(ISNUMBER(VALUE(G470))), "NA",IF(VALUE(G470)&gt;83,"HIGH",IF(VALUE(G470)&lt;60,"LOW", "VALUE IN RANGE")))</f>
        <v>HIGH</v>
      </c>
    </row>
    <row r="471" spans="3:8" x14ac:dyDescent="0.25">
      <c r="C471" s="13"/>
      <c r="D471" s="4" t="s">
        <v>1501</v>
      </c>
      <c r="E471" s="1" t="s">
        <v>11</v>
      </c>
      <c r="F471" s="5">
        <v>1600</v>
      </c>
      <c r="G471" s="3">
        <f t="shared" si="471"/>
        <v>1600</v>
      </c>
      <c r="H471" s="14" t="str">
        <f t="shared" ref="H471" si="492">IF(NOT(ISNUMBER(VALUE(G471))), "NA",IF(VALUE(G471)&gt;5.1,"HIGH",IF(VALUE(G471)&lt;0.8,"LOW", "VALUE IN RANGE")))</f>
        <v>HIGH</v>
      </c>
    </row>
    <row r="472" spans="3:8" x14ac:dyDescent="0.25">
      <c r="C472" s="13"/>
      <c r="D472" s="4" t="s">
        <v>1501</v>
      </c>
      <c r="E472" s="4" t="s">
        <v>13</v>
      </c>
      <c r="F472" s="3" t="s">
        <v>52</v>
      </c>
      <c r="G472" s="3">
        <f t="shared" si="471"/>
        <v>0.6</v>
      </c>
      <c r="H472" s="14" t="str">
        <f t="shared" ref="H472" si="493">IF(NOT(ISNUMBER(VALUE(G472))), "NA",IF(VALUE(G472)&gt;1.8,"HIGH",IF(VALUE(G472)&lt;0,"LOW", "VALUE IN RANGE")))</f>
        <v>VALUE IN RANGE</v>
      </c>
    </row>
    <row r="473" spans="3:8" x14ac:dyDescent="0.25">
      <c r="C473" s="13"/>
      <c r="D473" s="4" t="s">
        <v>1501</v>
      </c>
      <c r="E473" s="1" t="s">
        <v>15</v>
      </c>
      <c r="F473" s="5">
        <v>12100</v>
      </c>
      <c r="G473" s="3">
        <f t="shared" si="471"/>
        <v>12100</v>
      </c>
      <c r="H473" s="14" t="str">
        <f t="shared" ref="H473" si="494">IF(NOT(ISNUMBER(VALUE(G473))), "NA",IF(VALUE(G473)&gt;12.6,"HIGH",IF(VALUE(G473)&lt;4,"LOW", "VALUE IN RANGE")))</f>
        <v>HIGH</v>
      </c>
    </row>
    <row r="474" spans="3:8" x14ac:dyDescent="0.25">
      <c r="C474" s="13"/>
      <c r="D474" s="4" t="s">
        <v>1501</v>
      </c>
      <c r="E474" s="4" t="s">
        <v>17</v>
      </c>
      <c r="F474" s="3" t="s">
        <v>398</v>
      </c>
      <c r="G474" s="3">
        <f t="shared" si="471"/>
        <v>5.82</v>
      </c>
      <c r="H474" s="14" t="str">
        <f t="shared" ref="H474" si="495">IF(NOT(ISNUMBER(VALUE(G474))), "NA",IF(VALUE(G474)&gt;8.5,"HIGH",IF(VALUE(G474)&lt;5.5,"LOW", "VALUE IN RANGE")))</f>
        <v>VALUE IN RANGE</v>
      </c>
    </row>
    <row r="475" spans="3:8" x14ac:dyDescent="0.25">
      <c r="C475" s="13"/>
      <c r="D475" s="4" t="s">
        <v>1501</v>
      </c>
      <c r="E475" s="1" t="s">
        <v>19</v>
      </c>
      <c r="F475" s="5">
        <v>117</v>
      </c>
      <c r="G475" s="3">
        <f t="shared" si="471"/>
        <v>117</v>
      </c>
      <c r="H475" s="14" t="str">
        <f t="shared" ref="H475" si="496">IF(NOT(ISNUMBER(VALUE(G475))), "NA",IF(VALUE(G475)&gt;190,"HIGH",IF(VALUE(G475)&lt;110,"LOW", "VALUE IN RANGE")))</f>
        <v>VALUE IN RANGE</v>
      </c>
    </row>
    <row r="476" spans="3:8" x14ac:dyDescent="0.25">
      <c r="C476" s="13"/>
      <c r="D476" s="4" t="s">
        <v>1501</v>
      </c>
      <c r="E476" s="4" t="s">
        <v>21</v>
      </c>
      <c r="F476" s="3" t="s">
        <v>400</v>
      </c>
      <c r="G476" s="3">
        <f t="shared" si="471"/>
        <v>37.5</v>
      </c>
      <c r="H476" s="14" t="str">
        <f t="shared" ref="H476" si="497">IF(NOT(ISNUMBER(VALUE(G476))), "NA",IF(VALUE(G476)&gt;56,"HIGH",IF(VALUE(G476)&lt;39,"LOW", "VALUE IN RANGE")))</f>
        <v>LOW</v>
      </c>
    </row>
    <row r="477" spans="3:8" x14ac:dyDescent="0.25">
      <c r="C477" s="13"/>
      <c r="D477" s="4" t="s">
        <v>1501</v>
      </c>
      <c r="E477" s="1" t="s">
        <v>23</v>
      </c>
      <c r="F477" s="5" t="s">
        <v>185</v>
      </c>
      <c r="G477" s="3">
        <f t="shared" si="471"/>
        <v>64.599999999999994</v>
      </c>
      <c r="H477" s="14" t="str">
        <f t="shared" ref="H477" si="498">IF(NOT(ISNUMBER(VALUE(G477))), "NA",IF(VALUE(G477)&gt;72,"HIGH",IF(VALUE(G477)&lt;62,"LOW", "VALUE IN RANGE")))</f>
        <v>VALUE IN RANGE</v>
      </c>
    </row>
    <row r="478" spans="3:8" x14ac:dyDescent="0.25">
      <c r="C478" s="13"/>
      <c r="D478" s="4" t="s">
        <v>1501</v>
      </c>
      <c r="E478" s="4" t="s">
        <v>25</v>
      </c>
      <c r="F478" s="3" t="s">
        <v>401</v>
      </c>
      <c r="G478" s="3">
        <f t="shared" si="471"/>
        <v>20.100000000000001</v>
      </c>
      <c r="H478" s="14" t="str">
        <f t="shared" ref="H478" si="499">IF(NOT(ISNUMBER(VALUE(G478))), "NA",IF(VALUE(G478)&gt;25,"HIGH",IF(VALUE(G478)&lt;20,"LOW", "VALUE IN RANGE")))</f>
        <v>VALUE IN RANGE</v>
      </c>
    </row>
    <row r="479" spans="3:8" x14ac:dyDescent="0.25">
      <c r="C479" s="13"/>
      <c r="D479" s="4" t="s">
        <v>1501</v>
      </c>
      <c r="E479" s="1" t="s">
        <v>27</v>
      </c>
      <c r="F479" s="5">
        <v>312</v>
      </c>
      <c r="G479" s="3">
        <f t="shared" si="471"/>
        <v>312</v>
      </c>
      <c r="H479" s="14" t="str">
        <f t="shared" ref="H479" si="500">IF(NOT(ISNUMBER(VALUE(G479))), "NA",IF(VALUE(G479)&gt;380,"HIGH",IF(VALUE(G479)&lt;300,"LOW", "VALUE IN RANGE")))</f>
        <v>VALUE IN RANGE</v>
      </c>
    </row>
    <row r="480" spans="3:8" x14ac:dyDescent="0.25">
      <c r="C480" s="13"/>
      <c r="D480" s="4" t="s">
        <v>1501</v>
      </c>
      <c r="E480" s="4" t="s">
        <v>29</v>
      </c>
      <c r="F480" s="3" t="s">
        <v>188</v>
      </c>
      <c r="G480" s="3">
        <f t="shared" si="471"/>
        <v>13</v>
      </c>
      <c r="H480" s="14" t="str">
        <f t="shared" ref="H480" si="501">IF(NOT(ISNUMBER(VALUE(G480))), "NA",IF(VALUE(G480)&gt;15.5,"HIGH",IF(VALUE(G480)&lt;11,"LOW", "VALUE IN RANGE")))</f>
        <v>VALUE IN RANGE</v>
      </c>
    </row>
    <row r="481" spans="3:8" x14ac:dyDescent="0.25">
      <c r="C481" s="13"/>
      <c r="D481" s="4" t="s">
        <v>1501</v>
      </c>
      <c r="E481" s="1" t="s">
        <v>31</v>
      </c>
      <c r="F481" s="5">
        <v>237</v>
      </c>
      <c r="G481" s="3">
        <f t="shared" si="471"/>
        <v>237</v>
      </c>
      <c r="H481" s="14" t="str">
        <f t="shared" ref="H481" si="502">IF(NOT(ISNUMBER(VALUE(G481))), "NA",IF(VALUE(G481)&gt;460,"HIGH",IF(VALUE(G481)&lt;117,"LOW", "VALUE IN RANGE")))</f>
        <v>VALUE IN RANGE</v>
      </c>
    </row>
    <row r="482" spans="3:8" x14ac:dyDescent="0.25">
      <c r="C482" s="13"/>
      <c r="D482" s="4" t="s">
        <v>1501</v>
      </c>
      <c r="E482" s="4" t="s">
        <v>33</v>
      </c>
      <c r="F482" s="3" t="s">
        <v>404</v>
      </c>
      <c r="G482" s="3">
        <f t="shared" si="471"/>
        <v>8.6</v>
      </c>
      <c r="H482" s="14" t="str">
        <f t="shared" ref="H482" si="503">IF(NOT(ISNUMBER(VALUE(G482))), "NA",IF(VALUE(G482)&gt;12,"HIGH",IF(VALUE(G482)&lt;7,"LOW", "VALUE IN RANGE")))</f>
        <v>VALUE IN RANGE</v>
      </c>
    </row>
    <row r="483" spans="3:8" x14ac:dyDescent="0.25">
      <c r="C483" s="13" t="str">
        <f t="shared" ref="C483" si="504">IF(D483=D498,D497,"falso")</f>
        <v>PATIENT_0031</v>
      </c>
      <c r="D483" s="4" t="s">
        <v>1502</v>
      </c>
      <c r="E483" s="1" t="s">
        <v>3</v>
      </c>
      <c r="F483" s="5" t="s">
        <v>405</v>
      </c>
      <c r="G483" s="3">
        <f t="shared" si="471"/>
        <v>10.8</v>
      </c>
      <c r="H483" s="14" t="str">
        <f t="shared" ref="H483" si="505">IF(NOT(ISNUMBER(VALUE(G483))), "NA",IF(VALUE(G483)&gt;17,"HIGH",IF(VALUE(G483)&lt;6,"LOW", "VALUE IN RANGE")))</f>
        <v>VALUE IN RANGE</v>
      </c>
    </row>
    <row r="484" spans="3:8" x14ac:dyDescent="0.25">
      <c r="C484" s="13"/>
      <c r="D484" s="4" t="s">
        <v>1502</v>
      </c>
      <c r="E484" s="4" t="s">
        <v>5</v>
      </c>
      <c r="F484" s="3" t="s">
        <v>406</v>
      </c>
      <c r="G484" s="3">
        <f t="shared" si="471"/>
        <v>15.6</v>
      </c>
      <c r="H484" s="14" t="str">
        <f t="shared" ref="H484" si="506">IF(NOT(ISNUMBER(VALUE(G484))), "NA",IF(VALUE(G484)&gt;30,"HIGH",IF(VALUE(G484)&lt;12,"LOW", "VALUE IN RANGE")))</f>
        <v>VALUE IN RANGE</v>
      </c>
    </row>
    <row r="485" spans="3:8" x14ac:dyDescent="0.25">
      <c r="C485" s="13"/>
      <c r="D485" s="4" t="s">
        <v>1502</v>
      </c>
      <c r="E485" s="1" t="s">
        <v>7</v>
      </c>
      <c r="F485" s="5" t="s">
        <v>407</v>
      </c>
      <c r="G485" s="3">
        <f t="shared" si="471"/>
        <v>3.7</v>
      </c>
      <c r="H485" s="14" t="str">
        <f t="shared" ref="H485" si="507">IF(NOT(ISNUMBER(VALUE(G485))), "NA",IF(VALUE(G485)&gt;9,"HIGH",IF(VALUE(G485)&lt;2,"LOW", "VALUE IN RANGE")))</f>
        <v>VALUE IN RANGE</v>
      </c>
    </row>
    <row r="486" spans="3:8" x14ac:dyDescent="0.25">
      <c r="C486" s="13"/>
      <c r="D486" s="4" t="s">
        <v>1502</v>
      </c>
      <c r="E486" s="4" t="s">
        <v>9</v>
      </c>
      <c r="F486" s="3" t="s">
        <v>408</v>
      </c>
      <c r="G486" s="3">
        <f t="shared" si="471"/>
        <v>80.7</v>
      </c>
      <c r="H486" s="14" t="str">
        <f t="shared" ref="H486" si="508">IF(NOT(ISNUMBER(VALUE(G486))), "NA",IF(VALUE(G486)&gt;83,"HIGH",IF(VALUE(G486)&lt;60,"LOW", "VALUE IN RANGE")))</f>
        <v>VALUE IN RANGE</v>
      </c>
    </row>
    <row r="487" spans="3:8" x14ac:dyDescent="0.25">
      <c r="C487" s="13"/>
      <c r="D487" s="4" t="s">
        <v>1502</v>
      </c>
      <c r="E487" s="1" t="s">
        <v>11</v>
      </c>
      <c r="F487" s="5">
        <v>1600</v>
      </c>
      <c r="G487" s="3">
        <f t="shared" si="471"/>
        <v>1600</v>
      </c>
      <c r="H487" s="14" t="str">
        <f t="shared" ref="H487" si="509">IF(NOT(ISNUMBER(VALUE(G487))), "NA",IF(VALUE(G487)&gt;5.1,"HIGH",IF(VALUE(G487)&lt;0.8,"LOW", "VALUE IN RANGE")))</f>
        <v>HIGH</v>
      </c>
    </row>
    <row r="488" spans="3:8" x14ac:dyDescent="0.25">
      <c r="C488" s="13"/>
      <c r="D488" s="4" t="s">
        <v>1502</v>
      </c>
      <c r="E488" s="4" t="s">
        <v>13</v>
      </c>
      <c r="F488" s="3" t="s">
        <v>14</v>
      </c>
      <c r="G488" s="3">
        <f t="shared" si="471"/>
        <v>0.3</v>
      </c>
      <c r="H488" s="14" t="str">
        <f t="shared" ref="H488" si="510">IF(NOT(ISNUMBER(VALUE(G488))), "NA",IF(VALUE(G488)&gt;1.8,"HIGH",IF(VALUE(G488)&lt;0,"LOW", "VALUE IN RANGE")))</f>
        <v>VALUE IN RANGE</v>
      </c>
    </row>
    <row r="489" spans="3:8" x14ac:dyDescent="0.25">
      <c r="C489" s="13"/>
      <c r="D489" s="4" t="s">
        <v>1502</v>
      </c>
      <c r="E489" s="1" t="s">
        <v>15</v>
      </c>
      <c r="F489" s="5">
        <v>8900</v>
      </c>
      <c r="G489" s="3">
        <f t="shared" si="471"/>
        <v>8900</v>
      </c>
      <c r="H489" s="14" t="str">
        <f t="shared" ref="H489" si="511">IF(NOT(ISNUMBER(VALUE(G489))), "NA",IF(VALUE(G489)&gt;12.6,"HIGH",IF(VALUE(G489)&lt;4,"LOW", "VALUE IN RANGE")))</f>
        <v>HIGH</v>
      </c>
    </row>
    <row r="490" spans="3:8" x14ac:dyDescent="0.25">
      <c r="C490" s="13"/>
      <c r="D490" s="4" t="s">
        <v>1502</v>
      </c>
      <c r="E490" s="4" t="s">
        <v>17</v>
      </c>
      <c r="F490" s="3" t="s">
        <v>409</v>
      </c>
      <c r="G490" s="3">
        <f t="shared" si="471"/>
        <v>7</v>
      </c>
      <c r="H490" s="14" t="str">
        <f t="shared" ref="H490" si="512">IF(NOT(ISNUMBER(VALUE(G490))), "NA",IF(VALUE(G490)&gt;8.5,"HIGH",IF(VALUE(G490)&lt;5.5,"LOW", "VALUE IN RANGE")))</f>
        <v>VALUE IN RANGE</v>
      </c>
    </row>
    <row r="491" spans="3:8" x14ac:dyDescent="0.25">
      <c r="C491" s="13"/>
      <c r="D491" s="4" t="s">
        <v>1502</v>
      </c>
      <c r="E491" s="1" t="s">
        <v>19</v>
      </c>
      <c r="F491" s="5">
        <v>162</v>
      </c>
      <c r="G491" s="3">
        <f t="shared" si="471"/>
        <v>162</v>
      </c>
      <c r="H491" s="14" t="str">
        <f t="shared" ref="H491" si="513">IF(NOT(ISNUMBER(VALUE(G491))), "NA",IF(VALUE(G491)&gt;190,"HIGH",IF(VALUE(G491)&lt;110,"LOW", "VALUE IN RANGE")))</f>
        <v>VALUE IN RANGE</v>
      </c>
    </row>
    <row r="492" spans="3:8" x14ac:dyDescent="0.25">
      <c r="C492" s="13"/>
      <c r="D492" s="4" t="s">
        <v>1502</v>
      </c>
      <c r="E492" s="4" t="s">
        <v>21</v>
      </c>
      <c r="F492" s="3" t="s">
        <v>411</v>
      </c>
      <c r="G492" s="3">
        <f t="shared" si="471"/>
        <v>48.7</v>
      </c>
      <c r="H492" s="14" t="str">
        <f t="shared" ref="H492" si="514">IF(NOT(ISNUMBER(VALUE(G492))), "NA",IF(VALUE(G492)&gt;56,"HIGH",IF(VALUE(G492)&lt;39,"LOW", "VALUE IN RANGE")))</f>
        <v>VALUE IN RANGE</v>
      </c>
    </row>
    <row r="493" spans="3:8" x14ac:dyDescent="0.25">
      <c r="C493" s="13"/>
      <c r="D493" s="4" t="s">
        <v>1502</v>
      </c>
      <c r="E493" s="1" t="s">
        <v>23</v>
      </c>
      <c r="F493" s="5" t="s">
        <v>412</v>
      </c>
      <c r="G493" s="3">
        <f t="shared" si="471"/>
        <v>69.7</v>
      </c>
      <c r="H493" s="14" t="str">
        <f t="shared" ref="H493" si="515">IF(NOT(ISNUMBER(VALUE(G493))), "NA",IF(VALUE(G493)&gt;72,"HIGH",IF(VALUE(G493)&lt;62,"LOW", "VALUE IN RANGE")))</f>
        <v>VALUE IN RANGE</v>
      </c>
    </row>
    <row r="494" spans="3:8" x14ac:dyDescent="0.25">
      <c r="C494" s="13"/>
      <c r="D494" s="4" t="s">
        <v>1502</v>
      </c>
      <c r="E494" s="4" t="s">
        <v>25</v>
      </c>
      <c r="F494" s="3" t="s">
        <v>115</v>
      </c>
      <c r="G494" s="3">
        <f t="shared" si="471"/>
        <v>23.1</v>
      </c>
      <c r="H494" s="14" t="str">
        <f t="shared" ref="H494" si="516">IF(NOT(ISNUMBER(VALUE(G494))), "NA",IF(VALUE(G494)&gt;25,"HIGH",IF(VALUE(G494)&lt;20,"LOW", "VALUE IN RANGE")))</f>
        <v>VALUE IN RANGE</v>
      </c>
    </row>
    <row r="495" spans="3:8" x14ac:dyDescent="0.25">
      <c r="C495" s="13"/>
      <c r="D495" s="4" t="s">
        <v>1502</v>
      </c>
      <c r="E495" s="1" t="s">
        <v>27</v>
      </c>
      <c r="F495" s="5">
        <v>332</v>
      </c>
      <c r="G495" s="3">
        <f t="shared" si="471"/>
        <v>332</v>
      </c>
      <c r="H495" s="14" t="str">
        <f t="shared" ref="H495" si="517">IF(NOT(ISNUMBER(VALUE(G495))), "NA",IF(VALUE(G495)&gt;380,"HIGH",IF(VALUE(G495)&lt;300,"LOW", "VALUE IN RANGE")))</f>
        <v>VALUE IN RANGE</v>
      </c>
    </row>
    <row r="496" spans="3:8" x14ac:dyDescent="0.25">
      <c r="C496" s="13"/>
      <c r="D496" s="4" t="s">
        <v>1502</v>
      </c>
      <c r="E496" s="4" t="s">
        <v>29</v>
      </c>
      <c r="F496" s="3" t="s">
        <v>414</v>
      </c>
      <c r="G496" s="3">
        <f t="shared" si="471"/>
        <v>12.1</v>
      </c>
      <c r="H496" s="14" t="str">
        <f t="shared" ref="H496" si="518">IF(NOT(ISNUMBER(VALUE(G496))), "NA",IF(VALUE(G496)&gt;15.5,"HIGH",IF(VALUE(G496)&lt;11,"LOW", "VALUE IN RANGE")))</f>
        <v>VALUE IN RANGE</v>
      </c>
    </row>
    <row r="497" spans="3:8" x14ac:dyDescent="0.25">
      <c r="C497" s="13"/>
      <c r="D497" s="4" t="s">
        <v>1502</v>
      </c>
      <c r="E497" s="1" t="s">
        <v>31</v>
      </c>
      <c r="F497" s="5">
        <v>193</v>
      </c>
      <c r="G497" s="3">
        <f t="shared" si="471"/>
        <v>193</v>
      </c>
      <c r="H497" s="14" t="str">
        <f t="shared" ref="H497" si="519">IF(NOT(ISNUMBER(VALUE(G497))), "NA",IF(VALUE(G497)&gt;460,"HIGH",IF(VALUE(G497)&lt;117,"LOW", "VALUE IN RANGE")))</f>
        <v>VALUE IN RANGE</v>
      </c>
    </row>
    <row r="498" spans="3:8" x14ac:dyDescent="0.25">
      <c r="C498" s="13"/>
      <c r="D498" s="4" t="s">
        <v>1502</v>
      </c>
      <c r="E498" s="4" t="s">
        <v>33</v>
      </c>
      <c r="F498" s="3" t="s">
        <v>416</v>
      </c>
      <c r="G498" s="3">
        <f t="shared" si="471"/>
        <v>8.1999999999999993</v>
      </c>
      <c r="H498" s="14" t="str">
        <f t="shared" ref="H498" si="520">IF(NOT(ISNUMBER(VALUE(G498))), "NA",IF(VALUE(G498)&gt;12,"HIGH",IF(VALUE(G498)&lt;7,"LOW", "VALUE IN RANGE")))</f>
        <v>VALUE IN RANGE</v>
      </c>
    </row>
    <row r="499" spans="3:8" x14ac:dyDescent="0.25">
      <c r="C499" s="13" t="str">
        <f t="shared" ref="C499" si="521">IF(D499=D514,D513,"falso")</f>
        <v>PATIENT_0032</v>
      </c>
      <c r="D499" s="4" t="s">
        <v>1503</v>
      </c>
      <c r="E499" s="1" t="s">
        <v>3</v>
      </c>
      <c r="F499" s="5" t="s">
        <v>417</v>
      </c>
      <c r="G499" s="3">
        <f t="shared" si="471"/>
        <v>4.2</v>
      </c>
      <c r="H499" s="14" t="str">
        <f t="shared" ref="H499" si="522">IF(NOT(ISNUMBER(VALUE(G499))), "NA",IF(VALUE(G499)&gt;17,"HIGH",IF(VALUE(G499)&lt;6,"LOW", "VALUE IN RANGE")))</f>
        <v>LOW</v>
      </c>
    </row>
    <row r="500" spans="3:8" x14ac:dyDescent="0.25">
      <c r="C500" s="13"/>
      <c r="D500" s="4" t="s">
        <v>1503</v>
      </c>
      <c r="E500" s="4" t="s">
        <v>5</v>
      </c>
      <c r="F500" s="3" t="s">
        <v>343</v>
      </c>
      <c r="G500" s="3">
        <f t="shared" si="471"/>
        <v>7.8</v>
      </c>
      <c r="H500" s="14" t="str">
        <f t="shared" ref="H500" si="523">IF(NOT(ISNUMBER(VALUE(G500))), "NA",IF(VALUE(G500)&gt;30,"HIGH",IF(VALUE(G500)&lt;12,"LOW", "VALUE IN RANGE")))</f>
        <v>LOW</v>
      </c>
    </row>
    <row r="501" spans="3:8" x14ac:dyDescent="0.25">
      <c r="C501" s="13"/>
      <c r="D501" s="4" t="s">
        <v>1503</v>
      </c>
      <c r="E501" s="1" t="s">
        <v>7</v>
      </c>
      <c r="F501" s="5" t="s">
        <v>418</v>
      </c>
      <c r="G501" s="3">
        <f t="shared" si="471"/>
        <v>5.3</v>
      </c>
      <c r="H501" s="14" t="str">
        <f t="shared" ref="H501" si="524">IF(NOT(ISNUMBER(VALUE(G501))), "NA",IF(VALUE(G501)&gt;9,"HIGH",IF(VALUE(G501)&lt;2,"LOW", "VALUE IN RANGE")))</f>
        <v>VALUE IN RANGE</v>
      </c>
    </row>
    <row r="502" spans="3:8" x14ac:dyDescent="0.25">
      <c r="C502" s="13"/>
      <c r="D502" s="4" t="s">
        <v>1503</v>
      </c>
      <c r="E502" s="4" t="s">
        <v>9</v>
      </c>
      <c r="F502" s="3" t="s">
        <v>419</v>
      </c>
      <c r="G502" s="3">
        <f t="shared" si="471"/>
        <v>86.9</v>
      </c>
      <c r="H502" s="14" t="str">
        <f t="shared" ref="H502" si="525">IF(NOT(ISNUMBER(VALUE(G502))), "NA",IF(VALUE(G502)&gt;83,"HIGH",IF(VALUE(G502)&lt;60,"LOW", "VALUE IN RANGE")))</f>
        <v>HIGH</v>
      </c>
    </row>
    <row r="503" spans="3:8" x14ac:dyDescent="0.25">
      <c r="C503" s="13"/>
      <c r="D503" s="4" t="s">
        <v>1503</v>
      </c>
      <c r="E503" s="1" t="s">
        <v>11</v>
      </c>
      <c r="F503" s="5" t="s">
        <v>14</v>
      </c>
      <c r="G503" s="3">
        <f t="shared" si="471"/>
        <v>0.3</v>
      </c>
      <c r="H503" s="14" t="str">
        <f t="shared" ref="H503" si="526">IF(NOT(ISNUMBER(VALUE(G503))), "NA",IF(VALUE(G503)&gt;5.1,"HIGH",IF(VALUE(G503)&lt;0.8,"LOW", "VALUE IN RANGE")))</f>
        <v>LOW</v>
      </c>
    </row>
    <row r="504" spans="3:8" x14ac:dyDescent="0.25">
      <c r="C504" s="13"/>
      <c r="D504" s="4" t="s">
        <v>1503</v>
      </c>
      <c r="E504" s="4" t="s">
        <v>13</v>
      </c>
      <c r="F504" s="3" t="s">
        <v>51</v>
      </c>
      <c r="G504" s="3">
        <f t="shared" si="471"/>
        <v>0.2</v>
      </c>
      <c r="H504" s="14" t="str">
        <f t="shared" ref="H504" si="527">IF(NOT(ISNUMBER(VALUE(G504))), "NA",IF(VALUE(G504)&gt;1.8,"HIGH",IF(VALUE(G504)&lt;0,"LOW", "VALUE IN RANGE")))</f>
        <v>VALUE IN RANGE</v>
      </c>
    </row>
    <row r="505" spans="3:8" x14ac:dyDescent="0.25">
      <c r="C505" s="13"/>
      <c r="D505" s="4" t="s">
        <v>1503</v>
      </c>
      <c r="E505" s="1" t="s">
        <v>15</v>
      </c>
      <c r="F505" s="5">
        <v>3700</v>
      </c>
      <c r="G505" s="3">
        <f t="shared" si="471"/>
        <v>3700</v>
      </c>
      <c r="H505" s="14" t="str">
        <f t="shared" ref="H505" si="528">IF(NOT(ISNUMBER(VALUE(G505))), "NA",IF(VALUE(G505)&gt;12.6,"HIGH",IF(VALUE(G505)&lt;4,"LOW", "VALUE IN RANGE")))</f>
        <v>HIGH</v>
      </c>
    </row>
    <row r="506" spans="3:8" x14ac:dyDescent="0.25">
      <c r="C506" s="13"/>
      <c r="D506" s="4" t="s">
        <v>1503</v>
      </c>
      <c r="E506" s="4" t="s">
        <v>17</v>
      </c>
      <c r="F506" s="3" t="s">
        <v>421</v>
      </c>
      <c r="G506" s="3">
        <f t="shared" si="471"/>
        <v>6.44</v>
      </c>
      <c r="H506" s="14" t="str">
        <f t="shared" ref="H506" si="529">IF(NOT(ISNUMBER(VALUE(G506))), "NA",IF(VALUE(G506)&gt;8.5,"HIGH",IF(VALUE(G506)&lt;5.5,"LOW", "VALUE IN RANGE")))</f>
        <v>VALUE IN RANGE</v>
      </c>
    </row>
    <row r="507" spans="3:8" x14ac:dyDescent="0.25">
      <c r="C507" s="13"/>
      <c r="D507" s="4" t="s">
        <v>1503</v>
      </c>
      <c r="E507" s="1" t="s">
        <v>19</v>
      </c>
      <c r="F507" s="5">
        <v>148</v>
      </c>
      <c r="G507" s="3">
        <f t="shared" si="471"/>
        <v>148</v>
      </c>
      <c r="H507" s="14" t="str">
        <f t="shared" ref="H507" si="530">IF(NOT(ISNUMBER(VALUE(G507))), "NA",IF(VALUE(G507)&gt;190,"HIGH",IF(VALUE(G507)&lt;110,"LOW", "VALUE IN RANGE")))</f>
        <v>VALUE IN RANGE</v>
      </c>
    </row>
    <row r="508" spans="3:8" x14ac:dyDescent="0.25">
      <c r="C508" s="13"/>
      <c r="D508" s="4" t="s">
        <v>1503</v>
      </c>
      <c r="E508" s="4" t="s">
        <v>21</v>
      </c>
      <c r="F508" s="3" t="s">
        <v>423</v>
      </c>
      <c r="G508" s="3">
        <f t="shared" si="471"/>
        <v>46.2</v>
      </c>
      <c r="H508" s="14" t="str">
        <f t="shared" ref="H508" si="531">IF(NOT(ISNUMBER(VALUE(G508))), "NA",IF(VALUE(G508)&gt;56,"HIGH",IF(VALUE(G508)&lt;39,"LOW", "VALUE IN RANGE")))</f>
        <v>VALUE IN RANGE</v>
      </c>
    </row>
    <row r="509" spans="3:8" x14ac:dyDescent="0.25">
      <c r="C509" s="13"/>
      <c r="D509" s="4" t="s">
        <v>1503</v>
      </c>
      <c r="E509" s="1" t="s">
        <v>23</v>
      </c>
      <c r="F509" s="5" t="s">
        <v>424</v>
      </c>
      <c r="G509" s="3">
        <f t="shared" si="471"/>
        <v>71.8</v>
      </c>
      <c r="H509" s="14" t="str">
        <f t="shared" ref="H509" si="532">IF(NOT(ISNUMBER(VALUE(G509))), "NA",IF(VALUE(G509)&gt;72,"HIGH",IF(VALUE(G509)&lt;62,"LOW", "VALUE IN RANGE")))</f>
        <v>VALUE IN RANGE</v>
      </c>
    </row>
    <row r="510" spans="3:8" x14ac:dyDescent="0.25">
      <c r="C510" s="13"/>
      <c r="D510" s="4" t="s">
        <v>1503</v>
      </c>
      <c r="E510" s="4" t="s">
        <v>25</v>
      </c>
      <c r="F510" s="3" t="s">
        <v>425</v>
      </c>
      <c r="G510" s="3">
        <f t="shared" si="471"/>
        <v>22.9</v>
      </c>
      <c r="H510" s="14" t="str">
        <f t="shared" ref="H510" si="533">IF(NOT(ISNUMBER(VALUE(G510))), "NA",IF(VALUE(G510)&gt;25,"HIGH",IF(VALUE(G510)&lt;20,"LOW", "VALUE IN RANGE")))</f>
        <v>VALUE IN RANGE</v>
      </c>
    </row>
    <row r="511" spans="3:8" x14ac:dyDescent="0.25">
      <c r="C511" s="13"/>
      <c r="D511" s="4" t="s">
        <v>1503</v>
      </c>
      <c r="E511" s="1" t="s">
        <v>27</v>
      </c>
      <c r="F511" s="5">
        <v>320</v>
      </c>
      <c r="G511" s="3">
        <f t="shared" si="471"/>
        <v>320</v>
      </c>
      <c r="H511" s="14" t="str">
        <f t="shared" ref="H511" si="534">IF(NOT(ISNUMBER(VALUE(G511))), "NA",IF(VALUE(G511)&gt;380,"HIGH",IF(VALUE(G511)&lt;300,"LOW", "VALUE IN RANGE")))</f>
        <v>VALUE IN RANGE</v>
      </c>
    </row>
    <row r="512" spans="3:8" x14ac:dyDescent="0.25">
      <c r="C512" s="13"/>
      <c r="D512" s="4" t="s">
        <v>1503</v>
      </c>
      <c r="E512" s="4" t="s">
        <v>29</v>
      </c>
      <c r="F512" s="3" t="s">
        <v>292</v>
      </c>
      <c r="G512" s="3">
        <f t="shared" si="471"/>
        <v>11.7</v>
      </c>
      <c r="H512" s="14" t="str">
        <f t="shared" ref="H512" si="535">IF(NOT(ISNUMBER(VALUE(G512))), "NA",IF(VALUE(G512)&gt;15.5,"HIGH",IF(VALUE(G512)&lt;11,"LOW", "VALUE IN RANGE")))</f>
        <v>VALUE IN RANGE</v>
      </c>
    </row>
    <row r="513" spans="3:8" x14ac:dyDescent="0.25">
      <c r="C513" s="13"/>
      <c r="D513" s="4" t="s">
        <v>1503</v>
      </c>
      <c r="E513" s="1" t="s">
        <v>31</v>
      </c>
      <c r="F513" s="5">
        <v>182</v>
      </c>
      <c r="G513" s="3">
        <f t="shared" si="471"/>
        <v>182</v>
      </c>
      <c r="H513" s="14" t="str">
        <f t="shared" ref="H513" si="536">IF(NOT(ISNUMBER(VALUE(G513))), "NA",IF(VALUE(G513)&gt;460,"HIGH",IF(VALUE(G513)&lt;117,"LOW", "VALUE IN RANGE")))</f>
        <v>VALUE IN RANGE</v>
      </c>
    </row>
    <row r="514" spans="3:8" x14ac:dyDescent="0.25">
      <c r="C514" s="13"/>
      <c r="D514" s="4" t="s">
        <v>1503</v>
      </c>
      <c r="E514" s="4" t="s">
        <v>33</v>
      </c>
      <c r="F514" s="3" t="s">
        <v>428</v>
      </c>
      <c r="G514" s="3">
        <f t="shared" si="471"/>
        <v>8.3000000000000007</v>
      </c>
      <c r="H514" s="14" t="str">
        <f t="shared" ref="H514" si="537">IF(NOT(ISNUMBER(VALUE(G514))), "NA",IF(VALUE(G514)&gt;12,"HIGH",IF(VALUE(G514)&lt;7,"LOW", "VALUE IN RANGE")))</f>
        <v>VALUE IN RANGE</v>
      </c>
    </row>
    <row r="515" spans="3:8" x14ac:dyDescent="0.25">
      <c r="C515" s="13" t="str">
        <f t="shared" ref="C515" si="538">IF(D515=D530,D529,"falso")</f>
        <v>PATIENT_0033</v>
      </c>
      <c r="D515" s="4" t="s">
        <v>1504</v>
      </c>
      <c r="E515" s="1" t="s">
        <v>3</v>
      </c>
      <c r="F515" s="5" t="s">
        <v>429</v>
      </c>
      <c r="G515" s="3">
        <f t="shared" si="471"/>
        <v>9.4</v>
      </c>
      <c r="H515" s="14" t="str">
        <f t="shared" ref="H515" si="539">IF(NOT(ISNUMBER(VALUE(G515))), "NA",IF(VALUE(G515)&gt;17,"HIGH",IF(VALUE(G515)&lt;6,"LOW", "VALUE IN RANGE")))</f>
        <v>VALUE IN RANGE</v>
      </c>
    </row>
    <row r="516" spans="3:8" x14ac:dyDescent="0.25">
      <c r="C516" s="13"/>
      <c r="D516" s="4" t="s">
        <v>1504</v>
      </c>
      <c r="E516" s="4" t="s">
        <v>5</v>
      </c>
      <c r="F516" s="3" t="s">
        <v>430</v>
      </c>
      <c r="G516" s="3">
        <f t="shared" ref="G516:G579" si="540">IFERROR(
   VALUE(
      SUBSTITUTE(
         CLEAN(
            TRIM(F516)
         ),
         ".",
         ","
      )
   ),
   ""
)</f>
        <v>13.1</v>
      </c>
      <c r="H516" s="14" t="str">
        <f t="shared" ref="H516" si="541">IF(NOT(ISNUMBER(VALUE(G516))), "NA",IF(VALUE(G516)&gt;30,"HIGH",IF(VALUE(G516)&lt;12,"LOW", "VALUE IN RANGE")))</f>
        <v>VALUE IN RANGE</v>
      </c>
    </row>
    <row r="517" spans="3:8" x14ac:dyDescent="0.25">
      <c r="C517" s="13"/>
      <c r="D517" s="4" t="s">
        <v>1504</v>
      </c>
      <c r="E517" s="1" t="s">
        <v>7</v>
      </c>
      <c r="F517" s="5" t="s">
        <v>352</v>
      </c>
      <c r="G517" s="3">
        <f t="shared" si="540"/>
        <v>4.9000000000000004</v>
      </c>
      <c r="H517" s="14" t="str">
        <f t="shared" ref="H517" si="542">IF(NOT(ISNUMBER(VALUE(G517))), "NA",IF(VALUE(G517)&gt;9,"HIGH",IF(VALUE(G517)&lt;2,"LOW", "VALUE IN RANGE")))</f>
        <v>VALUE IN RANGE</v>
      </c>
    </row>
    <row r="518" spans="3:8" x14ac:dyDescent="0.25">
      <c r="C518" s="13"/>
      <c r="D518" s="4" t="s">
        <v>1504</v>
      </c>
      <c r="E518" s="4" t="s">
        <v>9</v>
      </c>
      <c r="F518" s="3" t="s">
        <v>431</v>
      </c>
      <c r="G518" s="3">
        <f t="shared" si="540"/>
        <v>82</v>
      </c>
      <c r="H518" s="14" t="str">
        <f t="shared" ref="H518" si="543">IF(NOT(ISNUMBER(VALUE(G518))), "NA",IF(VALUE(G518)&gt;83,"HIGH",IF(VALUE(G518)&lt;60,"LOW", "VALUE IN RANGE")))</f>
        <v>VALUE IN RANGE</v>
      </c>
    </row>
    <row r="519" spans="3:8" x14ac:dyDescent="0.25">
      <c r="C519" s="13"/>
      <c r="D519" s="4" t="s">
        <v>1504</v>
      </c>
      <c r="E519" s="1" t="s">
        <v>11</v>
      </c>
      <c r="F519" s="5">
        <v>1200</v>
      </c>
      <c r="G519" s="3">
        <f t="shared" si="540"/>
        <v>1200</v>
      </c>
      <c r="H519" s="14" t="str">
        <f t="shared" ref="H519" si="544">IF(NOT(ISNUMBER(VALUE(G519))), "NA",IF(VALUE(G519)&gt;5.1,"HIGH",IF(VALUE(G519)&lt;0.8,"LOW", "VALUE IN RANGE")))</f>
        <v>HIGH</v>
      </c>
    </row>
    <row r="520" spans="3:8" x14ac:dyDescent="0.25">
      <c r="C520" s="13"/>
      <c r="D520" s="4" t="s">
        <v>1504</v>
      </c>
      <c r="E520" s="4" t="s">
        <v>13</v>
      </c>
      <c r="F520" s="3" t="s">
        <v>167</v>
      </c>
      <c r="G520" s="3">
        <f t="shared" si="540"/>
        <v>0.4</v>
      </c>
      <c r="H520" s="14" t="str">
        <f t="shared" ref="H520" si="545">IF(NOT(ISNUMBER(VALUE(G520))), "NA",IF(VALUE(G520)&gt;1.8,"HIGH",IF(VALUE(G520)&lt;0,"LOW", "VALUE IN RANGE")))</f>
        <v>VALUE IN RANGE</v>
      </c>
    </row>
    <row r="521" spans="3:8" x14ac:dyDescent="0.25">
      <c r="C521" s="13"/>
      <c r="D521" s="4" t="s">
        <v>1504</v>
      </c>
      <c r="E521" s="1" t="s">
        <v>15</v>
      </c>
      <c r="F521" s="5">
        <v>7800</v>
      </c>
      <c r="G521" s="3">
        <f t="shared" si="540"/>
        <v>7800</v>
      </c>
      <c r="H521" s="14" t="str">
        <f t="shared" ref="H521" si="546">IF(NOT(ISNUMBER(VALUE(G521))), "NA",IF(VALUE(G521)&gt;12.6,"HIGH",IF(VALUE(G521)&lt;4,"LOW", "VALUE IN RANGE")))</f>
        <v>HIGH</v>
      </c>
    </row>
    <row r="522" spans="3:8" x14ac:dyDescent="0.25">
      <c r="C522" s="13"/>
      <c r="D522" s="4" t="s">
        <v>1504</v>
      </c>
      <c r="E522" s="4" t="s">
        <v>17</v>
      </c>
      <c r="F522" s="3" t="s">
        <v>433</v>
      </c>
      <c r="G522" s="3">
        <f t="shared" si="540"/>
        <v>7.63</v>
      </c>
      <c r="H522" s="14" t="str">
        <f t="shared" ref="H522" si="547">IF(NOT(ISNUMBER(VALUE(G522))), "NA",IF(VALUE(G522)&gt;8.5,"HIGH",IF(VALUE(G522)&lt;5.5,"LOW", "VALUE IN RANGE")))</f>
        <v>VALUE IN RANGE</v>
      </c>
    </row>
    <row r="523" spans="3:8" x14ac:dyDescent="0.25">
      <c r="C523" s="13"/>
      <c r="D523" s="4" t="s">
        <v>1504</v>
      </c>
      <c r="E523" s="1" t="s">
        <v>19</v>
      </c>
      <c r="F523" s="5">
        <v>172</v>
      </c>
      <c r="G523" s="3">
        <f t="shared" si="540"/>
        <v>172</v>
      </c>
      <c r="H523" s="14" t="str">
        <f t="shared" ref="H523" si="548">IF(NOT(ISNUMBER(VALUE(G523))), "NA",IF(VALUE(G523)&gt;190,"HIGH",IF(VALUE(G523)&lt;110,"LOW", "VALUE IN RANGE")))</f>
        <v>VALUE IN RANGE</v>
      </c>
    </row>
    <row r="524" spans="3:8" x14ac:dyDescent="0.25">
      <c r="C524" s="13"/>
      <c r="D524" s="4" t="s">
        <v>1504</v>
      </c>
      <c r="E524" s="4" t="s">
        <v>21</v>
      </c>
      <c r="F524" s="3" t="s">
        <v>211</v>
      </c>
      <c r="G524" s="3">
        <f t="shared" si="540"/>
        <v>52.1</v>
      </c>
      <c r="H524" s="14" t="str">
        <f t="shared" ref="H524" si="549">IF(NOT(ISNUMBER(VALUE(G524))), "NA",IF(VALUE(G524)&gt;56,"HIGH",IF(VALUE(G524)&lt;39,"LOW", "VALUE IN RANGE")))</f>
        <v>VALUE IN RANGE</v>
      </c>
    </row>
    <row r="525" spans="3:8" x14ac:dyDescent="0.25">
      <c r="C525" s="13"/>
      <c r="D525" s="4" t="s">
        <v>1504</v>
      </c>
      <c r="E525" s="1" t="s">
        <v>23</v>
      </c>
      <c r="F525" s="5" t="s">
        <v>435</v>
      </c>
      <c r="G525" s="3">
        <f t="shared" si="540"/>
        <v>68.3</v>
      </c>
      <c r="H525" s="14" t="str">
        <f t="shared" ref="H525" si="550">IF(NOT(ISNUMBER(VALUE(G525))), "NA",IF(VALUE(G525)&gt;72,"HIGH",IF(VALUE(G525)&lt;62,"LOW", "VALUE IN RANGE")))</f>
        <v>VALUE IN RANGE</v>
      </c>
    </row>
    <row r="526" spans="3:8" x14ac:dyDescent="0.25">
      <c r="C526" s="13"/>
      <c r="D526" s="4" t="s">
        <v>1504</v>
      </c>
      <c r="E526" s="4" t="s">
        <v>25</v>
      </c>
      <c r="F526" s="3" t="s">
        <v>290</v>
      </c>
      <c r="G526" s="3">
        <f t="shared" si="540"/>
        <v>22.5</v>
      </c>
      <c r="H526" s="14" t="str">
        <f t="shared" ref="H526" si="551">IF(NOT(ISNUMBER(VALUE(G526))), "NA",IF(VALUE(G526)&gt;25,"HIGH",IF(VALUE(G526)&lt;20,"LOW", "VALUE IN RANGE")))</f>
        <v>VALUE IN RANGE</v>
      </c>
    </row>
    <row r="527" spans="3:8" x14ac:dyDescent="0.25">
      <c r="C527" s="13"/>
      <c r="D527" s="4" t="s">
        <v>1504</v>
      </c>
      <c r="E527" s="1" t="s">
        <v>27</v>
      </c>
      <c r="F527" s="5">
        <v>330</v>
      </c>
      <c r="G527" s="3">
        <f t="shared" si="540"/>
        <v>330</v>
      </c>
      <c r="H527" s="14" t="str">
        <f t="shared" ref="H527" si="552">IF(NOT(ISNUMBER(VALUE(G527))), "NA",IF(VALUE(G527)&gt;380,"HIGH",IF(VALUE(G527)&lt;300,"LOW", "VALUE IN RANGE")))</f>
        <v>VALUE IN RANGE</v>
      </c>
    </row>
    <row r="528" spans="3:8" x14ac:dyDescent="0.25">
      <c r="C528" s="13"/>
      <c r="D528" s="4" t="s">
        <v>1504</v>
      </c>
      <c r="E528" s="4" t="s">
        <v>29</v>
      </c>
      <c r="F528" s="3" t="s">
        <v>341</v>
      </c>
      <c r="G528" s="3">
        <f t="shared" si="540"/>
        <v>11.8</v>
      </c>
      <c r="H528" s="14" t="str">
        <f t="shared" ref="H528" si="553">IF(NOT(ISNUMBER(VALUE(G528))), "NA",IF(VALUE(G528)&gt;15.5,"HIGH",IF(VALUE(G528)&lt;11,"LOW", "VALUE IN RANGE")))</f>
        <v>VALUE IN RANGE</v>
      </c>
    </row>
    <row r="529" spans="3:8" x14ac:dyDescent="0.25">
      <c r="C529" s="13"/>
      <c r="D529" s="4" t="s">
        <v>1504</v>
      </c>
      <c r="E529" s="1" t="s">
        <v>31</v>
      </c>
      <c r="F529" s="5">
        <v>301</v>
      </c>
      <c r="G529" s="3">
        <f t="shared" si="540"/>
        <v>301</v>
      </c>
      <c r="H529" s="14" t="str">
        <f t="shared" ref="H529" si="554">IF(NOT(ISNUMBER(VALUE(G529))), "NA",IF(VALUE(G529)&gt;460,"HIGH",IF(VALUE(G529)&lt;117,"LOW", "VALUE IN RANGE")))</f>
        <v>VALUE IN RANGE</v>
      </c>
    </row>
    <row r="530" spans="3:8" x14ac:dyDescent="0.25">
      <c r="C530" s="13"/>
      <c r="D530" s="4" t="s">
        <v>1504</v>
      </c>
      <c r="E530" s="4" t="s">
        <v>33</v>
      </c>
      <c r="F530" s="3" t="s">
        <v>119</v>
      </c>
      <c r="G530" s="3">
        <f t="shared" si="540"/>
        <v>8.6999999999999993</v>
      </c>
      <c r="H530" s="14" t="str">
        <f t="shared" ref="H530" si="555">IF(NOT(ISNUMBER(VALUE(G530))), "NA",IF(VALUE(G530)&gt;12,"HIGH",IF(VALUE(G530)&lt;7,"LOW", "VALUE IN RANGE")))</f>
        <v>VALUE IN RANGE</v>
      </c>
    </row>
    <row r="531" spans="3:8" x14ac:dyDescent="0.25">
      <c r="C531" s="13" t="str">
        <f t="shared" ref="C531" si="556">IF(D531=D546,D545,"falso")</f>
        <v>PATIENT_0034</v>
      </c>
      <c r="D531" s="4" t="s">
        <v>1505</v>
      </c>
      <c r="E531" s="1" t="s">
        <v>134</v>
      </c>
      <c r="F531" s="5" t="s">
        <v>438</v>
      </c>
      <c r="G531" s="3">
        <f t="shared" si="540"/>
        <v>20.5</v>
      </c>
      <c r="H531" s="14" t="str">
        <f t="shared" ref="H531" si="557">IF(NOT(ISNUMBER(VALUE(G531))), "NA",IF(VALUE(G531)&gt;17,"HIGH",IF(VALUE(G531)&lt;6,"LOW", "VALUE IN RANGE")))</f>
        <v>HIGH</v>
      </c>
    </row>
    <row r="532" spans="3:8" x14ac:dyDescent="0.25">
      <c r="C532" s="13"/>
      <c r="D532" s="4" t="s">
        <v>1505</v>
      </c>
      <c r="E532" s="4" t="s">
        <v>136</v>
      </c>
      <c r="F532" s="3" t="s">
        <v>37</v>
      </c>
      <c r="G532" s="3">
        <f t="shared" si="540"/>
        <v>16.8</v>
      </c>
      <c r="H532" s="14" t="str">
        <f t="shared" ref="H532" si="558">IF(NOT(ISNUMBER(VALUE(G532))), "NA",IF(VALUE(G532)&gt;30,"HIGH",IF(VALUE(G532)&lt;12,"LOW", "VALUE IN RANGE")))</f>
        <v>VALUE IN RANGE</v>
      </c>
    </row>
    <row r="533" spans="3:8" x14ac:dyDescent="0.25">
      <c r="C533" s="13"/>
      <c r="D533" s="4" t="s">
        <v>1505</v>
      </c>
      <c r="E533" s="1" t="s">
        <v>7</v>
      </c>
      <c r="F533" s="5" t="s">
        <v>439</v>
      </c>
      <c r="G533" s="3">
        <f t="shared" si="540"/>
        <v>12.3</v>
      </c>
      <c r="H533" s="14" t="str">
        <f t="shared" ref="H533" si="559">IF(NOT(ISNUMBER(VALUE(G533))), "NA",IF(VALUE(G533)&gt;9,"HIGH",IF(VALUE(G533)&lt;2,"LOW", "VALUE IN RANGE")))</f>
        <v>HIGH</v>
      </c>
    </row>
    <row r="534" spans="3:8" x14ac:dyDescent="0.25">
      <c r="C534" s="13"/>
      <c r="D534" s="4" t="s">
        <v>1505</v>
      </c>
      <c r="E534" s="4" t="s">
        <v>139</v>
      </c>
      <c r="F534" s="3" t="s">
        <v>283</v>
      </c>
      <c r="G534" s="3">
        <f t="shared" si="540"/>
        <v>70.900000000000006</v>
      </c>
      <c r="H534" s="14" t="str">
        <f t="shared" ref="H534" si="560">IF(NOT(ISNUMBER(VALUE(G534))), "NA",IF(VALUE(G534)&gt;83,"HIGH",IF(VALUE(G534)&lt;60,"LOW", "VALUE IN RANGE")))</f>
        <v>VALUE IN RANGE</v>
      </c>
    </row>
    <row r="535" spans="3:8" x14ac:dyDescent="0.25">
      <c r="C535" s="13"/>
      <c r="D535" s="4" t="s">
        <v>1505</v>
      </c>
      <c r="E535" s="1" t="s">
        <v>141</v>
      </c>
      <c r="F535" s="5">
        <v>3400</v>
      </c>
      <c r="G535" s="3">
        <f t="shared" si="540"/>
        <v>3400</v>
      </c>
      <c r="H535" s="14" t="str">
        <f t="shared" ref="H535" si="561">IF(NOT(ISNUMBER(VALUE(G535))), "NA",IF(VALUE(G535)&gt;5.1,"HIGH",IF(VALUE(G535)&lt;0.8,"LOW", "VALUE IN RANGE")))</f>
        <v>HIGH</v>
      </c>
    </row>
    <row r="536" spans="3:8" x14ac:dyDescent="0.25">
      <c r="C536" s="13"/>
      <c r="D536" s="4" t="s">
        <v>1505</v>
      </c>
      <c r="E536" s="4" t="s">
        <v>143</v>
      </c>
      <c r="F536" s="3">
        <v>2500</v>
      </c>
      <c r="G536" s="3">
        <f t="shared" si="540"/>
        <v>2500</v>
      </c>
      <c r="H536" s="14" t="str">
        <f t="shared" ref="H536" si="562">IF(NOT(ISNUMBER(VALUE(G536))), "NA",IF(VALUE(G536)&gt;1.8,"HIGH",IF(VALUE(G536)&lt;0,"LOW", "VALUE IN RANGE")))</f>
        <v>HIGH</v>
      </c>
    </row>
    <row r="537" spans="3:8" x14ac:dyDescent="0.25">
      <c r="C537" s="13"/>
      <c r="D537" s="4" t="s">
        <v>1505</v>
      </c>
      <c r="E537" s="1" t="s">
        <v>144</v>
      </c>
      <c r="F537" s="5">
        <v>14600</v>
      </c>
      <c r="G537" s="3">
        <f t="shared" si="540"/>
        <v>14600</v>
      </c>
      <c r="H537" s="14" t="str">
        <f t="shared" ref="H537" si="563">IF(NOT(ISNUMBER(VALUE(G537))), "NA",IF(VALUE(G537)&gt;12.6,"HIGH",IF(VALUE(G537)&lt;4,"LOW", "VALUE IN RANGE")))</f>
        <v>HIGH</v>
      </c>
    </row>
    <row r="538" spans="3:8" x14ac:dyDescent="0.25">
      <c r="C538" s="13"/>
      <c r="D538" s="4" t="s">
        <v>1505</v>
      </c>
      <c r="E538" s="4" t="s">
        <v>146</v>
      </c>
      <c r="F538" s="3" t="s">
        <v>441</v>
      </c>
      <c r="G538" s="3">
        <f t="shared" si="540"/>
        <v>7.47</v>
      </c>
      <c r="H538" s="14" t="str">
        <f t="shared" ref="H538" si="564">IF(NOT(ISNUMBER(VALUE(G538))), "NA",IF(VALUE(G538)&gt;8.5,"HIGH",IF(VALUE(G538)&lt;5.5,"LOW", "VALUE IN RANGE")))</f>
        <v>VALUE IN RANGE</v>
      </c>
    </row>
    <row r="539" spans="3:8" x14ac:dyDescent="0.25">
      <c r="C539" s="13"/>
      <c r="D539" s="4" t="s">
        <v>1505</v>
      </c>
      <c r="E539" s="1" t="s">
        <v>148</v>
      </c>
      <c r="F539" s="5">
        <v>155</v>
      </c>
      <c r="G539" s="3">
        <f t="shared" si="540"/>
        <v>155</v>
      </c>
      <c r="H539" s="14" t="str">
        <f t="shared" ref="H539" si="565">IF(NOT(ISNUMBER(VALUE(G539))), "NA",IF(VALUE(G539)&gt;190,"HIGH",IF(VALUE(G539)&lt;110,"LOW", "VALUE IN RANGE")))</f>
        <v>VALUE IN RANGE</v>
      </c>
    </row>
    <row r="540" spans="3:8" x14ac:dyDescent="0.25">
      <c r="C540" s="13"/>
      <c r="D540" s="4" t="s">
        <v>1505</v>
      </c>
      <c r="E540" s="4" t="s">
        <v>150</v>
      </c>
      <c r="F540" s="3" t="s">
        <v>442</v>
      </c>
      <c r="G540" s="3">
        <f t="shared" si="540"/>
        <v>51.7</v>
      </c>
      <c r="H540" s="14" t="str">
        <f t="shared" ref="H540" si="566">IF(NOT(ISNUMBER(VALUE(G540))), "NA",IF(VALUE(G540)&gt;56,"HIGH",IF(VALUE(G540)&lt;39,"LOW", "VALUE IN RANGE")))</f>
        <v>VALUE IN RANGE</v>
      </c>
    </row>
    <row r="541" spans="3:8" x14ac:dyDescent="0.25">
      <c r="C541" s="13"/>
      <c r="D541" s="4" t="s">
        <v>1505</v>
      </c>
      <c r="E541" s="1" t="s">
        <v>152</v>
      </c>
      <c r="F541" s="5" t="s">
        <v>443</v>
      </c>
      <c r="G541" s="3">
        <f t="shared" si="540"/>
        <v>69.3</v>
      </c>
      <c r="H541" s="14" t="str">
        <f t="shared" ref="H541" si="567">IF(NOT(ISNUMBER(VALUE(G541))), "NA",IF(VALUE(G541)&gt;72,"HIGH",IF(VALUE(G541)&lt;62,"LOW", "VALUE IN RANGE")))</f>
        <v>VALUE IN RANGE</v>
      </c>
    </row>
    <row r="542" spans="3:8" x14ac:dyDescent="0.25">
      <c r="C542" s="13"/>
      <c r="D542" s="4" t="s">
        <v>1505</v>
      </c>
      <c r="E542" s="4" t="s">
        <v>154</v>
      </c>
      <c r="F542" s="3" t="s">
        <v>349</v>
      </c>
      <c r="G542" s="3">
        <f t="shared" si="540"/>
        <v>20.7</v>
      </c>
      <c r="H542" s="14" t="str">
        <f t="shared" ref="H542" si="568">IF(NOT(ISNUMBER(VALUE(G542))), "NA",IF(VALUE(G542)&gt;25,"HIGH",IF(VALUE(G542)&lt;20,"LOW", "VALUE IN RANGE")))</f>
        <v>VALUE IN RANGE</v>
      </c>
    </row>
    <row r="543" spans="3:8" x14ac:dyDescent="0.25">
      <c r="C543" s="13"/>
      <c r="D543" s="4" t="s">
        <v>1505</v>
      </c>
      <c r="E543" s="1" t="s">
        <v>27</v>
      </c>
      <c r="F543" s="5">
        <v>299</v>
      </c>
      <c r="G543" s="3">
        <f t="shared" si="540"/>
        <v>299</v>
      </c>
      <c r="H543" s="14" t="str">
        <f t="shared" ref="H543" si="569">IF(NOT(ISNUMBER(VALUE(G543))), "NA",IF(VALUE(G543)&gt;380,"HIGH",IF(VALUE(G543)&lt;300,"LOW", "VALUE IN RANGE")))</f>
        <v>LOW</v>
      </c>
    </row>
    <row r="544" spans="3:8" x14ac:dyDescent="0.25">
      <c r="C544" s="13"/>
      <c r="D544" s="4" t="s">
        <v>1505</v>
      </c>
      <c r="E544" s="4" t="s">
        <v>157</v>
      </c>
      <c r="F544" s="3" t="s">
        <v>383</v>
      </c>
      <c r="G544" s="3">
        <f t="shared" si="540"/>
        <v>12</v>
      </c>
      <c r="H544" s="14" t="str">
        <f t="shared" ref="H544" si="570">IF(NOT(ISNUMBER(VALUE(G544))), "NA",IF(VALUE(G544)&gt;15.5,"HIGH",IF(VALUE(G544)&lt;11,"LOW", "VALUE IN RANGE")))</f>
        <v>VALUE IN RANGE</v>
      </c>
    </row>
    <row r="545" spans="3:8" x14ac:dyDescent="0.25">
      <c r="C545" s="13"/>
      <c r="D545" s="4" t="s">
        <v>1505</v>
      </c>
      <c r="E545" s="1" t="s">
        <v>159</v>
      </c>
      <c r="F545" s="5">
        <v>95</v>
      </c>
      <c r="G545" s="3">
        <f t="shared" si="540"/>
        <v>95</v>
      </c>
      <c r="H545" s="14" t="str">
        <f t="shared" ref="H545" si="571">IF(NOT(ISNUMBER(VALUE(G545))), "NA",IF(VALUE(G545)&gt;460,"HIGH",IF(VALUE(G545)&lt;117,"LOW", "VALUE IN RANGE")))</f>
        <v>LOW</v>
      </c>
    </row>
    <row r="546" spans="3:8" x14ac:dyDescent="0.25">
      <c r="C546" s="13"/>
      <c r="D546" s="4" t="s">
        <v>1505</v>
      </c>
      <c r="E546" s="4" t="s">
        <v>161</v>
      </c>
      <c r="F546" s="3" t="s">
        <v>307</v>
      </c>
      <c r="G546" s="3">
        <f t="shared" si="540"/>
        <v>10.6</v>
      </c>
      <c r="H546" s="14" t="str">
        <f t="shared" ref="H546" si="572">IF(NOT(ISNUMBER(VALUE(G546))), "NA",IF(VALUE(G546)&gt;12,"HIGH",IF(VALUE(G546)&lt;7,"LOW", "VALUE IN RANGE")))</f>
        <v>VALUE IN RANGE</v>
      </c>
    </row>
    <row r="547" spans="3:8" x14ac:dyDescent="0.25">
      <c r="C547" s="13" t="str">
        <f t="shared" ref="C547" si="573">IF(D547=D562,D561,"falso")</f>
        <v>PATIENT_0035</v>
      </c>
      <c r="D547" s="4" t="s">
        <v>1506</v>
      </c>
      <c r="E547" s="1" t="s">
        <v>3</v>
      </c>
      <c r="F547" s="5" t="s">
        <v>445</v>
      </c>
      <c r="G547" s="3">
        <f t="shared" si="540"/>
        <v>10.199999999999999</v>
      </c>
      <c r="H547" s="14" t="str">
        <f t="shared" ref="H547" si="574">IF(NOT(ISNUMBER(VALUE(G547))), "NA",IF(VALUE(G547)&gt;17,"HIGH",IF(VALUE(G547)&lt;6,"LOW", "VALUE IN RANGE")))</f>
        <v>VALUE IN RANGE</v>
      </c>
    </row>
    <row r="548" spans="3:8" x14ac:dyDescent="0.25">
      <c r="C548" s="13"/>
      <c r="D548" s="4" t="s">
        <v>1506</v>
      </c>
      <c r="E548" s="4" t="s">
        <v>5</v>
      </c>
      <c r="F548" s="3" t="s">
        <v>218</v>
      </c>
      <c r="G548" s="3">
        <f t="shared" si="540"/>
        <v>17.100000000000001</v>
      </c>
      <c r="H548" s="14" t="str">
        <f t="shared" ref="H548" si="575">IF(NOT(ISNUMBER(VALUE(G548))), "NA",IF(VALUE(G548)&gt;30,"HIGH",IF(VALUE(G548)&lt;12,"LOW", "VALUE IN RANGE")))</f>
        <v>VALUE IN RANGE</v>
      </c>
    </row>
    <row r="549" spans="3:8" x14ac:dyDescent="0.25">
      <c r="C549" s="13"/>
      <c r="D549" s="4" t="s">
        <v>1506</v>
      </c>
      <c r="E549" s="1" t="s">
        <v>7</v>
      </c>
      <c r="F549" s="5" t="s">
        <v>373</v>
      </c>
      <c r="G549" s="3">
        <f t="shared" si="540"/>
        <v>7.7</v>
      </c>
      <c r="H549" s="14" t="str">
        <f t="shared" ref="H549" si="576">IF(NOT(ISNUMBER(VALUE(G549))), "NA",IF(VALUE(G549)&gt;9,"HIGH",IF(VALUE(G549)&lt;2,"LOW", "VALUE IN RANGE")))</f>
        <v>VALUE IN RANGE</v>
      </c>
    </row>
    <row r="550" spans="3:8" x14ac:dyDescent="0.25">
      <c r="C550" s="13"/>
      <c r="D550" s="4" t="s">
        <v>1506</v>
      </c>
      <c r="E550" s="4" t="s">
        <v>9</v>
      </c>
      <c r="F550" s="3" t="s">
        <v>446</v>
      </c>
      <c r="G550" s="3">
        <f t="shared" si="540"/>
        <v>75.2</v>
      </c>
      <c r="H550" s="14" t="str">
        <f t="shared" ref="H550" si="577">IF(NOT(ISNUMBER(VALUE(G550))), "NA",IF(VALUE(G550)&gt;83,"HIGH",IF(VALUE(G550)&lt;60,"LOW", "VALUE IN RANGE")))</f>
        <v>VALUE IN RANGE</v>
      </c>
    </row>
    <row r="551" spans="3:8" x14ac:dyDescent="0.25">
      <c r="C551" s="13"/>
      <c r="D551" s="4" t="s">
        <v>1506</v>
      </c>
      <c r="E551" s="1" t="s">
        <v>11</v>
      </c>
      <c r="F551" s="5">
        <v>1700</v>
      </c>
      <c r="G551" s="3">
        <f t="shared" si="540"/>
        <v>1700</v>
      </c>
      <c r="H551" s="14" t="str">
        <f t="shared" ref="H551" si="578">IF(NOT(ISNUMBER(VALUE(G551))), "NA",IF(VALUE(G551)&gt;5.1,"HIGH",IF(VALUE(G551)&lt;0.8,"LOW", "VALUE IN RANGE")))</f>
        <v>HIGH</v>
      </c>
    </row>
    <row r="552" spans="3:8" x14ac:dyDescent="0.25">
      <c r="C552" s="13"/>
      <c r="D552" s="4" t="s">
        <v>1506</v>
      </c>
      <c r="E552" s="4" t="s">
        <v>13</v>
      </c>
      <c r="F552" s="3" t="s">
        <v>12</v>
      </c>
      <c r="G552" s="3">
        <f t="shared" si="540"/>
        <v>0.7</v>
      </c>
      <c r="H552" s="14" t="str">
        <f t="shared" ref="H552" si="579">IF(NOT(ISNUMBER(VALUE(G552))), "NA",IF(VALUE(G552)&gt;1.8,"HIGH",IF(VALUE(G552)&lt;0,"LOW", "VALUE IN RANGE")))</f>
        <v>VALUE IN RANGE</v>
      </c>
    </row>
    <row r="553" spans="3:8" x14ac:dyDescent="0.25">
      <c r="C553" s="13"/>
      <c r="D553" s="4" t="s">
        <v>1506</v>
      </c>
      <c r="E553" s="1" t="s">
        <v>15</v>
      </c>
      <c r="F553" s="5">
        <v>7800</v>
      </c>
      <c r="G553" s="3">
        <f t="shared" si="540"/>
        <v>7800</v>
      </c>
      <c r="H553" s="14" t="str">
        <f t="shared" ref="H553" si="580">IF(NOT(ISNUMBER(VALUE(G553))), "NA",IF(VALUE(G553)&gt;12.6,"HIGH",IF(VALUE(G553)&lt;4,"LOW", "VALUE IN RANGE")))</f>
        <v>HIGH</v>
      </c>
    </row>
    <row r="554" spans="3:8" x14ac:dyDescent="0.25">
      <c r="C554" s="13"/>
      <c r="D554" s="4" t="s">
        <v>1506</v>
      </c>
      <c r="E554" s="4" t="s">
        <v>17</v>
      </c>
      <c r="F554" s="3" t="s">
        <v>447</v>
      </c>
      <c r="G554" s="3">
        <f t="shared" si="540"/>
        <v>7.07</v>
      </c>
      <c r="H554" s="14" t="str">
        <f t="shared" ref="H554" si="581">IF(NOT(ISNUMBER(VALUE(G554))), "NA",IF(VALUE(G554)&gt;8.5,"HIGH",IF(VALUE(G554)&lt;5.5,"LOW", "VALUE IN RANGE")))</f>
        <v>VALUE IN RANGE</v>
      </c>
    </row>
    <row r="555" spans="3:8" x14ac:dyDescent="0.25">
      <c r="C555" s="13"/>
      <c r="D555" s="4" t="s">
        <v>1506</v>
      </c>
      <c r="E555" s="1" t="s">
        <v>19</v>
      </c>
      <c r="F555" s="5">
        <v>157</v>
      </c>
      <c r="G555" s="3">
        <f t="shared" si="540"/>
        <v>157</v>
      </c>
      <c r="H555" s="14" t="str">
        <f t="shared" ref="H555" si="582">IF(NOT(ISNUMBER(VALUE(G555))), "NA",IF(VALUE(G555)&gt;190,"HIGH",IF(VALUE(G555)&lt;110,"LOW", "VALUE IN RANGE")))</f>
        <v>VALUE IN RANGE</v>
      </c>
    </row>
    <row r="556" spans="3:8" x14ac:dyDescent="0.25">
      <c r="C556" s="13"/>
      <c r="D556" s="4" t="s">
        <v>1506</v>
      </c>
      <c r="E556" s="4" t="s">
        <v>21</v>
      </c>
      <c r="F556" s="3" t="s">
        <v>448</v>
      </c>
      <c r="G556" s="3">
        <f t="shared" si="540"/>
        <v>47.6</v>
      </c>
      <c r="H556" s="14" t="str">
        <f t="shared" ref="H556" si="583">IF(NOT(ISNUMBER(VALUE(G556))), "NA",IF(VALUE(G556)&gt;56,"HIGH",IF(VALUE(G556)&lt;39,"LOW", "VALUE IN RANGE")))</f>
        <v>VALUE IN RANGE</v>
      </c>
    </row>
    <row r="557" spans="3:8" x14ac:dyDescent="0.25">
      <c r="C557" s="13"/>
      <c r="D557" s="4" t="s">
        <v>1506</v>
      </c>
      <c r="E557" s="1" t="s">
        <v>23</v>
      </c>
      <c r="F557" s="5" t="s">
        <v>449</v>
      </c>
      <c r="G557" s="3">
        <f t="shared" si="540"/>
        <v>67.400000000000006</v>
      </c>
      <c r="H557" s="14" t="str">
        <f t="shared" ref="H557" si="584">IF(NOT(ISNUMBER(VALUE(G557))), "NA",IF(VALUE(G557)&gt;72,"HIGH",IF(VALUE(G557)&lt;62,"LOW", "VALUE IN RANGE")))</f>
        <v>VALUE IN RANGE</v>
      </c>
    </row>
    <row r="558" spans="3:8" x14ac:dyDescent="0.25">
      <c r="C558" s="13"/>
      <c r="D558" s="4" t="s">
        <v>1506</v>
      </c>
      <c r="E558" s="4" t="s">
        <v>25</v>
      </c>
      <c r="F558" s="3" t="s">
        <v>450</v>
      </c>
      <c r="G558" s="3">
        <f t="shared" si="540"/>
        <v>22.2</v>
      </c>
      <c r="H558" s="14" t="str">
        <f t="shared" ref="H558" si="585">IF(NOT(ISNUMBER(VALUE(G558))), "NA",IF(VALUE(G558)&gt;25,"HIGH",IF(VALUE(G558)&lt;20,"LOW", "VALUE IN RANGE")))</f>
        <v>VALUE IN RANGE</v>
      </c>
    </row>
    <row r="559" spans="3:8" x14ac:dyDescent="0.25">
      <c r="C559" s="13"/>
      <c r="D559" s="4" t="s">
        <v>1506</v>
      </c>
      <c r="E559" s="1" t="s">
        <v>27</v>
      </c>
      <c r="F559" s="5">
        <v>329</v>
      </c>
      <c r="G559" s="3">
        <f t="shared" si="540"/>
        <v>329</v>
      </c>
      <c r="H559" s="14" t="str">
        <f t="shared" ref="H559" si="586">IF(NOT(ISNUMBER(VALUE(G559))), "NA",IF(VALUE(G559)&gt;380,"HIGH",IF(VALUE(G559)&lt;300,"LOW", "VALUE IN RANGE")))</f>
        <v>VALUE IN RANGE</v>
      </c>
    </row>
    <row r="560" spans="3:8" x14ac:dyDescent="0.25">
      <c r="C560" s="13"/>
      <c r="D560" s="4" t="s">
        <v>1506</v>
      </c>
      <c r="E560" s="4" t="s">
        <v>29</v>
      </c>
      <c r="F560" s="3" t="s">
        <v>327</v>
      </c>
      <c r="G560" s="3">
        <f t="shared" si="540"/>
        <v>13.7</v>
      </c>
      <c r="H560" s="14" t="str">
        <f t="shared" ref="H560" si="587">IF(NOT(ISNUMBER(VALUE(G560))), "NA",IF(VALUE(G560)&gt;15.5,"HIGH",IF(VALUE(G560)&lt;11,"LOW", "VALUE IN RANGE")))</f>
        <v>VALUE IN RANGE</v>
      </c>
    </row>
    <row r="561" spans="3:8" x14ac:dyDescent="0.25">
      <c r="C561" s="13"/>
      <c r="D561" s="4" t="s">
        <v>1506</v>
      </c>
      <c r="E561" s="1" t="s">
        <v>31</v>
      </c>
      <c r="F561" s="5">
        <v>434</v>
      </c>
      <c r="G561" s="3">
        <f t="shared" si="540"/>
        <v>434</v>
      </c>
      <c r="H561" s="14" t="str">
        <f t="shared" ref="H561" si="588">IF(NOT(ISNUMBER(VALUE(G561))), "NA",IF(VALUE(G561)&gt;460,"HIGH",IF(VALUE(G561)&lt;117,"LOW", "VALUE IN RANGE")))</f>
        <v>VALUE IN RANGE</v>
      </c>
    </row>
    <row r="562" spans="3:8" x14ac:dyDescent="0.25">
      <c r="C562" s="13"/>
      <c r="D562" s="4" t="s">
        <v>1506</v>
      </c>
      <c r="E562" s="4" t="s">
        <v>33</v>
      </c>
      <c r="F562" s="3" t="s">
        <v>416</v>
      </c>
      <c r="G562" s="3">
        <f t="shared" si="540"/>
        <v>8.1999999999999993</v>
      </c>
      <c r="H562" s="14" t="str">
        <f t="shared" ref="H562" si="589">IF(NOT(ISNUMBER(VALUE(G562))), "NA",IF(VALUE(G562)&gt;12,"HIGH",IF(VALUE(G562)&lt;7,"LOW", "VALUE IN RANGE")))</f>
        <v>VALUE IN RANGE</v>
      </c>
    </row>
    <row r="563" spans="3:8" x14ac:dyDescent="0.25">
      <c r="C563" s="13" t="str">
        <f t="shared" ref="C563" si="590">IF(D563=D578,D577,"falso")</f>
        <v>PATIENT_0036</v>
      </c>
      <c r="D563" s="4" t="s">
        <v>1507</v>
      </c>
      <c r="E563" s="1" t="s">
        <v>134</v>
      </c>
      <c r="F563" s="5" t="s">
        <v>452</v>
      </c>
      <c r="G563" s="3">
        <f t="shared" si="540"/>
        <v>4.5</v>
      </c>
      <c r="H563" s="14" t="str">
        <f t="shared" ref="H563" si="591">IF(NOT(ISNUMBER(VALUE(G563))), "NA",IF(VALUE(G563)&gt;17,"HIGH",IF(VALUE(G563)&lt;6,"LOW", "VALUE IN RANGE")))</f>
        <v>LOW</v>
      </c>
    </row>
    <row r="564" spans="3:8" x14ac:dyDescent="0.25">
      <c r="C564" s="13"/>
      <c r="D564" s="4" t="s">
        <v>1507</v>
      </c>
      <c r="E564" s="4" t="s">
        <v>136</v>
      </c>
      <c r="F564" s="3" t="s">
        <v>351</v>
      </c>
      <c r="G564" s="3">
        <f t="shared" si="540"/>
        <v>21.2</v>
      </c>
      <c r="H564" s="14" t="str">
        <f t="shared" ref="H564" si="592">IF(NOT(ISNUMBER(VALUE(G564))), "NA",IF(VALUE(G564)&gt;30,"HIGH",IF(VALUE(G564)&lt;12,"LOW", "VALUE IN RANGE")))</f>
        <v>VALUE IN RANGE</v>
      </c>
    </row>
    <row r="565" spans="3:8" x14ac:dyDescent="0.25">
      <c r="C565" s="13"/>
      <c r="D565" s="4" t="s">
        <v>1507</v>
      </c>
      <c r="E565" s="1" t="s">
        <v>7</v>
      </c>
      <c r="F565" s="5" t="s">
        <v>453</v>
      </c>
      <c r="G565" s="3">
        <f t="shared" si="540"/>
        <v>5</v>
      </c>
      <c r="H565" s="14" t="str">
        <f t="shared" ref="H565" si="593">IF(NOT(ISNUMBER(VALUE(G565))), "NA",IF(VALUE(G565)&gt;9,"HIGH",IF(VALUE(G565)&lt;2,"LOW", "VALUE IN RANGE")))</f>
        <v>VALUE IN RANGE</v>
      </c>
    </row>
    <row r="566" spans="3:8" x14ac:dyDescent="0.25">
      <c r="C566" s="13"/>
      <c r="D566" s="4" t="s">
        <v>1507</v>
      </c>
      <c r="E566" s="4" t="s">
        <v>139</v>
      </c>
      <c r="F566" s="3" t="s">
        <v>454</v>
      </c>
      <c r="G566" s="3">
        <f t="shared" si="540"/>
        <v>73.8</v>
      </c>
      <c r="H566" s="14" t="str">
        <f t="shared" ref="H566" si="594">IF(NOT(ISNUMBER(VALUE(G566))), "NA",IF(VALUE(G566)&gt;83,"HIGH",IF(VALUE(G566)&lt;60,"LOW", "VALUE IN RANGE")))</f>
        <v>VALUE IN RANGE</v>
      </c>
    </row>
    <row r="567" spans="3:8" x14ac:dyDescent="0.25">
      <c r="C567" s="13"/>
      <c r="D567" s="4" t="s">
        <v>1507</v>
      </c>
      <c r="E567" s="1" t="s">
        <v>141</v>
      </c>
      <c r="F567" s="5" t="s">
        <v>41</v>
      </c>
      <c r="G567" s="3">
        <f t="shared" si="540"/>
        <v>0.9</v>
      </c>
      <c r="H567" s="14" t="str">
        <f t="shared" ref="H567" si="595">IF(NOT(ISNUMBER(VALUE(G567))), "NA",IF(VALUE(G567)&gt;5.1,"HIGH",IF(VALUE(G567)&lt;0.8,"LOW", "VALUE IN RANGE")))</f>
        <v>VALUE IN RANGE</v>
      </c>
    </row>
    <row r="568" spans="3:8" x14ac:dyDescent="0.25">
      <c r="C568" s="13"/>
      <c r="D568" s="4" t="s">
        <v>1507</v>
      </c>
      <c r="E568" s="4" t="s">
        <v>143</v>
      </c>
      <c r="F568" s="3" t="s">
        <v>51</v>
      </c>
      <c r="G568" s="3">
        <f t="shared" si="540"/>
        <v>0.2</v>
      </c>
      <c r="H568" s="14" t="str">
        <f t="shared" ref="H568" si="596">IF(NOT(ISNUMBER(VALUE(G568))), "NA",IF(VALUE(G568)&gt;1.8,"HIGH",IF(VALUE(G568)&lt;0,"LOW", "VALUE IN RANGE")))</f>
        <v>VALUE IN RANGE</v>
      </c>
    </row>
    <row r="569" spans="3:8" x14ac:dyDescent="0.25">
      <c r="C569" s="13"/>
      <c r="D569" s="4" t="s">
        <v>1507</v>
      </c>
      <c r="E569" s="1" t="s">
        <v>144</v>
      </c>
      <c r="F569" s="5">
        <v>3400</v>
      </c>
      <c r="G569" s="3">
        <f t="shared" si="540"/>
        <v>3400</v>
      </c>
      <c r="H569" s="14" t="str">
        <f t="shared" ref="H569" si="597">IF(NOT(ISNUMBER(VALUE(G569))), "NA",IF(VALUE(G569)&gt;12.6,"HIGH",IF(VALUE(G569)&lt;4,"LOW", "VALUE IN RANGE")))</f>
        <v>HIGH</v>
      </c>
    </row>
    <row r="570" spans="3:8" x14ac:dyDescent="0.25">
      <c r="C570" s="13"/>
      <c r="D570" s="4" t="s">
        <v>1507</v>
      </c>
      <c r="E570" s="4" t="s">
        <v>146</v>
      </c>
      <c r="F570" s="3" t="s">
        <v>455</v>
      </c>
      <c r="G570" s="3">
        <f t="shared" si="540"/>
        <v>11.89</v>
      </c>
      <c r="H570" s="14" t="str">
        <f t="shared" ref="H570" si="598">IF(NOT(ISNUMBER(VALUE(G570))), "NA",IF(VALUE(G570)&gt;8.5,"HIGH",IF(VALUE(G570)&lt;5.5,"LOW", "VALUE IN RANGE")))</f>
        <v>HIGH</v>
      </c>
    </row>
    <row r="571" spans="3:8" x14ac:dyDescent="0.25">
      <c r="C571" s="13"/>
      <c r="D571" s="4" t="s">
        <v>1507</v>
      </c>
      <c r="E571" s="1" t="s">
        <v>148</v>
      </c>
      <c r="F571" s="5">
        <v>167</v>
      </c>
      <c r="G571" s="3">
        <f t="shared" si="540"/>
        <v>167</v>
      </c>
      <c r="H571" s="14" t="str">
        <f t="shared" ref="H571" si="599">IF(NOT(ISNUMBER(VALUE(G571))), "NA",IF(VALUE(G571)&gt;190,"HIGH",IF(VALUE(G571)&lt;110,"LOW", "VALUE IN RANGE")))</f>
        <v>VALUE IN RANGE</v>
      </c>
    </row>
    <row r="572" spans="3:8" x14ac:dyDescent="0.25">
      <c r="C572" s="13"/>
      <c r="D572" s="4" t="s">
        <v>1507</v>
      </c>
      <c r="E572" s="4" t="s">
        <v>150</v>
      </c>
      <c r="F572" s="3" t="s">
        <v>457</v>
      </c>
      <c r="G572" s="3">
        <f t="shared" si="540"/>
        <v>60.8</v>
      </c>
      <c r="H572" s="14" t="str">
        <f t="shared" ref="H572" si="600">IF(NOT(ISNUMBER(VALUE(G572))), "NA",IF(VALUE(G572)&gt;56,"HIGH",IF(VALUE(G572)&lt;39,"LOW", "VALUE IN RANGE")))</f>
        <v>HIGH</v>
      </c>
    </row>
    <row r="573" spans="3:8" x14ac:dyDescent="0.25">
      <c r="C573" s="13"/>
      <c r="D573" s="4" t="s">
        <v>1507</v>
      </c>
      <c r="E573" s="1" t="s">
        <v>152</v>
      </c>
      <c r="F573" s="5" t="s">
        <v>458</v>
      </c>
      <c r="G573" s="3">
        <f t="shared" si="540"/>
        <v>51.2</v>
      </c>
      <c r="H573" s="14" t="str">
        <f t="shared" ref="H573" si="601">IF(NOT(ISNUMBER(VALUE(G573))), "NA",IF(VALUE(G573)&gt;72,"HIGH",IF(VALUE(G573)&lt;62,"LOW", "VALUE IN RANGE")))</f>
        <v>LOW</v>
      </c>
    </row>
    <row r="574" spans="3:8" x14ac:dyDescent="0.25">
      <c r="C574" s="13"/>
      <c r="D574" s="4" t="s">
        <v>1507</v>
      </c>
      <c r="E574" s="4" t="s">
        <v>154</v>
      </c>
      <c r="F574" s="3" t="s">
        <v>459</v>
      </c>
      <c r="G574" s="3">
        <f t="shared" si="540"/>
        <v>14</v>
      </c>
      <c r="H574" s="14" t="str">
        <f t="shared" ref="H574" si="602">IF(NOT(ISNUMBER(VALUE(G574))), "NA",IF(VALUE(G574)&gt;25,"HIGH",IF(VALUE(G574)&lt;20,"LOW", "VALUE IN RANGE")))</f>
        <v>LOW</v>
      </c>
    </row>
    <row r="575" spans="3:8" x14ac:dyDescent="0.25">
      <c r="C575" s="13"/>
      <c r="D575" s="4" t="s">
        <v>1507</v>
      </c>
      <c r="E575" s="1" t="s">
        <v>27</v>
      </c>
      <c r="F575" s="5">
        <v>274</v>
      </c>
      <c r="G575" s="3">
        <f t="shared" si="540"/>
        <v>274</v>
      </c>
      <c r="H575" s="14" t="str">
        <f t="shared" ref="H575" si="603">IF(NOT(ISNUMBER(VALUE(G575))), "NA",IF(VALUE(G575)&gt;380,"HIGH",IF(VALUE(G575)&lt;300,"LOW", "VALUE IN RANGE")))</f>
        <v>LOW</v>
      </c>
    </row>
    <row r="576" spans="3:8" x14ac:dyDescent="0.25">
      <c r="C576" s="13"/>
      <c r="D576" s="4" t="s">
        <v>1507</v>
      </c>
      <c r="E576" s="4" t="s">
        <v>157</v>
      </c>
      <c r="F576" s="3" t="s">
        <v>461</v>
      </c>
      <c r="G576" s="3">
        <f t="shared" si="540"/>
        <v>15.4</v>
      </c>
      <c r="H576" s="14" t="str">
        <f t="shared" ref="H576" si="604">IF(NOT(ISNUMBER(VALUE(G576))), "NA",IF(VALUE(G576)&gt;15.5,"HIGH",IF(VALUE(G576)&lt;11,"LOW", "VALUE IN RANGE")))</f>
        <v>VALUE IN RANGE</v>
      </c>
    </row>
    <row r="577" spans="3:8" x14ac:dyDescent="0.25">
      <c r="C577" s="13"/>
      <c r="D577" s="4" t="s">
        <v>1507</v>
      </c>
      <c r="E577" s="1" t="s">
        <v>159</v>
      </c>
      <c r="F577" s="5">
        <v>343</v>
      </c>
      <c r="G577" s="3">
        <f t="shared" si="540"/>
        <v>343</v>
      </c>
      <c r="H577" s="14" t="str">
        <f t="shared" ref="H577" si="605">IF(NOT(ISNUMBER(VALUE(G577))), "NA",IF(VALUE(G577)&gt;460,"HIGH",IF(VALUE(G577)&lt;117,"LOW", "VALUE IN RANGE")))</f>
        <v>VALUE IN RANGE</v>
      </c>
    </row>
    <row r="578" spans="3:8" x14ac:dyDescent="0.25">
      <c r="C578" s="13"/>
      <c r="D578" s="4" t="s">
        <v>1507</v>
      </c>
      <c r="E578" s="4" t="s">
        <v>161</v>
      </c>
      <c r="F578" s="3" t="s">
        <v>463</v>
      </c>
      <c r="G578" s="3">
        <f t="shared" si="540"/>
        <v>9</v>
      </c>
      <c r="H578" s="14" t="str">
        <f t="shared" ref="H578" si="606">IF(NOT(ISNUMBER(VALUE(G578))), "NA",IF(VALUE(G578)&gt;12,"HIGH",IF(VALUE(G578)&lt;7,"LOW", "VALUE IN RANGE")))</f>
        <v>VALUE IN RANGE</v>
      </c>
    </row>
    <row r="579" spans="3:8" x14ac:dyDescent="0.25">
      <c r="C579" s="13" t="str">
        <f t="shared" ref="C579" si="607">IF(D579=D594,D593,"falso")</f>
        <v>PATIENT_0037</v>
      </c>
      <c r="D579" s="4" t="s">
        <v>1508</v>
      </c>
      <c r="E579" s="1" t="s">
        <v>3</v>
      </c>
      <c r="F579" s="5" t="s">
        <v>257</v>
      </c>
      <c r="G579" s="3">
        <f t="shared" si="540"/>
        <v>5.2</v>
      </c>
      <c r="H579" s="14" t="str">
        <f t="shared" ref="H579" si="608">IF(NOT(ISNUMBER(VALUE(G579))), "NA",IF(VALUE(G579)&gt;17,"HIGH",IF(VALUE(G579)&lt;6,"LOW", "VALUE IN RANGE")))</f>
        <v>LOW</v>
      </c>
    </row>
    <row r="580" spans="3:8" x14ac:dyDescent="0.25">
      <c r="C580" s="13"/>
      <c r="D580" s="4" t="s">
        <v>1508</v>
      </c>
      <c r="E580" s="4" t="s">
        <v>5</v>
      </c>
      <c r="F580" s="3" t="s">
        <v>464</v>
      </c>
      <c r="G580" s="3">
        <f t="shared" ref="G580:G643" si="609">IFERROR(
   VALUE(
      SUBSTITUTE(
         CLEAN(
            TRIM(F580)
         ),
         ".",
         ","
      )
   ),
   ""
)</f>
        <v>1.7</v>
      </c>
      <c r="H580" s="14" t="str">
        <f t="shared" ref="H580" si="610">IF(NOT(ISNUMBER(VALUE(G580))), "NA",IF(VALUE(G580)&gt;30,"HIGH",IF(VALUE(G580)&lt;12,"LOW", "VALUE IN RANGE")))</f>
        <v>LOW</v>
      </c>
    </row>
    <row r="581" spans="3:8" x14ac:dyDescent="0.25">
      <c r="C581" s="13"/>
      <c r="D581" s="4" t="s">
        <v>1508</v>
      </c>
      <c r="E581" s="1" t="s">
        <v>7</v>
      </c>
      <c r="F581" s="5" t="s">
        <v>465</v>
      </c>
      <c r="G581" s="3">
        <f t="shared" si="609"/>
        <v>5.9</v>
      </c>
      <c r="H581" s="14" t="str">
        <f t="shared" ref="H581" si="611">IF(NOT(ISNUMBER(VALUE(G581))), "NA",IF(VALUE(G581)&gt;9,"HIGH",IF(VALUE(G581)&lt;2,"LOW", "VALUE IN RANGE")))</f>
        <v>VALUE IN RANGE</v>
      </c>
    </row>
    <row r="582" spans="3:8" x14ac:dyDescent="0.25">
      <c r="C582" s="13"/>
      <c r="D582" s="4" t="s">
        <v>1508</v>
      </c>
      <c r="E582" s="4" t="s">
        <v>9</v>
      </c>
      <c r="F582" s="3" t="s">
        <v>466</v>
      </c>
      <c r="G582" s="3">
        <f t="shared" si="609"/>
        <v>92.4</v>
      </c>
      <c r="H582" s="14" t="str">
        <f t="shared" ref="H582" si="612">IF(NOT(ISNUMBER(VALUE(G582))), "NA",IF(VALUE(G582)&gt;83,"HIGH",IF(VALUE(G582)&lt;60,"LOW", "VALUE IN RANGE")))</f>
        <v>HIGH</v>
      </c>
    </row>
    <row r="583" spans="3:8" x14ac:dyDescent="0.25">
      <c r="C583" s="13"/>
      <c r="D583" s="4" t="s">
        <v>1508</v>
      </c>
      <c r="E583" s="1" t="s">
        <v>11</v>
      </c>
      <c r="F583" s="5" t="s">
        <v>39</v>
      </c>
      <c r="G583" s="3">
        <f t="shared" si="609"/>
        <v>0</v>
      </c>
      <c r="H583" s="14" t="str">
        <f t="shared" ref="H583" si="613">IF(NOT(ISNUMBER(VALUE(G583))), "NA",IF(VALUE(G583)&gt;5.1,"HIGH",IF(VALUE(G583)&lt;0.8,"LOW", "VALUE IN RANGE")))</f>
        <v>LOW</v>
      </c>
    </row>
    <row r="584" spans="3:8" x14ac:dyDescent="0.25">
      <c r="C584" s="13"/>
      <c r="D584" s="4" t="s">
        <v>1508</v>
      </c>
      <c r="E584" s="4" t="s">
        <v>13</v>
      </c>
      <c r="F584" s="3" t="s">
        <v>14</v>
      </c>
      <c r="G584" s="3">
        <f t="shared" si="609"/>
        <v>0.3</v>
      </c>
      <c r="H584" s="14" t="str">
        <f t="shared" ref="H584" si="614">IF(NOT(ISNUMBER(VALUE(G584))), "NA",IF(VALUE(G584)&gt;1.8,"HIGH",IF(VALUE(G584)&lt;0,"LOW", "VALUE IN RANGE")))</f>
        <v>VALUE IN RANGE</v>
      </c>
    </row>
    <row r="585" spans="3:8" x14ac:dyDescent="0.25">
      <c r="C585" s="13"/>
      <c r="D585" s="4" t="s">
        <v>1508</v>
      </c>
      <c r="E585" s="1" t="s">
        <v>15</v>
      </c>
      <c r="F585" s="5">
        <v>4900</v>
      </c>
      <c r="G585" s="3">
        <f t="shared" si="609"/>
        <v>4900</v>
      </c>
      <c r="H585" s="14" t="str">
        <f t="shared" ref="H585" si="615">IF(NOT(ISNUMBER(VALUE(G585))), "NA",IF(VALUE(G585)&gt;12.6,"HIGH",IF(VALUE(G585)&lt;4,"LOW", "VALUE IN RANGE")))</f>
        <v>HIGH</v>
      </c>
    </row>
    <row r="586" spans="3:8" x14ac:dyDescent="0.25">
      <c r="C586" s="13"/>
      <c r="D586" s="4" t="s">
        <v>1508</v>
      </c>
      <c r="E586" s="4" t="s">
        <v>17</v>
      </c>
      <c r="F586" s="3" t="s">
        <v>63</v>
      </c>
      <c r="G586" s="3">
        <f t="shared" si="609"/>
        <v>6.8</v>
      </c>
      <c r="H586" s="14" t="str">
        <f t="shared" ref="H586" si="616">IF(NOT(ISNUMBER(VALUE(G586))), "NA",IF(VALUE(G586)&gt;8.5,"HIGH",IF(VALUE(G586)&lt;5.5,"LOW", "VALUE IN RANGE")))</f>
        <v>VALUE IN RANGE</v>
      </c>
    </row>
    <row r="587" spans="3:8" x14ac:dyDescent="0.25">
      <c r="C587" s="13"/>
      <c r="D587" s="4" t="s">
        <v>1508</v>
      </c>
      <c r="E587" s="1" t="s">
        <v>19</v>
      </c>
      <c r="F587" s="5">
        <v>151</v>
      </c>
      <c r="G587" s="3">
        <f t="shared" si="609"/>
        <v>151</v>
      </c>
      <c r="H587" s="14" t="str">
        <f t="shared" ref="H587" si="617">IF(NOT(ISNUMBER(VALUE(G587))), "NA",IF(VALUE(G587)&gt;190,"HIGH",IF(VALUE(G587)&lt;110,"LOW", "VALUE IN RANGE")))</f>
        <v>VALUE IN RANGE</v>
      </c>
    </row>
    <row r="588" spans="3:8" x14ac:dyDescent="0.25">
      <c r="C588" s="13"/>
      <c r="D588" s="4" t="s">
        <v>1508</v>
      </c>
      <c r="E588" s="4" t="s">
        <v>21</v>
      </c>
      <c r="F588" s="3" t="s">
        <v>468</v>
      </c>
      <c r="G588" s="3">
        <f t="shared" si="609"/>
        <v>45.9</v>
      </c>
      <c r="H588" s="14" t="str">
        <f t="shared" ref="H588" si="618">IF(NOT(ISNUMBER(VALUE(G588))), "NA",IF(VALUE(G588)&gt;56,"HIGH",IF(VALUE(G588)&lt;39,"LOW", "VALUE IN RANGE")))</f>
        <v>VALUE IN RANGE</v>
      </c>
    </row>
    <row r="589" spans="3:8" x14ac:dyDescent="0.25">
      <c r="C589" s="13"/>
      <c r="D589" s="4" t="s">
        <v>1508</v>
      </c>
      <c r="E589" s="1" t="s">
        <v>23</v>
      </c>
      <c r="F589" s="5" t="s">
        <v>469</v>
      </c>
      <c r="G589" s="3">
        <f t="shared" si="609"/>
        <v>67.5</v>
      </c>
      <c r="H589" s="14" t="str">
        <f t="shared" ref="H589" si="619">IF(NOT(ISNUMBER(VALUE(G589))), "NA",IF(VALUE(G589)&gt;72,"HIGH",IF(VALUE(G589)&lt;62,"LOW", "VALUE IN RANGE")))</f>
        <v>VALUE IN RANGE</v>
      </c>
    </row>
    <row r="590" spans="3:8" x14ac:dyDescent="0.25">
      <c r="C590" s="13"/>
      <c r="D590" s="4" t="s">
        <v>1508</v>
      </c>
      <c r="E590" s="4" t="s">
        <v>25</v>
      </c>
      <c r="F590" s="3" t="s">
        <v>450</v>
      </c>
      <c r="G590" s="3">
        <f t="shared" si="609"/>
        <v>22.2</v>
      </c>
      <c r="H590" s="14" t="str">
        <f t="shared" ref="H590" si="620">IF(NOT(ISNUMBER(VALUE(G590))), "NA",IF(VALUE(G590)&gt;25,"HIGH",IF(VALUE(G590)&lt;20,"LOW", "VALUE IN RANGE")))</f>
        <v>VALUE IN RANGE</v>
      </c>
    </row>
    <row r="591" spans="3:8" x14ac:dyDescent="0.25">
      <c r="C591" s="13"/>
      <c r="D591" s="4" t="s">
        <v>1508</v>
      </c>
      <c r="E591" s="1" t="s">
        <v>27</v>
      </c>
      <c r="F591" s="5">
        <v>328</v>
      </c>
      <c r="G591" s="3">
        <f t="shared" si="609"/>
        <v>328</v>
      </c>
      <c r="H591" s="14" t="str">
        <f t="shared" ref="H591" si="621">IF(NOT(ISNUMBER(VALUE(G591))), "NA",IF(VALUE(G591)&gt;380,"HIGH",IF(VALUE(G591)&lt;300,"LOW", "VALUE IN RANGE")))</f>
        <v>VALUE IN RANGE</v>
      </c>
    </row>
    <row r="592" spans="3:8" x14ac:dyDescent="0.25">
      <c r="C592" s="13"/>
      <c r="D592" s="4" t="s">
        <v>1508</v>
      </c>
      <c r="E592" s="4" t="s">
        <v>29</v>
      </c>
      <c r="F592" s="3" t="s">
        <v>471</v>
      </c>
      <c r="G592" s="3">
        <f t="shared" si="609"/>
        <v>13.1</v>
      </c>
      <c r="H592" s="14" t="str">
        <f t="shared" ref="H592" si="622">IF(NOT(ISNUMBER(VALUE(G592))), "NA",IF(VALUE(G592)&gt;15.5,"HIGH",IF(VALUE(G592)&lt;11,"LOW", "VALUE IN RANGE")))</f>
        <v>VALUE IN RANGE</v>
      </c>
    </row>
    <row r="593" spans="3:8" x14ac:dyDescent="0.25">
      <c r="C593" s="13"/>
      <c r="D593" s="4" t="s">
        <v>1508</v>
      </c>
      <c r="E593" s="1" t="s">
        <v>31</v>
      </c>
      <c r="F593" s="5">
        <v>194</v>
      </c>
      <c r="G593" s="3">
        <f t="shared" si="609"/>
        <v>194</v>
      </c>
      <c r="H593" s="14" t="str">
        <f t="shared" ref="H593" si="623">IF(NOT(ISNUMBER(VALUE(G593))), "NA",IF(VALUE(G593)&gt;460,"HIGH",IF(VALUE(G593)&lt;117,"LOW", "VALUE IN RANGE")))</f>
        <v>VALUE IN RANGE</v>
      </c>
    </row>
    <row r="594" spans="3:8" x14ac:dyDescent="0.25">
      <c r="C594" s="13"/>
      <c r="D594" s="4" t="s">
        <v>1508</v>
      </c>
      <c r="E594" s="4" t="s">
        <v>33</v>
      </c>
      <c r="F594" s="3" t="s">
        <v>404</v>
      </c>
      <c r="G594" s="3">
        <f t="shared" si="609"/>
        <v>8.6</v>
      </c>
      <c r="H594" s="14" t="str">
        <f t="shared" ref="H594" si="624">IF(NOT(ISNUMBER(VALUE(G594))), "NA",IF(VALUE(G594)&gt;12,"HIGH",IF(VALUE(G594)&lt;7,"LOW", "VALUE IN RANGE")))</f>
        <v>VALUE IN RANGE</v>
      </c>
    </row>
    <row r="595" spans="3:8" x14ac:dyDescent="0.25">
      <c r="C595" s="13" t="str">
        <f t="shared" ref="C595" si="625">IF(D595=D610,D609,"falso")</f>
        <v>PATIENT_0038</v>
      </c>
      <c r="D595" s="4" t="s">
        <v>1509</v>
      </c>
      <c r="E595" s="1" t="s">
        <v>134</v>
      </c>
      <c r="F595" s="5" t="s">
        <v>473</v>
      </c>
      <c r="G595" s="3">
        <f t="shared" si="609"/>
        <v>10.9</v>
      </c>
      <c r="H595" s="14" t="str">
        <f t="shared" ref="H595" si="626">IF(NOT(ISNUMBER(VALUE(G595))), "NA",IF(VALUE(G595)&gt;17,"HIGH",IF(VALUE(G595)&lt;6,"LOW", "VALUE IN RANGE")))</f>
        <v>VALUE IN RANGE</v>
      </c>
    </row>
    <row r="596" spans="3:8" x14ac:dyDescent="0.25">
      <c r="C596" s="13"/>
      <c r="D596" s="4" t="s">
        <v>1509</v>
      </c>
      <c r="E596" s="4" t="s">
        <v>136</v>
      </c>
      <c r="F596" s="3" t="s">
        <v>137</v>
      </c>
      <c r="G596" s="3">
        <f t="shared" si="609"/>
        <v>30.8</v>
      </c>
      <c r="H596" s="14" t="str">
        <f t="shared" ref="H596" si="627">IF(NOT(ISNUMBER(VALUE(G596))), "NA",IF(VALUE(G596)&gt;30,"HIGH",IF(VALUE(G596)&lt;12,"LOW", "VALUE IN RANGE")))</f>
        <v>HIGH</v>
      </c>
    </row>
    <row r="597" spans="3:8" x14ac:dyDescent="0.25">
      <c r="C597" s="13"/>
      <c r="D597" s="4" t="s">
        <v>1509</v>
      </c>
      <c r="E597" s="1" t="s">
        <v>7</v>
      </c>
      <c r="F597" s="5" t="s">
        <v>474</v>
      </c>
      <c r="G597" s="3">
        <f t="shared" si="609"/>
        <v>7.5</v>
      </c>
      <c r="H597" s="14" t="str">
        <f t="shared" ref="H597" si="628">IF(NOT(ISNUMBER(VALUE(G597))), "NA",IF(VALUE(G597)&gt;9,"HIGH",IF(VALUE(G597)&lt;2,"LOW", "VALUE IN RANGE")))</f>
        <v>VALUE IN RANGE</v>
      </c>
    </row>
    <row r="598" spans="3:8" x14ac:dyDescent="0.25">
      <c r="C598" s="13"/>
      <c r="D598" s="4" t="s">
        <v>1509</v>
      </c>
      <c r="E598" s="4" t="s">
        <v>139</v>
      </c>
      <c r="F598" s="3" t="s">
        <v>475</v>
      </c>
      <c r="G598" s="3">
        <f t="shared" si="609"/>
        <v>61.7</v>
      </c>
      <c r="H598" s="14" t="str">
        <f t="shared" ref="H598" si="629">IF(NOT(ISNUMBER(VALUE(G598))), "NA",IF(VALUE(G598)&gt;83,"HIGH",IF(VALUE(G598)&lt;60,"LOW", "VALUE IN RANGE")))</f>
        <v>VALUE IN RANGE</v>
      </c>
    </row>
    <row r="599" spans="3:8" x14ac:dyDescent="0.25">
      <c r="C599" s="13"/>
      <c r="D599" s="4" t="s">
        <v>1509</v>
      </c>
      <c r="E599" s="1" t="s">
        <v>141</v>
      </c>
      <c r="F599" s="5">
        <v>3300</v>
      </c>
      <c r="G599" s="3">
        <f t="shared" si="609"/>
        <v>3300</v>
      </c>
      <c r="H599" s="14" t="str">
        <f t="shared" ref="H599" si="630">IF(NOT(ISNUMBER(VALUE(G599))), "NA",IF(VALUE(G599)&gt;5.1,"HIGH",IF(VALUE(G599)&lt;0.8,"LOW", "VALUE IN RANGE")))</f>
        <v>HIGH</v>
      </c>
    </row>
    <row r="600" spans="3:8" x14ac:dyDescent="0.25">
      <c r="C600" s="13"/>
      <c r="D600" s="4" t="s">
        <v>1509</v>
      </c>
      <c r="E600" s="4" t="s">
        <v>143</v>
      </c>
      <c r="F600" s="3" t="s">
        <v>476</v>
      </c>
      <c r="G600" s="3">
        <f t="shared" si="609"/>
        <v>0.8</v>
      </c>
      <c r="H600" s="14" t="str">
        <f t="shared" ref="H600" si="631">IF(NOT(ISNUMBER(VALUE(G600))), "NA",IF(VALUE(G600)&gt;1.8,"HIGH",IF(VALUE(G600)&lt;0,"LOW", "VALUE IN RANGE")))</f>
        <v>VALUE IN RANGE</v>
      </c>
    </row>
    <row r="601" spans="3:8" x14ac:dyDescent="0.25">
      <c r="C601" s="13"/>
      <c r="D601" s="4" t="s">
        <v>1509</v>
      </c>
      <c r="E601" s="1" t="s">
        <v>144</v>
      </c>
      <c r="F601" s="5">
        <v>6800</v>
      </c>
      <c r="G601" s="3">
        <f t="shared" si="609"/>
        <v>6800</v>
      </c>
      <c r="H601" s="14" t="str">
        <f t="shared" ref="H601" si="632">IF(NOT(ISNUMBER(VALUE(G601))), "NA",IF(VALUE(G601)&gt;12.6,"HIGH",IF(VALUE(G601)&lt;4,"LOW", "VALUE IN RANGE")))</f>
        <v>HIGH</v>
      </c>
    </row>
    <row r="602" spans="3:8" x14ac:dyDescent="0.25">
      <c r="C602" s="13"/>
      <c r="D602" s="4" t="s">
        <v>1509</v>
      </c>
      <c r="E602" s="4" t="s">
        <v>146</v>
      </c>
      <c r="F602" s="3" t="s">
        <v>478</v>
      </c>
      <c r="G602" s="3">
        <f t="shared" si="609"/>
        <v>10.06</v>
      </c>
      <c r="H602" s="14" t="str">
        <f t="shared" ref="H602" si="633">IF(NOT(ISNUMBER(VALUE(G602))), "NA",IF(VALUE(G602)&gt;8.5,"HIGH",IF(VALUE(G602)&lt;5.5,"LOW", "VALUE IN RANGE")))</f>
        <v>HIGH</v>
      </c>
    </row>
    <row r="603" spans="3:8" x14ac:dyDescent="0.25">
      <c r="C603" s="13"/>
      <c r="D603" s="4" t="s">
        <v>1509</v>
      </c>
      <c r="E603" s="1" t="s">
        <v>148</v>
      </c>
      <c r="F603" s="5">
        <v>150</v>
      </c>
      <c r="G603" s="3">
        <f t="shared" si="609"/>
        <v>150</v>
      </c>
      <c r="H603" s="14" t="str">
        <f t="shared" ref="H603" si="634">IF(NOT(ISNUMBER(VALUE(G603))), "NA",IF(VALUE(G603)&gt;190,"HIGH",IF(VALUE(G603)&lt;110,"LOW", "VALUE IN RANGE")))</f>
        <v>VALUE IN RANGE</v>
      </c>
    </row>
    <row r="604" spans="3:8" x14ac:dyDescent="0.25">
      <c r="C604" s="13"/>
      <c r="D604" s="4" t="s">
        <v>1509</v>
      </c>
      <c r="E604" s="4" t="s">
        <v>150</v>
      </c>
      <c r="F604" s="3" t="s">
        <v>480</v>
      </c>
      <c r="G604" s="3">
        <f t="shared" si="609"/>
        <v>54.2</v>
      </c>
      <c r="H604" s="14" t="str">
        <f t="shared" ref="H604" si="635">IF(NOT(ISNUMBER(VALUE(G604))), "NA",IF(VALUE(G604)&gt;56,"HIGH",IF(VALUE(G604)&lt;39,"LOW", "VALUE IN RANGE")))</f>
        <v>VALUE IN RANGE</v>
      </c>
    </row>
    <row r="605" spans="3:8" x14ac:dyDescent="0.25">
      <c r="C605" s="13"/>
      <c r="D605" s="4" t="s">
        <v>1509</v>
      </c>
      <c r="E605" s="1" t="s">
        <v>152</v>
      </c>
      <c r="F605" s="5" t="s">
        <v>481</v>
      </c>
      <c r="G605" s="3">
        <f t="shared" si="609"/>
        <v>53.9</v>
      </c>
      <c r="H605" s="14" t="str">
        <f t="shared" ref="H605" si="636">IF(NOT(ISNUMBER(VALUE(G605))), "NA",IF(VALUE(G605)&gt;72,"HIGH",IF(VALUE(G605)&lt;62,"LOW", "VALUE IN RANGE")))</f>
        <v>LOW</v>
      </c>
    </row>
    <row r="606" spans="3:8" x14ac:dyDescent="0.25">
      <c r="C606" s="13"/>
      <c r="D606" s="4" t="s">
        <v>1509</v>
      </c>
      <c r="E606" s="4" t="s">
        <v>154</v>
      </c>
      <c r="F606" s="3" t="s">
        <v>482</v>
      </c>
      <c r="G606" s="3">
        <f t="shared" si="609"/>
        <v>14.9</v>
      </c>
      <c r="H606" s="14" t="str">
        <f t="shared" ref="H606" si="637">IF(NOT(ISNUMBER(VALUE(G606))), "NA",IF(VALUE(G606)&gt;25,"HIGH",IF(VALUE(G606)&lt;20,"LOW", "VALUE IN RANGE")))</f>
        <v>LOW</v>
      </c>
    </row>
    <row r="607" spans="3:8" x14ac:dyDescent="0.25">
      <c r="C607" s="13"/>
      <c r="D607" s="4" t="s">
        <v>1509</v>
      </c>
      <c r="E607" s="1" t="s">
        <v>27</v>
      </c>
      <c r="F607" s="5">
        <v>276</v>
      </c>
      <c r="G607" s="3">
        <f t="shared" si="609"/>
        <v>276</v>
      </c>
      <c r="H607" s="14" t="str">
        <f t="shared" ref="H607" si="638">IF(NOT(ISNUMBER(VALUE(G607))), "NA",IF(VALUE(G607)&gt;380,"HIGH",IF(VALUE(G607)&lt;300,"LOW", "VALUE IN RANGE")))</f>
        <v>LOW</v>
      </c>
    </row>
    <row r="608" spans="3:8" x14ac:dyDescent="0.25">
      <c r="C608" s="13"/>
      <c r="D608" s="4" t="s">
        <v>1509</v>
      </c>
      <c r="E608" s="4" t="s">
        <v>157</v>
      </c>
      <c r="F608" s="3" t="s">
        <v>131</v>
      </c>
      <c r="G608" s="3">
        <f t="shared" si="609"/>
        <v>14.6</v>
      </c>
      <c r="H608" s="14" t="str">
        <f t="shared" ref="H608" si="639">IF(NOT(ISNUMBER(VALUE(G608))), "NA",IF(VALUE(G608)&gt;15.5,"HIGH",IF(VALUE(G608)&lt;11,"LOW", "VALUE IN RANGE")))</f>
        <v>VALUE IN RANGE</v>
      </c>
    </row>
    <row r="609" spans="3:8" x14ac:dyDescent="0.25">
      <c r="C609" s="13"/>
      <c r="D609" s="4" t="s">
        <v>1509</v>
      </c>
      <c r="E609" s="1" t="s">
        <v>159</v>
      </c>
      <c r="F609" s="5">
        <v>118</v>
      </c>
      <c r="G609" s="3">
        <f t="shared" si="609"/>
        <v>118</v>
      </c>
      <c r="H609" s="14" t="str">
        <f t="shared" ref="H609" si="640">IF(NOT(ISNUMBER(VALUE(G609))), "NA",IF(VALUE(G609)&gt;460,"HIGH",IF(VALUE(G609)&lt;117,"LOW", "VALUE IN RANGE")))</f>
        <v>VALUE IN RANGE</v>
      </c>
    </row>
    <row r="610" spans="3:8" x14ac:dyDescent="0.25">
      <c r="C610" s="13"/>
      <c r="D610" s="4" t="s">
        <v>1509</v>
      </c>
      <c r="E610" s="4" t="s">
        <v>161</v>
      </c>
      <c r="F610" s="3" t="s">
        <v>393</v>
      </c>
      <c r="G610" s="3">
        <f t="shared" si="609"/>
        <v>10.8</v>
      </c>
      <c r="H610" s="14" t="str">
        <f t="shared" ref="H610" si="641">IF(NOT(ISNUMBER(VALUE(G610))), "NA",IF(VALUE(G610)&gt;12,"HIGH",IF(VALUE(G610)&lt;7,"LOW", "VALUE IN RANGE")))</f>
        <v>VALUE IN RANGE</v>
      </c>
    </row>
    <row r="611" spans="3:8" x14ac:dyDescent="0.25">
      <c r="C611" s="13" t="str">
        <f t="shared" ref="C611" si="642">IF(D611=D626,D625,"falso")</f>
        <v>PATIENT_0039</v>
      </c>
      <c r="D611" s="4" t="s">
        <v>1510</v>
      </c>
      <c r="E611" s="1" t="s">
        <v>3</v>
      </c>
      <c r="F611" s="5" t="s">
        <v>296</v>
      </c>
      <c r="G611" s="3">
        <f t="shared" si="609"/>
        <v>17.399999999999999</v>
      </c>
      <c r="H611" s="14" t="str">
        <f t="shared" ref="H611" si="643">IF(NOT(ISNUMBER(VALUE(G611))), "NA",IF(VALUE(G611)&gt;17,"HIGH",IF(VALUE(G611)&lt;6,"LOW", "VALUE IN RANGE")))</f>
        <v>HIGH</v>
      </c>
    </row>
    <row r="612" spans="3:8" x14ac:dyDescent="0.25">
      <c r="C612" s="13"/>
      <c r="D612" s="4" t="s">
        <v>1510</v>
      </c>
      <c r="E612" s="4" t="s">
        <v>5</v>
      </c>
      <c r="F612" s="3" t="s">
        <v>485</v>
      </c>
      <c r="G612" s="3">
        <f t="shared" si="609"/>
        <v>5.7</v>
      </c>
      <c r="H612" s="14" t="str">
        <f t="shared" ref="H612" si="644">IF(NOT(ISNUMBER(VALUE(G612))), "NA",IF(VALUE(G612)&gt;30,"HIGH",IF(VALUE(G612)&lt;12,"LOW", "VALUE IN RANGE")))</f>
        <v>LOW</v>
      </c>
    </row>
    <row r="613" spans="3:8" x14ac:dyDescent="0.25">
      <c r="C613" s="13"/>
      <c r="D613" s="4" t="s">
        <v>1510</v>
      </c>
      <c r="E613" s="1" t="s">
        <v>7</v>
      </c>
      <c r="F613" s="5" t="s">
        <v>486</v>
      </c>
      <c r="G613" s="3">
        <f t="shared" si="609"/>
        <v>2.8</v>
      </c>
      <c r="H613" s="14" t="str">
        <f t="shared" ref="H613" si="645">IF(NOT(ISNUMBER(VALUE(G613))), "NA",IF(VALUE(G613)&gt;9,"HIGH",IF(VALUE(G613)&lt;2,"LOW", "VALUE IN RANGE")))</f>
        <v>VALUE IN RANGE</v>
      </c>
    </row>
    <row r="614" spans="3:8" x14ac:dyDescent="0.25">
      <c r="C614" s="13"/>
      <c r="D614" s="4" t="s">
        <v>1510</v>
      </c>
      <c r="E614" s="4" t="s">
        <v>9</v>
      </c>
      <c r="F614" s="3" t="s">
        <v>487</v>
      </c>
      <c r="G614" s="3">
        <f t="shared" si="609"/>
        <v>91.5</v>
      </c>
      <c r="H614" s="14" t="str">
        <f t="shared" ref="H614" si="646">IF(NOT(ISNUMBER(VALUE(G614))), "NA",IF(VALUE(G614)&gt;83,"HIGH",IF(VALUE(G614)&lt;60,"LOW", "VALUE IN RANGE")))</f>
        <v>HIGH</v>
      </c>
    </row>
    <row r="615" spans="3:8" x14ac:dyDescent="0.25">
      <c r="C615" s="13"/>
      <c r="D615" s="4" t="s">
        <v>1510</v>
      </c>
      <c r="E615" s="1" t="s">
        <v>11</v>
      </c>
      <c r="F615" s="5" t="s">
        <v>41</v>
      </c>
      <c r="G615" s="3">
        <f t="shared" si="609"/>
        <v>0.9</v>
      </c>
      <c r="H615" s="14" t="str">
        <f t="shared" ref="H615" si="647">IF(NOT(ISNUMBER(VALUE(G615))), "NA",IF(VALUE(G615)&gt;5.1,"HIGH",IF(VALUE(G615)&lt;0.8,"LOW", "VALUE IN RANGE")))</f>
        <v>VALUE IN RANGE</v>
      </c>
    </row>
    <row r="616" spans="3:8" x14ac:dyDescent="0.25">
      <c r="C616" s="13"/>
      <c r="D616" s="4" t="s">
        <v>1510</v>
      </c>
      <c r="E616" s="4" t="s">
        <v>13</v>
      </c>
      <c r="F616" s="3" t="s">
        <v>167</v>
      </c>
      <c r="G616" s="3">
        <f t="shared" si="609"/>
        <v>0.4</v>
      </c>
      <c r="H616" s="14" t="str">
        <f t="shared" ref="H616" si="648">IF(NOT(ISNUMBER(VALUE(G616))), "NA",IF(VALUE(G616)&gt;1.8,"HIGH",IF(VALUE(G616)&lt;0,"LOW", "VALUE IN RANGE")))</f>
        <v>VALUE IN RANGE</v>
      </c>
    </row>
    <row r="617" spans="3:8" x14ac:dyDescent="0.25">
      <c r="C617" s="13"/>
      <c r="D617" s="4" t="s">
        <v>1510</v>
      </c>
      <c r="E617" s="1" t="s">
        <v>15</v>
      </c>
      <c r="F617" s="5">
        <v>16100</v>
      </c>
      <c r="G617" s="3">
        <f t="shared" si="609"/>
        <v>16100</v>
      </c>
      <c r="H617" s="14" t="str">
        <f t="shared" ref="H617" si="649">IF(NOT(ISNUMBER(VALUE(G617))), "NA",IF(VALUE(G617)&gt;12.6,"HIGH",IF(VALUE(G617)&lt;4,"LOW", "VALUE IN RANGE")))</f>
        <v>HIGH</v>
      </c>
    </row>
    <row r="618" spans="3:8" x14ac:dyDescent="0.25">
      <c r="C618" s="13"/>
      <c r="D618" s="4" t="s">
        <v>1510</v>
      </c>
      <c r="E618" s="4" t="s">
        <v>17</v>
      </c>
      <c r="F618" s="3" t="s">
        <v>489</v>
      </c>
      <c r="G618" s="3">
        <f t="shared" si="609"/>
        <v>6.17</v>
      </c>
      <c r="H618" s="14" t="str">
        <f t="shared" ref="H618" si="650">IF(NOT(ISNUMBER(VALUE(G618))), "NA",IF(VALUE(G618)&gt;8.5,"HIGH",IF(VALUE(G618)&lt;5.5,"LOW", "VALUE IN RANGE")))</f>
        <v>VALUE IN RANGE</v>
      </c>
    </row>
    <row r="619" spans="3:8" x14ac:dyDescent="0.25">
      <c r="C619" s="13"/>
      <c r="D619" s="4" t="s">
        <v>1510</v>
      </c>
      <c r="E619" s="1" t="s">
        <v>19</v>
      </c>
      <c r="F619" s="5">
        <v>133</v>
      </c>
      <c r="G619" s="3">
        <f t="shared" si="609"/>
        <v>133</v>
      </c>
      <c r="H619" s="14" t="str">
        <f t="shared" ref="H619" si="651">IF(NOT(ISNUMBER(VALUE(G619))), "NA",IF(VALUE(G619)&gt;190,"HIGH",IF(VALUE(G619)&lt;110,"LOW", "VALUE IN RANGE")))</f>
        <v>VALUE IN RANGE</v>
      </c>
    </row>
    <row r="620" spans="3:8" x14ac:dyDescent="0.25">
      <c r="C620" s="13"/>
      <c r="D620" s="4" t="s">
        <v>1510</v>
      </c>
      <c r="E620" s="4" t="s">
        <v>21</v>
      </c>
      <c r="F620" s="3" t="s">
        <v>491</v>
      </c>
      <c r="G620" s="3">
        <f t="shared" si="609"/>
        <v>42.3</v>
      </c>
      <c r="H620" s="14" t="str">
        <f t="shared" ref="H620" si="652">IF(NOT(ISNUMBER(VALUE(G620))), "NA",IF(VALUE(G620)&gt;56,"HIGH",IF(VALUE(G620)&lt;39,"LOW", "VALUE IN RANGE")))</f>
        <v>VALUE IN RANGE</v>
      </c>
    </row>
    <row r="621" spans="3:8" x14ac:dyDescent="0.25">
      <c r="C621" s="13"/>
      <c r="D621" s="4" t="s">
        <v>1510</v>
      </c>
      <c r="E621" s="1" t="s">
        <v>23</v>
      </c>
      <c r="F621" s="5" t="s">
        <v>492</v>
      </c>
      <c r="G621" s="3">
        <f t="shared" si="609"/>
        <v>68.599999999999994</v>
      </c>
      <c r="H621" s="14" t="str">
        <f t="shared" ref="H621" si="653">IF(NOT(ISNUMBER(VALUE(G621))), "NA",IF(VALUE(G621)&gt;72,"HIGH",IF(VALUE(G621)&lt;62,"LOW", "VALUE IN RANGE")))</f>
        <v>VALUE IN RANGE</v>
      </c>
    </row>
    <row r="622" spans="3:8" x14ac:dyDescent="0.25">
      <c r="C622" s="13"/>
      <c r="D622" s="4" t="s">
        <v>1510</v>
      </c>
      <c r="E622" s="4" t="s">
        <v>25</v>
      </c>
      <c r="F622" s="3" t="s">
        <v>493</v>
      </c>
      <c r="G622" s="3">
        <f t="shared" si="609"/>
        <v>21.5</v>
      </c>
      <c r="H622" s="14" t="str">
        <f t="shared" ref="H622" si="654">IF(NOT(ISNUMBER(VALUE(G622))), "NA",IF(VALUE(G622)&gt;25,"HIGH",IF(VALUE(G622)&lt;20,"LOW", "VALUE IN RANGE")))</f>
        <v>VALUE IN RANGE</v>
      </c>
    </row>
    <row r="623" spans="3:8" x14ac:dyDescent="0.25">
      <c r="C623" s="13"/>
      <c r="D623" s="4" t="s">
        <v>1510</v>
      </c>
      <c r="E623" s="1" t="s">
        <v>27</v>
      </c>
      <c r="F623" s="5">
        <v>314</v>
      </c>
      <c r="G623" s="3">
        <f t="shared" si="609"/>
        <v>314</v>
      </c>
      <c r="H623" s="14" t="str">
        <f t="shared" ref="H623" si="655">IF(NOT(ISNUMBER(VALUE(G623))), "NA",IF(VALUE(G623)&gt;380,"HIGH",IF(VALUE(G623)&lt;300,"LOW", "VALUE IN RANGE")))</f>
        <v>VALUE IN RANGE</v>
      </c>
    </row>
    <row r="624" spans="3:8" x14ac:dyDescent="0.25">
      <c r="C624" s="13"/>
      <c r="D624" s="4" t="s">
        <v>1510</v>
      </c>
      <c r="E624" s="4" t="s">
        <v>29</v>
      </c>
      <c r="F624" s="3" t="s">
        <v>494</v>
      </c>
      <c r="G624" s="3">
        <f t="shared" si="609"/>
        <v>12.3</v>
      </c>
      <c r="H624" s="14" t="str">
        <f t="shared" ref="H624" si="656">IF(NOT(ISNUMBER(VALUE(G624))), "NA",IF(VALUE(G624)&gt;15.5,"HIGH",IF(VALUE(G624)&lt;11,"LOW", "VALUE IN RANGE")))</f>
        <v>VALUE IN RANGE</v>
      </c>
    </row>
    <row r="625" spans="3:8" x14ac:dyDescent="0.25">
      <c r="C625" s="13"/>
      <c r="D625" s="4" t="s">
        <v>1510</v>
      </c>
      <c r="E625" s="1" t="s">
        <v>31</v>
      </c>
      <c r="F625" s="5">
        <v>391</v>
      </c>
      <c r="G625" s="3">
        <f t="shared" si="609"/>
        <v>391</v>
      </c>
      <c r="H625" s="14" t="str">
        <f t="shared" ref="H625" si="657">IF(NOT(ISNUMBER(VALUE(G625))), "NA",IF(VALUE(G625)&gt;460,"HIGH",IF(VALUE(G625)&lt;117,"LOW", "VALUE IN RANGE")))</f>
        <v>VALUE IN RANGE</v>
      </c>
    </row>
    <row r="626" spans="3:8" x14ac:dyDescent="0.25">
      <c r="C626" s="13"/>
      <c r="D626" s="4" t="s">
        <v>1510</v>
      </c>
      <c r="E626" s="4" t="s">
        <v>33</v>
      </c>
      <c r="F626" s="3" t="s">
        <v>496</v>
      </c>
      <c r="G626" s="3">
        <f t="shared" si="609"/>
        <v>6.8</v>
      </c>
      <c r="H626" s="14" t="str">
        <f t="shared" ref="H626" si="658">IF(NOT(ISNUMBER(VALUE(G626))), "NA",IF(VALUE(G626)&gt;12,"HIGH",IF(VALUE(G626)&lt;7,"LOW", "VALUE IN RANGE")))</f>
        <v>LOW</v>
      </c>
    </row>
    <row r="627" spans="3:8" x14ac:dyDescent="0.25">
      <c r="C627" s="13" t="str">
        <f t="shared" ref="C627" si="659">IF(D627=D642,D641,"falso")</f>
        <v>PATIENT_0040</v>
      </c>
      <c r="D627" s="4" t="s">
        <v>1511</v>
      </c>
      <c r="E627" s="1" t="s">
        <v>134</v>
      </c>
      <c r="F627" s="5" t="s">
        <v>497</v>
      </c>
      <c r="G627" s="3">
        <f t="shared" si="609"/>
        <v>29.9</v>
      </c>
      <c r="H627" s="14" t="str">
        <f t="shared" ref="H627" si="660">IF(NOT(ISNUMBER(VALUE(G627))), "NA",IF(VALUE(G627)&gt;17,"HIGH",IF(VALUE(G627)&lt;6,"LOW", "VALUE IN RANGE")))</f>
        <v>HIGH</v>
      </c>
    </row>
    <row r="628" spans="3:8" x14ac:dyDescent="0.25">
      <c r="C628" s="13"/>
      <c r="D628" s="4" t="s">
        <v>1511</v>
      </c>
      <c r="E628" s="4" t="s">
        <v>136</v>
      </c>
      <c r="F628" s="3" t="s">
        <v>64</v>
      </c>
      <c r="G628" s="3">
        <f t="shared" si="609"/>
        <v>10</v>
      </c>
      <c r="H628" s="14" t="str">
        <f t="shared" ref="H628" si="661">IF(NOT(ISNUMBER(VALUE(G628))), "NA",IF(VALUE(G628)&gt;30,"HIGH",IF(VALUE(G628)&lt;12,"LOW", "VALUE IN RANGE")))</f>
        <v>LOW</v>
      </c>
    </row>
    <row r="629" spans="3:8" x14ac:dyDescent="0.25">
      <c r="C629" s="13"/>
      <c r="D629" s="4" t="s">
        <v>1511</v>
      </c>
      <c r="E629" s="1" t="s">
        <v>7</v>
      </c>
      <c r="F629" s="5" t="s">
        <v>498</v>
      </c>
      <c r="G629" s="3">
        <f t="shared" si="609"/>
        <v>15.9</v>
      </c>
      <c r="H629" s="14" t="str">
        <f t="shared" ref="H629" si="662">IF(NOT(ISNUMBER(VALUE(G629))), "NA",IF(VALUE(G629)&gt;9,"HIGH",IF(VALUE(G629)&lt;2,"LOW", "VALUE IN RANGE")))</f>
        <v>HIGH</v>
      </c>
    </row>
    <row r="630" spans="3:8" x14ac:dyDescent="0.25">
      <c r="C630" s="13"/>
      <c r="D630" s="4" t="s">
        <v>1511</v>
      </c>
      <c r="E630" s="4" t="s">
        <v>139</v>
      </c>
      <c r="F630" s="3" t="s">
        <v>499</v>
      </c>
      <c r="G630" s="3">
        <f t="shared" si="609"/>
        <v>74.099999999999994</v>
      </c>
      <c r="H630" s="14" t="str">
        <f t="shared" ref="H630" si="663">IF(NOT(ISNUMBER(VALUE(G630))), "NA",IF(VALUE(G630)&gt;83,"HIGH",IF(VALUE(G630)&lt;60,"LOW", "VALUE IN RANGE")))</f>
        <v>VALUE IN RANGE</v>
      </c>
    </row>
    <row r="631" spans="3:8" x14ac:dyDescent="0.25">
      <c r="C631" s="13"/>
      <c r="D631" s="4" t="s">
        <v>1511</v>
      </c>
      <c r="E631" s="1" t="s">
        <v>141</v>
      </c>
      <c r="F631" s="5">
        <v>2900</v>
      </c>
      <c r="G631" s="3">
        <f t="shared" si="609"/>
        <v>2900</v>
      </c>
      <c r="H631" s="14" t="str">
        <f t="shared" ref="H631" si="664">IF(NOT(ISNUMBER(VALUE(G631))), "NA",IF(VALUE(G631)&gt;5.1,"HIGH",IF(VALUE(G631)&lt;0.8,"LOW", "VALUE IN RANGE")))</f>
        <v>HIGH</v>
      </c>
    </row>
    <row r="632" spans="3:8" x14ac:dyDescent="0.25">
      <c r="C632" s="13"/>
      <c r="D632" s="4" t="s">
        <v>1511</v>
      </c>
      <c r="E632" s="4" t="s">
        <v>143</v>
      </c>
      <c r="F632" s="3">
        <v>4700</v>
      </c>
      <c r="G632" s="3">
        <f t="shared" si="609"/>
        <v>4700</v>
      </c>
      <c r="H632" s="14" t="str">
        <f t="shared" ref="H632" si="665">IF(NOT(ISNUMBER(VALUE(G632))), "NA",IF(VALUE(G632)&gt;1.8,"HIGH",IF(VALUE(G632)&lt;0,"LOW", "VALUE IN RANGE")))</f>
        <v>HIGH</v>
      </c>
    </row>
    <row r="633" spans="3:8" x14ac:dyDescent="0.25">
      <c r="C633" s="13"/>
      <c r="D633" s="4" t="s">
        <v>1511</v>
      </c>
      <c r="E633" s="1" t="s">
        <v>144</v>
      </c>
      <c r="F633" s="5">
        <v>22300</v>
      </c>
      <c r="G633" s="3">
        <f t="shared" si="609"/>
        <v>22300</v>
      </c>
      <c r="H633" s="14" t="str">
        <f t="shared" ref="H633" si="666">IF(NOT(ISNUMBER(VALUE(G633))), "NA",IF(VALUE(G633)&gt;12.6,"HIGH",IF(VALUE(G633)&lt;4,"LOW", "VALUE IN RANGE")))</f>
        <v>HIGH</v>
      </c>
    </row>
    <row r="634" spans="3:8" x14ac:dyDescent="0.25">
      <c r="C634" s="13"/>
      <c r="D634" s="4" t="s">
        <v>1511</v>
      </c>
      <c r="E634" s="4" t="s">
        <v>146</v>
      </c>
      <c r="F634" s="3" t="s">
        <v>502</v>
      </c>
      <c r="G634" s="3">
        <f t="shared" si="609"/>
        <v>1.66</v>
      </c>
      <c r="H634" s="14" t="str">
        <f t="shared" ref="H634" si="667">IF(NOT(ISNUMBER(VALUE(G634))), "NA",IF(VALUE(G634)&gt;8.5,"HIGH",IF(VALUE(G634)&lt;5.5,"LOW", "VALUE IN RANGE")))</f>
        <v>LOW</v>
      </c>
    </row>
    <row r="635" spans="3:8" x14ac:dyDescent="0.25">
      <c r="C635" s="13"/>
      <c r="D635" s="4" t="s">
        <v>1511</v>
      </c>
      <c r="E635" s="1" t="s">
        <v>148</v>
      </c>
      <c r="F635" s="5">
        <v>25</v>
      </c>
      <c r="G635" s="3">
        <f t="shared" si="609"/>
        <v>25</v>
      </c>
      <c r="H635" s="14" t="str">
        <f t="shared" ref="H635" si="668">IF(NOT(ISNUMBER(VALUE(G635))), "NA",IF(VALUE(G635)&gt;190,"HIGH",IF(VALUE(G635)&lt;110,"LOW", "VALUE IN RANGE")))</f>
        <v>LOW</v>
      </c>
    </row>
    <row r="636" spans="3:8" x14ac:dyDescent="0.25">
      <c r="C636" s="13"/>
      <c r="D636" s="4" t="s">
        <v>1511</v>
      </c>
      <c r="E636" s="4" t="s">
        <v>150</v>
      </c>
      <c r="F636" s="3" t="s">
        <v>231</v>
      </c>
      <c r="G636" s="3">
        <f t="shared" si="609"/>
        <v>8.4</v>
      </c>
      <c r="H636" s="14" t="str">
        <f t="shared" ref="H636" si="669">IF(NOT(ISNUMBER(VALUE(G636))), "NA",IF(VALUE(G636)&gt;56,"HIGH",IF(VALUE(G636)&lt;39,"LOW", "VALUE IN RANGE")))</f>
        <v>LOW</v>
      </c>
    </row>
    <row r="637" spans="3:8" x14ac:dyDescent="0.25">
      <c r="C637" s="13"/>
      <c r="D637" s="4" t="s">
        <v>1511</v>
      </c>
      <c r="E637" s="1" t="s">
        <v>152</v>
      </c>
      <c r="F637" s="5" t="s">
        <v>504</v>
      </c>
      <c r="G637" s="3">
        <f t="shared" si="609"/>
        <v>50.8</v>
      </c>
      <c r="H637" s="14" t="str">
        <f t="shared" ref="H637" si="670">IF(NOT(ISNUMBER(VALUE(G637))), "NA",IF(VALUE(G637)&gt;72,"HIGH",IF(VALUE(G637)&lt;62,"LOW", "VALUE IN RANGE")))</f>
        <v>LOW</v>
      </c>
    </row>
    <row r="638" spans="3:8" x14ac:dyDescent="0.25">
      <c r="C638" s="13"/>
      <c r="D638" s="4" t="s">
        <v>1511</v>
      </c>
      <c r="E638" s="4" t="s">
        <v>154</v>
      </c>
      <c r="F638" s="3" t="s">
        <v>200</v>
      </c>
      <c r="G638" s="3">
        <f t="shared" si="609"/>
        <v>15</v>
      </c>
      <c r="H638" s="14" t="str">
        <f t="shared" ref="H638" si="671">IF(NOT(ISNUMBER(VALUE(G638))), "NA",IF(VALUE(G638)&gt;25,"HIGH",IF(VALUE(G638)&lt;20,"LOW", "VALUE IN RANGE")))</f>
        <v>LOW</v>
      </c>
    </row>
    <row r="639" spans="3:8" x14ac:dyDescent="0.25">
      <c r="C639" s="13"/>
      <c r="D639" s="4" t="s">
        <v>1511</v>
      </c>
      <c r="E639" s="1" t="s">
        <v>27</v>
      </c>
      <c r="F639" s="5">
        <v>297</v>
      </c>
      <c r="G639" s="3">
        <f t="shared" si="609"/>
        <v>297</v>
      </c>
      <c r="H639" s="14" t="str">
        <f t="shared" ref="H639" si="672">IF(NOT(ISNUMBER(VALUE(G639))), "NA",IF(VALUE(G639)&gt;380,"HIGH",IF(VALUE(G639)&lt;300,"LOW", "VALUE IN RANGE")))</f>
        <v>LOW</v>
      </c>
    </row>
    <row r="640" spans="3:8" x14ac:dyDescent="0.25">
      <c r="C640" s="13"/>
      <c r="D640" s="4" t="s">
        <v>1511</v>
      </c>
      <c r="E640" s="4" t="s">
        <v>157</v>
      </c>
      <c r="F640" s="3" t="s">
        <v>506</v>
      </c>
      <c r="G640" s="3">
        <f t="shared" si="609"/>
        <v>13.9</v>
      </c>
      <c r="H640" s="14" t="str">
        <f t="shared" ref="H640" si="673">IF(NOT(ISNUMBER(VALUE(G640))), "NA",IF(VALUE(G640)&gt;15.5,"HIGH",IF(VALUE(G640)&lt;11,"LOW", "VALUE IN RANGE")))</f>
        <v>VALUE IN RANGE</v>
      </c>
    </row>
    <row r="641" spans="3:8" x14ac:dyDescent="0.25">
      <c r="C641" s="13"/>
      <c r="D641" s="4" t="s">
        <v>1511</v>
      </c>
      <c r="E641" s="1" t="s">
        <v>159</v>
      </c>
      <c r="F641" s="5">
        <v>22</v>
      </c>
      <c r="G641" s="3">
        <f t="shared" si="609"/>
        <v>22</v>
      </c>
      <c r="H641" s="14" t="str">
        <f t="shared" ref="H641" si="674">IF(NOT(ISNUMBER(VALUE(G641))), "NA",IF(VALUE(G641)&gt;460,"HIGH",IF(VALUE(G641)&lt;117,"LOW", "VALUE IN RANGE")))</f>
        <v>LOW</v>
      </c>
    </row>
    <row r="642" spans="3:8" x14ac:dyDescent="0.25">
      <c r="C642" s="13"/>
      <c r="D642" s="4" t="s">
        <v>1511</v>
      </c>
      <c r="E642" s="4" t="s">
        <v>161</v>
      </c>
      <c r="F642" s="3" t="s">
        <v>255</v>
      </c>
      <c r="G642" s="3">
        <f t="shared" si="609"/>
        <v>10.3</v>
      </c>
      <c r="H642" s="14" t="str">
        <f t="shared" ref="H642" si="675">IF(NOT(ISNUMBER(VALUE(G642))), "NA",IF(VALUE(G642)&gt;12,"HIGH",IF(VALUE(G642)&lt;7,"LOW", "VALUE IN RANGE")))</f>
        <v>VALUE IN RANGE</v>
      </c>
    </row>
    <row r="643" spans="3:8" x14ac:dyDescent="0.25">
      <c r="C643" s="13" t="str">
        <f t="shared" ref="C643" si="676">IF(D643=D658,D657,"falso")</f>
        <v>PATIENT_0041</v>
      </c>
      <c r="D643" s="4" t="s">
        <v>1512</v>
      </c>
      <c r="E643" s="1" t="s">
        <v>3</v>
      </c>
      <c r="F643" s="5" t="s">
        <v>64</v>
      </c>
      <c r="G643" s="3">
        <f t="shared" si="609"/>
        <v>10</v>
      </c>
      <c r="H643" s="14" t="str">
        <f t="shared" ref="H643" si="677">IF(NOT(ISNUMBER(VALUE(G643))), "NA",IF(VALUE(G643)&gt;17,"HIGH",IF(VALUE(G643)&lt;6,"LOW", "VALUE IN RANGE")))</f>
        <v>VALUE IN RANGE</v>
      </c>
    </row>
    <row r="644" spans="3:8" x14ac:dyDescent="0.25">
      <c r="C644" s="13"/>
      <c r="D644" s="4" t="s">
        <v>1512</v>
      </c>
      <c r="E644" s="4" t="s">
        <v>5</v>
      </c>
      <c r="F644" s="3" t="s">
        <v>508</v>
      </c>
      <c r="G644" s="3">
        <f t="shared" ref="G644:G707" si="678">IFERROR(
   VALUE(
      SUBSTITUTE(
         CLEAN(
            TRIM(F644)
         ),
         ".",
         ","
      )
   ),
   ""
)</f>
        <v>15.2</v>
      </c>
      <c r="H644" s="14" t="str">
        <f t="shared" ref="H644" si="679">IF(NOT(ISNUMBER(VALUE(G644))), "NA",IF(VALUE(G644)&gt;30,"HIGH",IF(VALUE(G644)&lt;12,"LOW", "VALUE IN RANGE")))</f>
        <v>VALUE IN RANGE</v>
      </c>
    </row>
    <row r="645" spans="3:8" x14ac:dyDescent="0.25">
      <c r="C645" s="13"/>
      <c r="D645" s="4" t="s">
        <v>1512</v>
      </c>
      <c r="E645" s="1" t="s">
        <v>7</v>
      </c>
      <c r="F645" s="5" t="s">
        <v>453</v>
      </c>
      <c r="G645" s="3">
        <f t="shared" si="678"/>
        <v>5</v>
      </c>
      <c r="H645" s="14" t="str">
        <f t="shared" ref="H645" si="680">IF(NOT(ISNUMBER(VALUE(G645))), "NA",IF(VALUE(G645)&gt;9,"HIGH",IF(VALUE(G645)&lt;2,"LOW", "VALUE IN RANGE")))</f>
        <v>VALUE IN RANGE</v>
      </c>
    </row>
    <row r="646" spans="3:8" x14ac:dyDescent="0.25">
      <c r="C646" s="13"/>
      <c r="D646" s="4" t="s">
        <v>1512</v>
      </c>
      <c r="E646" s="4" t="s">
        <v>9</v>
      </c>
      <c r="F646" s="3" t="s">
        <v>509</v>
      </c>
      <c r="G646" s="3">
        <f t="shared" si="678"/>
        <v>79.8</v>
      </c>
      <c r="H646" s="14" t="str">
        <f t="shared" ref="H646" si="681">IF(NOT(ISNUMBER(VALUE(G646))), "NA",IF(VALUE(G646)&gt;83,"HIGH",IF(VALUE(G646)&lt;60,"LOW", "VALUE IN RANGE")))</f>
        <v>VALUE IN RANGE</v>
      </c>
    </row>
    <row r="647" spans="3:8" x14ac:dyDescent="0.25">
      <c r="C647" s="13"/>
      <c r="D647" s="4" t="s">
        <v>1512</v>
      </c>
      <c r="E647" s="1" t="s">
        <v>11</v>
      </c>
      <c r="F647" s="5">
        <v>1500</v>
      </c>
      <c r="G647" s="3">
        <f t="shared" si="678"/>
        <v>1500</v>
      </c>
      <c r="H647" s="14" t="str">
        <f t="shared" ref="H647" si="682">IF(NOT(ISNUMBER(VALUE(G647))), "NA",IF(VALUE(G647)&gt;5.1,"HIGH",IF(VALUE(G647)&lt;0.8,"LOW", "VALUE IN RANGE")))</f>
        <v>HIGH</v>
      </c>
    </row>
    <row r="648" spans="3:8" x14ac:dyDescent="0.25">
      <c r="C648" s="13"/>
      <c r="D648" s="4" t="s">
        <v>1512</v>
      </c>
      <c r="E648" s="4" t="s">
        <v>13</v>
      </c>
      <c r="F648" s="3" t="s">
        <v>109</v>
      </c>
      <c r="G648" s="3">
        <f t="shared" si="678"/>
        <v>0.5</v>
      </c>
      <c r="H648" s="14" t="str">
        <f t="shared" ref="H648" si="683">IF(NOT(ISNUMBER(VALUE(G648))), "NA",IF(VALUE(G648)&gt;1.8,"HIGH",IF(VALUE(G648)&lt;0,"LOW", "VALUE IN RANGE")))</f>
        <v>VALUE IN RANGE</v>
      </c>
    </row>
    <row r="649" spans="3:8" x14ac:dyDescent="0.25">
      <c r="C649" s="13"/>
      <c r="D649" s="4" t="s">
        <v>1512</v>
      </c>
      <c r="E649" s="1" t="s">
        <v>15</v>
      </c>
      <c r="F649" s="5">
        <v>8000</v>
      </c>
      <c r="G649" s="3">
        <f t="shared" si="678"/>
        <v>8000</v>
      </c>
      <c r="H649" s="14" t="str">
        <f t="shared" ref="H649" si="684">IF(NOT(ISNUMBER(VALUE(G649))), "NA",IF(VALUE(G649)&gt;12.6,"HIGH",IF(VALUE(G649)&lt;4,"LOW", "VALUE IN RANGE")))</f>
        <v>HIGH</v>
      </c>
    </row>
    <row r="650" spans="3:8" x14ac:dyDescent="0.25">
      <c r="C650" s="13"/>
      <c r="D650" s="4" t="s">
        <v>1512</v>
      </c>
      <c r="E650" s="4" t="s">
        <v>17</v>
      </c>
      <c r="F650" s="3" t="s">
        <v>510</v>
      </c>
      <c r="G650" s="3">
        <f t="shared" si="678"/>
        <v>7.35</v>
      </c>
      <c r="H650" s="14" t="str">
        <f t="shared" ref="H650" si="685">IF(NOT(ISNUMBER(VALUE(G650))), "NA",IF(VALUE(G650)&gt;8.5,"HIGH",IF(VALUE(G650)&lt;5.5,"LOW", "VALUE IN RANGE")))</f>
        <v>VALUE IN RANGE</v>
      </c>
    </row>
    <row r="651" spans="3:8" x14ac:dyDescent="0.25">
      <c r="C651" s="13"/>
      <c r="D651" s="4" t="s">
        <v>1512</v>
      </c>
      <c r="E651" s="1" t="s">
        <v>19</v>
      </c>
      <c r="F651" s="5">
        <v>113</v>
      </c>
      <c r="G651" s="3">
        <f t="shared" si="678"/>
        <v>113</v>
      </c>
      <c r="H651" s="14" t="str">
        <f t="shared" ref="H651" si="686">IF(NOT(ISNUMBER(VALUE(G651))), "NA",IF(VALUE(G651)&gt;190,"HIGH",IF(VALUE(G651)&lt;110,"LOW", "VALUE IN RANGE")))</f>
        <v>VALUE IN RANGE</v>
      </c>
    </row>
    <row r="652" spans="3:8" x14ac:dyDescent="0.25">
      <c r="C652" s="13"/>
      <c r="D652" s="4" t="s">
        <v>1512</v>
      </c>
      <c r="E652" s="4" t="s">
        <v>21</v>
      </c>
      <c r="F652" s="3" t="s">
        <v>511</v>
      </c>
      <c r="G652" s="3">
        <f t="shared" si="678"/>
        <v>37.6</v>
      </c>
      <c r="H652" s="14" t="str">
        <f t="shared" ref="H652" si="687">IF(NOT(ISNUMBER(VALUE(G652))), "NA",IF(VALUE(G652)&gt;56,"HIGH",IF(VALUE(G652)&lt;39,"LOW", "VALUE IN RANGE")))</f>
        <v>LOW</v>
      </c>
    </row>
    <row r="653" spans="3:8" x14ac:dyDescent="0.25">
      <c r="C653" s="13"/>
      <c r="D653" s="4" t="s">
        <v>1512</v>
      </c>
      <c r="E653" s="1" t="s">
        <v>23</v>
      </c>
      <c r="F653" s="5" t="s">
        <v>458</v>
      </c>
      <c r="G653" s="3">
        <f t="shared" si="678"/>
        <v>51.2</v>
      </c>
      <c r="H653" s="14" t="str">
        <f t="shared" ref="H653" si="688">IF(NOT(ISNUMBER(VALUE(G653))), "NA",IF(VALUE(G653)&gt;72,"HIGH",IF(VALUE(G653)&lt;62,"LOW", "VALUE IN RANGE")))</f>
        <v>LOW</v>
      </c>
    </row>
    <row r="654" spans="3:8" x14ac:dyDescent="0.25">
      <c r="C654" s="13"/>
      <c r="D654" s="4" t="s">
        <v>1512</v>
      </c>
      <c r="E654" s="4" t="s">
        <v>25</v>
      </c>
      <c r="F654" s="3" t="s">
        <v>512</v>
      </c>
      <c r="G654" s="3">
        <f t="shared" si="678"/>
        <v>15.3</v>
      </c>
      <c r="H654" s="14" t="str">
        <f t="shared" ref="H654" si="689">IF(NOT(ISNUMBER(VALUE(G654))), "NA",IF(VALUE(G654)&gt;25,"HIGH",IF(VALUE(G654)&lt;20,"LOW", "VALUE IN RANGE")))</f>
        <v>LOW</v>
      </c>
    </row>
    <row r="655" spans="3:8" x14ac:dyDescent="0.25">
      <c r="C655" s="13"/>
      <c r="D655" s="4" t="s">
        <v>1512</v>
      </c>
      <c r="E655" s="1" t="s">
        <v>27</v>
      </c>
      <c r="F655" s="5">
        <v>300</v>
      </c>
      <c r="G655" s="3">
        <f t="shared" si="678"/>
        <v>300</v>
      </c>
      <c r="H655" s="14" t="str">
        <f t="shared" ref="H655" si="690">IF(NOT(ISNUMBER(VALUE(G655))), "NA",IF(VALUE(G655)&gt;380,"HIGH",IF(VALUE(G655)&lt;300,"LOW", "VALUE IN RANGE")))</f>
        <v>VALUE IN RANGE</v>
      </c>
    </row>
    <row r="656" spans="3:8" x14ac:dyDescent="0.25">
      <c r="C656" s="13"/>
      <c r="D656" s="4" t="s">
        <v>1512</v>
      </c>
      <c r="E656" s="4" t="s">
        <v>29</v>
      </c>
      <c r="F656" s="3" t="s">
        <v>513</v>
      </c>
      <c r="G656" s="3">
        <f t="shared" si="678"/>
        <v>19.600000000000001</v>
      </c>
      <c r="H656" s="14" t="str">
        <f t="shared" ref="H656" si="691">IF(NOT(ISNUMBER(VALUE(G656))), "NA",IF(VALUE(G656)&gt;15.5,"HIGH",IF(VALUE(G656)&lt;11,"LOW", "VALUE IN RANGE")))</f>
        <v>HIGH</v>
      </c>
    </row>
    <row r="657" spans="3:8" x14ac:dyDescent="0.25">
      <c r="C657" s="13"/>
      <c r="D657" s="4" t="s">
        <v>1512</v>
      </c>
      <c r="E657" s="1" t="s">
        <v>31</v>
      </c>
      <c r="F657" s="5">
        <v>229</v>
      </c>
      <c r="G657" s="3">
        <f t="shared" si="678"/>
        <v>229</v>
      </c>
      <c r="H657" s="14" t="str">
        <f t="shared" ref="H657" si="692">IF(NOT(ISNUMBER(VALUE(G657))), "NA",IF(VALUE(G657)&gt;460,"HIGH",IF(VALUE(G657)&lt;117,"LOW", "VALUE IN RANGE")))</f>
        <v>VALUE IN RANGE</v>
      </c>
    </row>
    <row r="658" spans="3:8" x14ac:dyDescent="0.25">
      <c r="C658" s="13"/>
      <c r="D658" s="4" t="s">
        <v>1512</v>
      </c>
      <c r="E658" s="4" t="s">
        <v>33</v>
      </c>
      <c r="F658" s="3" t="s">
        <v>515</v>
      </c>
      <c r="G658" s="3">
        <f t="shared" si="678"/>
        <v>7.1</v>
      </c>
      <c r="H658" s="14" t="str">
        <f t="shared" ref="H658" si="693">IF(NOT(ISNUMBER(VALUE(G658))), "NA",IF(VALUE(G658)&gt;12,"HIGH",IF(VALUE(G658)&lt;7,"LOW", "VALUE IN RANGE")))</f>
        <v>VALUE IN RANGE</v>
      </c>
    </row>
    <row r="659" spans="3:8" x14ac:dyDescent="0.25">
      <c r="C659" s="13" t="str">
        <f t="shared" ref="C659" si="694">IF(D659=D674,D673,"falso")</f>
        <v>PATIENT_0042</v>
      </c>
      <c r="D659" s="4" t="s">
        <v>1513</v>
      </c>
      <c r="E659" s="1" t="s">
        <v>3</v>
      </c>
      <c r="F659" s="5" t="s">
        <v>516</v>
      </c>
      <c r="G659" s="3">
        <f t="shared" si="678"/>
        <v>11.1</v>
      </c>
      <c r="H659" s="14" t="str">
        <f t="shared" ref="H659" si="695">IF(NOT(ISNUMBER(VALUE(G659))), "NA",IF(VALUE(G659)&gt;17,"HIGH",IF(VALUE(G659)&lt;6,"LOW", "VALUE IN RANGE")))</f>
        <v>VALUE IN RANGE</v>
      </c>
    </row>
    <row r="660" spans="3:8" x14ac:dyDescent="0.25">
      <c r="C660" s="13"/>
      <c r="D660" s="4" t="s">
        <v>1513</v>
      </c>
      <c r="E660" s="4" t="s">
        <v>5</v>
      </c>
      <c r="F660" s="3" t="s">
        <v>517</v>
      </c>
      <c r="G660" s="3">
        <f t="shared" si="678"/>
        <v>5.8</v>
      </c>
      <c r="H660" s="14" t="str">
        <f t="shared" ref="H660" si="696">IF(NOT(ISNUMBER(VALUE(G660))), "NA",IF(VALUE(G660)&gt;30,"HIGH",IF(VALUE(G660)&lt;12,"LOW", "VALUE IN RANGE")))</f>
        <v>LOW</v>
      </c>
    </row>
    <row r="661" spans="3:8" x14ac:dyDescent="0.25">
      <c r="C661" s="13"/>
      <c r="D661" s="4" t="s">
        <v>1513</v>
      </c>
      <c r="E661" s="1" t="s">
        <v>7</v>
      </c>
      <c r="F661" s="5" t="s">
        <v>106</v>
      </c>
      <c r="G661" s="3">
        <f t="shared" si="678"/>
        <v>6.5</v>
      </c>
      <c r="H661" s="14" t="str">
        <f t="shared" ref="H661" si="697">IF(NOT(ISNUMBER(VALUE(G661))), "NA",IF(VALUE(G661)&gt;9,"HIGH",IF(VALUE(G661)&lt;2,"LOW", "VALUE IN RANGE")))</f>
        <v>VALUE IN RANGE</v>
      </c>
    </row>
    <row r="662" spans="3:8" x14ac:dyDescent="0.25">
      <c r="C662" s="13"/>
      <c r="D662" s="4" t="s">
        <v>1513</v>
      </c>
      <c r="E662" s="4" t="s">
        <v>9</v>
      </c>
      <c r="F662" s="3" t="s">
        <v>518</v>
      </c>
      <c r="G662" s="3">
        <f t="shared" si="678"/>
        <v>87.7</v>
      </c>
      <c r="H662" s="14" t="str">
        <f t="shared" ref="H662" si="698">IF(NOT(ISNUMBER(VALUE(G662))), "NA",IF(VALUE(G662)&gt;83,"HIGH",IF(VALUE(G662)&lt;60,"LOW", "VALUE IN RANGE")))</f>
        <v>HIGH</v>
      </c>
    </row>
    <row r="663" spans="3:8" x14ac:dyDescent="0.25">
      <c r="C663" s="13"/>
      <c r="D663" s="4" t="s">
        <v>1513</v>
      </c>
      <c r="E663" s="1" t="s">
        <v>11</v>
      </c>
      <c r="F663" s="5" t="s">
        <v>52</v>
      </c>
      <c r="G663" s="3">
        <f t="shared" si="678"/>
        <v>0.6</v>
      </c>
      <c r="H663" s="14" t="str">
        <f t="shared" ref="H663" si="699">IF(NOT(ISNUMBER(VALUE(G663))), "NA",IF(VALUE(G663)&gt;5.1,"HIGH",IF(VALUE(G663)&lt;0.8,"LOW", "VALUE IN RANGE")))</f>
        <v>LOW</v>
      </c>
    </row>
    <row r="664" spans="3:8" x14ac:dyDescent="0.25">
      <c r="C664" s="13"/>
      <c r="D664" s="4" t="s">
        <v>1513</v>
      </c>
      <c r="E664" s="4" t="s">
        <v>13</v>
      </c>
      <c r="F664" s="3" t="s">
        <v>12</v>
      </c>
      <c r="G664" s="3">
        <f t="shared" si="678"/>
        <v>0.7</v>
      </c>
      <c r="H664" s="14" t="str">
        <f t="shared" ref="H664" si="700">IF(NOT(ISNUMBER(VALUE(G664))), "NA",IF(VALUE(G664)&gt;1.8,"HIGH",IF(VALUE(G664)&lt;0,"LOW", "VALUE IN RANGE")))</f>
        <v>VALUE IN RANGE</v>
      </c>
    </row>
    <row r="665" spans="3:8" x14ac:dyDescent="0.25">
      <c r="C665" s="13"/>
      <c r="D665" s="4" t="s">
        <v>1513</v>
      </c>
      <c r="E665" s="1" t="s">
        <v>15</v>
      </c>
      <c r="F665" s="5">
        <v>9800</v>
      </c>
      <c r="G665" s="3">
        <f t="shared" si="678"/>
        <v>9800</v>
      </c>
      <c r="H665" s="14" t="str">
        <f t="shared" ref="H665" si="701">IF(NOT(ISNUMBER(VALUE(G665))), "NA",IF(VALUE(G665)&gt;12.6,"HIGH",IF(VALUE(G665)&lt;4,"LOW", "VALUE IN RANGE")))</f>
        <v>HIGH</v>
      </c>
    </row>
    <row r="666" spans="3:8" x14ac:dyDescent="0.25">
      <c r="C666" s="13"/>
      <c r="D666" s="4" t="s">
        <v>1513</v>
      </c>
      <c r="E666" s="4" t="s">
        <v>17</v>
      </c>
      <c r="F666" s="3" t="s">
        <v>520</v>
      </c>
      <c r="G666" s="3">
        <f t="shared" si="678"/>
        <v>9.06</v>
      </c>
      <c r="H666" s="14" t="str">
        <f t="shared" ref="H666" si="702">IF(NOT(ISNUMBER(VALUE(G666))), "NA",IF(VALUE(G666)&gt;8.5,"HIGH",IF(VALUE(G666)&lt;5.5,"LOW", "VALUE IN RANGE")))</f>
        <v>HIGH</v>
      </c>
    </row>
    <row r="667" spans="3:8" x14ac:dyDescent="0.25">
      <c r="C667" s="13"/>
      <c r="D667" s="4" t="s">
        <v>1513</v>
      </c>
      <c r="E667" s="1" t="s">
        <v>19</v>
      </c>
      <c r="F667" s="5">
        <v>209</v>
      </c>
      <c r="G667" s="3">
        <f t="shared" si="678"/>
        <v>209</v>
      </c>
      <c r="H667" s="14" t="str">
        <f t="shared" ref="H667" si="703">IF(NOT(ISNUMBER(VALUE(G667))), "NA",IF(VALUE(G667)&gt;190,"HIGH",IF(VALUE(G667)&lt;110,"LOW", "VALUE IN RANGE")))</f>
        <v>HIGH</v>
      </c>
    </row>
    <row r="668" spans="3:8" x14ac:dyDescent="0.25">
      <c r="C668" s="13"/>
      <c r="D668" s="4" t="s">
        <v>1513</v>
      </c>
      <c r="E668" s="4" t="s">
        <v>21</v>
      </c>
      <c r="F668" s="3" t="s">
        <v>522</v>
      </c>
      <c r="G668" s="3">
        <f t="shared" si="678"/>
        <v>64.3</v>
      </c>
      <c r="H668" s="14" t="str">
        <f t="shared" ref="H668" si="704">IF(NOT(ISNUMBER(VALUE(G668))), "NA",IF(VALUE(G668)&gt;56,"HIGH",IF(VALUE(G668)&lt;39,"LOW", "VALUE IN RANGE")))</f>
        <v>HIGH</v>
      </c>
    </row>
    <row r="669" spans="3:8" x14ac:dyDescent="0.25">
      <c r="C669" s="13"/>
      <c r="D669" s="4" t="s">
        <v>1513</v>
      </c>
      <c r="E669" s="1" t="s">
        <v>23</v>
      </c>
      <c r="F669" s="5" t="s">
        <v>523</v>
      </c>
      <c r="G669" s="3">
        <f t="shared" si="678"/>
        <v>71</v>
      </c>
      <c r="H669" s="14" t="str">
        <f t="shared" ref="H669" si="705">IF(NOT(ISNUMBER(VALUE(G669))), "NA",IF(VALUE(G669)&gt;72,"HIGH",IF(VALUE(G669)&lt;62,"LOW", "VALUE IN RANGE")))</f>
        <v>VALUE IN RANGE</v>
      </c>
    </row>
    <row r="670" spans="3:8" x14ac:dyDescent="0.25">
      <c r="C670" s="13"/>
      <c r="D670" s="4" t="s">
        <v>1513</v>
      </c>
      <c r="E670" s="4" t="s">
        <v>25</v>
      </c>
      <c r="F670" s="3" t="s">
        <v>524</v>
      </c>
      <c r="G670" s="3">
        <f t="shared" si="678"/>
        <v>23</v>
      </c>
      <c r="H670" s="14" t="str">
        <f t="shared" ref="H670" si="706">IF(NOT(ISNUMBER(VALUE(G670))), "NA",IF(VALUE(G670)&gt;25,"HIGH",IF(VALUE(G670)&lt;20,"LOW", "VALUE IN RANGE")))</f>
        <v>VALUE IN RANGE</v>
      </c>
    </row>
    <row r="671" spans="3:8" x14ac:dyDescent="0.25">
      <c r="C671" s="13"/>
      <c r="D671" s="4" t="s">
        <v>1513</v>
      </c>
      <c r="E671" s="1" t="s">
        <v>27</v>
      </c>
      <c r="F671" s="5">
        <v>325</v>
      </c>
      <c r="G671" s="3">
        <f t="shared" si="678"/>
        <v>325</v>
      </c>
      <c r="H671" s="14" t="str">
        <f t="shared" ref="H671" si="707">IF(NOT(ISNUMBER(VALUE(G671))), "NA",IF(VALUE(G671)&gt;380,"HIGH",IF(VALUE(G671)&lt;300,"LOW", "VALUE IN RANGE")))</f>
        <v>VALUE IN RANGE</v>
      </c>
    </row>
    <row r="672" spans="3:8" x14ac:dyDescent="0.25">
      <c r="C672" s="13"/>
      <c r="D672" s="4" t="s">
        <v>1513</v>
      </c>
      <c r="E672" s="4" t="s">
        <v>29</v>
      </c>
      <c r="F672" s="3" t="s">
        <v>525</v>
      </c>
      <c r="G672" s="3">
        <f t="shared" si="678"/>
        <v>13.6</v>
      </c>
      <c r="H672" s="14" t="str">
        <f t="shared" ref="H672" si="708">IF(NOT(ISNUMBER(VALUE(G672))), "NA",IF(VALUE(G672)&gt;15.5,"HIGH",IF(VALUE(G672)&lt;11,"LOW", "VALUE IN RANGE")))</f>
        <v>VALUE IN RANGE</v>
      </c>
    </row>
    <row r="673" spans="3:8" x14ac:dyDescent="0.25">
      <c r="C673" s="13"/>
      <c r="D673" s="4" t="s">
        <v>1513</v>
      </c>
      <c r="E673" s="1" t="s">
        <v>31</v>
      </c>
      <c r="F673" s="5">
        <v>369</v>
      </c>
      <c r="G673" s="3">
        <f t="shared" si="678"/>
        <v>369</v>
      </c>
      <c r="H673" s="14" t="str">
        <f t="shared" ref="H673" si="709">IF(NOT(ISNUMBER(VALUE(G673))), "NA",IF(VALUE(G673)&gt;460,"HIGH",IF(VALUE(G673)&lt;117,"LOW", "VALUE IN RANGE")))</f>
        <v>VALUE IN RANGE</v>
      </c>
    </row>
    <row r="674" spans="3:8" x14ac:dyDescent="0.25">
      <c r="C674" s="13"/>
      <c r="D674" s="4" t="s">
        <v>1513</v>
      </c>
      <c r="E674" s="4" t="s">
        <v>33</v>
      </c>
      <c r="F674" s="3" t="s">
        <v>428</v>
      </c>
      <c r="G674" s="3">
        <f t="shared" si="678"/>
        <v>8.3000000000000007</v>
      </c>
      <c r="H674" s="14" t="str">
        <f t="shared" ref="H674" si="710">IF(NOT(ISNUMBER(VALUE(G674))), "NA",IF(VALUE(G674)&gt;12,"HIGH",IF(VALUE(G674)&lt;7,"LOW", "VALUE IN RANGE")))</f>
        <v>VALUE IN RANGE</v>
      </c>
    </row>
    <row r="675" spans="3:8" x14ac:dyDescent="0.25">
      <c r="C675" s="13" t="str">
        <f t="shared" ref="C675" si="711">IF(D675=D690,D689,"falso")</f>
        <v>PATIENT_0043</v>
      </c>
      <c r="D675" s="4" t="s">
        <v>1514</v>
      </c>
      <c r="E675" s="1" t="s">
        <v>134</v>
      </c>
      <c r="F675" s="5" t="s">
        <v>527</v>
      </c>
      <c r="G675" s="3">
        <f t="shared" si="678"/>
        <v>14</v>
      </c>
      <c r="H675" s="14" t="str">
        <f t="shared" ref="H675" si="712">IF(NOT(ISNUMBER(VALUE(G675))), "NA",IF(VALUE(G675)&gt;17,"HIGH",IF(VALUE(G675)&lt;6,"LOW", "VALUE IN RANGE")))</f>
        <v>VALUE IN RANGE</v>
      </c>
    </row>
    <row r="676" spans="3:8" x14ac:dyDescent="0.25">
      <c r="C676" s="13"/>
      <c r="D676" s="4" t="s">
        <v>1514</v>
      </c>
      <c r="E676" s="4" t="s">
        <v>136</v>
      </c>
      <c r="F676" s="3" t="s">
        <v>528</v>
      </c>
      <c r="G676" s="3">
        <f t="shared" si="678"/>
        <v>12.5</v>
      </c>
      <c r="H676" s="14" t="str">
        <f t="shared" ref="H676" si="713">IF(NOT(ISNUMBER(VALUE(G676))), "NA",IF(VALUE(G676)&gt;30,"HIGH",IF(VALUE(G676)&lt;12,"LOW", "VALUE IN RANGE")))</f>
        <v>VALUE IN RANGE</v>
      </c>
    </row>
    <row r="677" spans="3:8" x14ac:dyDescent="0.25">
      <c r="C677" s="13"/>
      <c r="D677" s="4" t="s">
        <v>1514</v>
      </c>
      <c r="E677" s="1" t="s">
        <v>7</v>
      </c>
      <c r="F677" s="5" t="s">
        <v>320</v>
      </c>
      <c r="G677" s="3">
        <f t="shared" si="678"/>
        <v>7.1</v>
      </c>
      <c r="H677" s="14" t="str">
        <f t="shared" ref="H677" si="714">IF(NOT(ISNUMBER(VALUE(G677))), "NA",IF(VALUE(G677)&gt;9,"HIGH",IF(VALUE(G677)&lt;2,"LOW", "VALUE IN RANGE")))</f>
        <v>VALUE IN RANGE</v>
      </c>
    </row>
    <row r="678" spans="3:8" x14ac:dyDescent="0.25">
      <c r="C678" s="13"/>
      <c r="D678" s="4" t="s">
        <v>1514</v>
      </c>
      <c r="E678" s="4" t="s">
        <v>139</v>
      </c>
      <c r="F678" s="3" t="s">
        <v>529</v>
      </c>
      <c r="G678" s="3">
        <f t="shared" si="678"/>
        <v>80.400000000000006</v>
      </c>
      <c r="H678" s="14" t="str">
        <f t="shared" ref="H678" si="715">IF(NOT(ISNUMBER(VALUE(G678))), "NA",IF(VALUE(G678)&gt;83,"HIGH",IF(VALUE(G678)&lt;60,"LOW", "VALUE IN RANGE")))</f>
        <v>VALUE IN RANGE</v>
      </c>
    </row>
    <row r="679" spans="3:8" x14ac:dyDescent="0.25">
      <c r="C679" s="13"/>
      <c r="D679" s="4" t="s">
        <v>1514</v>
      </c>
      <c r="E679" s="1" t="s">
        <v>141</v>
      </c>
      <c r="F679" s="5">
        <v>1700</v>
      </c>
      <c r="G679" s="3">
        <f t="shared" si="678"/>
        <v>1700</v>
      </c>
      <c r="H679" s="14" t="str">
        <f t="shared" ref="H679" si="716">IF(NOT(ISNUMBER(VALUE(G679))), "NA",IF(VALUE(G679)&gt;5.1,"HIGH",IF(VALUE(G679)&lt;0.8,"LOW", "VALUE IN RANGE")))</f>
        <v>HIGH</v>
      </c>
    </row>
    <row r="680" spans="3:8" x14ac:dyDescent="0.25">
      <c r="C680" s="13"/>
      <c r="D680" s="4" t="s">
        <v>1514</v>
      </c>
      <c r="E680" s="4" t="s">
        <v>143</v>
      </c>
      <c r="F680" s="3" t="s">
        <v>41</v>
      </c>
      <c r="G680" s="3">
        <f t="shared" si="678"/>
        <v>0.9</v>
      </c>
      <c r="H680" s="14" t="str">
        <f t="shared" ref="H680" si="717">IF(NOT(ISNUMBER(VALUE(G680))), "NA",IF(VALUE(G680)&gt;1.8,"HIGH",IF(VALUE(G680)&lt;0,"LOW", "VALUE IN RANGE")))</f>
        <v>VALUE IN RANGE</v>
      </c>
    </row>
    <row r="681" spans="3:8" x14ac:dyDescent="0.25">
      <c r="C681" s="13"/>
      <c r="D681" s="4" t="s">
        <v>1514</v>
      </c>
      <c r="E681" s="1" t="s">
        <v>144</v>
      </c>
      <c r="F681" s="5">
        <v>11400</v>
      </c>
      <c r="G681" s="3">
        <f t="shared" si="678"/>
        <v>11400</v>
      </c>
      <c r="H681" s="14" t="str">
        <f t="shared" ref="H681" si="718">IF(NOT(ISNUMBER(VALUE(G681))), "NA",IF(VALUE(G681)&gt;12.6,"HIGH",IF(VALUE(G681)&lt;4,"LOW", "VALUE IN RANGE")))</f>
        <v>HIGH</v>
      </c>
    </row>
    <row r="682" spans="3:8" x14ac:dyDescent="0.25">
      <c r="C682" s="13"/>
      <c r="D682" s="4" t="s">
        <v>1514</v>
      </c>
      <c r="E682" s="4" t="s">
        <v>146</v>
      </c>
      <c r="F682" s="3" t="s">
        <v>147</v>
      </c>
      <c r="G682" s="3">
        <f t="shared" si="678"/>
        <v>6.87</v>
      </c>
      <c r="H682" s="14" t="str">
        <f t="shared" ref="H682" si="719">IF(NOT(ISNUMBER(VALUE(G682))), "NA",IF(VALUE(G682)&gt;8.5,"HIGH",IF(VALUE(G682)&lt;5.5,"LOW", "VALUE IN RANGE")))</f>
        <v>VALUE IN RANGE</v>
      </c>
    </row>
    <row r="683" spans="3:8" x14ac:dyDescent="0.25">
      <c r="C683" s="13"/>
      <c r="D683" s="4" t="s">
        <v>1514</v>
      </c>
      <c r="E683" s="1" t="s">
        <v>148</v>
      </c>
      <c r="F683" s="5">
        <v>97</v>
      </c>
      <c r="G683" s="3">
        <f t="shared" si="678"/>
        <v>97</v>
      </c>
      <c r="H683" s="14" t="str">
        <f t="shared" ref="H683" si="720">IF(NOT(ISNUMBER(VALUE(G683))), "NA",IF(VALUE(G683)&gt;190,"HIGH",IF(VALUE(G683)&lt;110,"LOW", "VALUE IN RANGE")))</f>
        <v>LOW</v>
      </c>
    </row>
    <row r="684" spans="3:8" x14ac:dyDescent="0.25">
      <c r="C684" s="13"/>
      <c r="D684" s="4" t="s">
        <v>1514</v>
      </c>
      <c r="E684" s="4" t="s">
        <v>150</v>
      </c>
      <c r="F684" s="3" t="s">
        <v>532</v>
      </c>
      <c r="G684" s="3">
        <f t="shared" si="678"/>
        <v>33.5</v>
      </c>
      <c r="H684" s="14" t="str">
        <f t="shared" ref="H684" si="721">IF(NOT(ISNUMBER(VALUE(G684))), "NA",IF(VALUE(G684)&gt;56,"HIGH",IF(VALUE(G684)&lt;39,"LOW", "VALUE IN RANGE")))</f>
        <v>LOW</v>
      </c>
    </row>
    <row r="685" spans="3:8" x14ac:dyDescent="0.25">
      <c r="C685" s="13"/>
      <c r="D685" s="4" t="s">
        <v>1514</v>
      </c>
      <c r="E685" s="1" t="s">
        <v>152</v>
      </c>
      <c r="F685" s="5" t="s">
        <v>533</v>
      </c>
      <c r="G685" s="3">
        <f t="shared" si="678"/>
        <v>48.9</v>
      </c>
      <c r="H685" s="14" t="str">
        <f t="shared" ref="H685" si="722">IF(NOT(ISNUMBER(VALUE(G685))), "NA",IF(VALUE(G685)&gt;72,"HIGH",IF(VALUE(G685)&lt;62,"LOW", "VALUE IN RANGE")))</f>
        <v>LOW</v>
      </c>
    </row>
    <row r="686" spans="3:8" x14ac:dyDescent="0.25">
      <c r="C686" s="13"/>
      <c r="D686" s="4" t="s">
        <v>1514</v>
      </c>
      <c r="E686" s="4" t="s">
        <v>154</v>
      </c>
      <c r="F686" s="3" t="s">
        <v>88</v>
      </c>
      <c r="G686" s="3">
        <f t="shared" si="678"/>
        <v>14.1</v>
      </c>
      <c r="H686" s="14" t="str">
        <f t="shared" ref="H686" si="723">IF(NOT(ISNUMBER(VALUE(G686))), "NA",IF(VALUE(G686)&gt;25,"HIGH",IF(VALUE(G686)&lt;20,"LOW", "VALUE IN RANGE")))</f>
        <v>LOW</v>
      </c>
    </row>
    <row r="687" spans="3:8" x14ac:dyDescent="0.25">
      <c r="C687" s="13"/>
      <c r="D687" s="4" t="s">
        <v>1514</v>
      </c>
      <c r="E687" s="1" t="s">
        <v>27</v>
      </c>
      <c r="F687" s="5">
        <v>289</v>
      </c>
      <c r="G687" s="3">
        <f t="shared" si="678"/>
        <v>289</v>
      </c>
      <c r="H687" s="14" t="str">
        <f t="shared" ref="H687" si="724">IF(NOT(ISNUMBER(VALUE(G687))), "NA",IF(VALUE(G687)&gt;380,"HIGH",IF(VALUE(G687)&lt;300,"LOW", "VALUE IN RANGE")))</f>
        <v>LOW</v>
      </c>
    </row>
    <row r="688" spans="3:8" x14ac:dyDescent="0.25">
      <c r="C688" s="13"/>
      <c r="D688" s="4" t="s">
        <v>1514</v>
      </c>
      <c r="E688" s="4" t="s">
        <v>157</v>
      </c>
      <c r="F688" s="3" t="s">
        <v>535</v>
      </c>
      <c r="G688" s="3">
        <f t="shared" si="678"/>
        <v>14.4</v>
      </c>
      <c r="H688" s="14" t="str">
        <f t="shared" ref="H688" si="725">IF(NOT(ISNUMBER(VALUE(G688))), "NA",IF(VALUE(G688)&gt;15.5,"HIGH",IF(VALUE(G688)&lt;11,"LOW", "VALUE IN RANGE")))</f>
        <v>VALUE IN RANGE</v>
      </c>
    </row>
    <row r="689" spans="3:8" x14ac:dyDescent="0.25">
      <c r="C689" s="13"/>
      <c r="D689" s="4" t="s">
        <v>1514</v>
      </c>
      <c r="E689" s="1" t="s">
        <v>159</v>
      </c>
      <c r="F689" s="5">
        <v>45</v>
      </c>
      <c r="G689" s="3">
        <f t="shared" si="678"/>
        <v>45</v>
      </c>
      <c r="H689" s="14" t="str">
        <f t="shared" ref="H689" si="726">IF(NOT(ISNUMBER(VALUE(G689))), "NA",IF(VALUE(G689)&gt;460,"HIGH",IF(VALUE(G689)&lt;117,"LOW", "VALUE IN RANGE")))</f>
        <v>LOW</v>
      </c>
    </row>
    <row r="690" spans="3:8" x14ac:dyDescent="0.25">
      <c r="C690" s="13"/>
      <c r="D690" s="4" t="s">
        <v>1514</v>
      </c>
      <c r="E690" s="4" t="s">
        <v>161</v>
      </c>
      <c r="F690" s="3" t="s">
        <v>537</v>
      </c>
      <c r="G690" s="3">
        <f t="shared" si="678"/>
        <v>10.7</v>
      </c>
      <c r="H690" s="14" t="str">
        <f t="shared" ref="H690" si="727">IF(NOT(ISNUMBER(VALUE(G690))), "NA",IF(VALUE(G690)&gt;12,"HIGH",IF(VALUE(G690)&lt;7,"LOW", "VALUE IN RANGE")))</f>
        <v>VALUE IN RANGE</v>
      </c>
    </row>
    <row r="691" spans="3:8" x14ac:dyDescent="0.25">
      <c r="C691" s="13" t="str">
        <f t="shared" ref="C691" si="728">IF(D691=D706,D705,"falso")</f>
        <v>PATIENT_0044</v>
      </c>
      <c r="D691" s="4" t="s">
        <v>1515</v>
      </c>
      <c r="E691" s="1" t="s">
        <v>3</v>
      </c>
      <c r="F691" s="5" t="s">
        <v>429</v>
      </c>
      <c r="G691" s="3">
        <f t="shared" si="678"/>
        <v>9.4</v>
      </c>
      <c r="H691" s="14" t="str">
        <f t="shared" ref="H691" si="729">IF(NOT(ISNUMBER(VALUE(G691))), "NA",IF(VALUE(G691)&gt;17,"HIGH",IF(VALUE(G691)&lt;6,"LOW", "VALUE IN RANGE")))</f>
        <v>VALUE IN RANGE</v>
      </c>
    </row>
    <row r="692" spans="3:8" x14ac:dyDescent="0.25">
      <c r="C692" s="13"/>
      <c r="D692" s="4" t="s">
        <v>1515</v>
      </c>
      <c r="E692" s="4" t="s">
        <v>5</v>
      </c>
      <c r="F692" s="3" t="s">
        <v>4</v>
      </c>
      <c r="G692" s="3">
        <f t="shared" si="678"/>
        <v>8.6</v>
      </c>
      <c r="H692" s="14" t="str">
        <f t="shared" ref="H692" si="730">IF(NOT(ISNUMBER(VALUE(G692))), "NA",IF(VALUE(G692)&gt;30,"HIGH",IF(VALUE(G692)&lt;12,"LOW", "VALUE IN RANGE")))</f>
        <v>LOW</v>
      </c>
    </row>
    <row r="693" spans="3:8" x14ac:dyDescent="0.25">
      <c r="C693" s="13"/>
      <c r="D693" s="4" t="s">
        <v>1515</v>
      </c>
      <c r="E693" s="1" t="s">
        <v>7</v>
      </c>
      <c r="F693" s="5" t="s">
        <v>538</v>
      </c>
      <c r="G693" s="3">
        <f t="shared" si="678"/>
        <v>7.4</v>
      </c>
      <c r="H693" s="14" t="str">
        <f t="shared" ref="H693" si="731">IF(NOT(ISNUMBER(VALUE(G693))), "NA",IF(VALUE(G693)&gt;9,"HIGH",IF(VALUE(G693)&lt;2,"LOW", "VALUE IN RANGE")))</f>
        <v>VALUE IN RANGE</v>
      </c>
    </row>
    <row r="694" spans="3:8" x14ac:dyDescent="0.25">
      <c r="C694" s="13"/>
      <c r="D694" s="4" t="s">
        <v>1515</v>
      </c>
      <c r="E694" s="4" t="s">
        <v>9</v>
      </c>
      <c r="F694" s="3" t="s">
        <v>50</v>
      </c>
      <c r="G694" s="3">
        <f t="shared" si="678"/>
        <v>84</v>
      </c>
      <c r="H694" s="14" t="str">
        <f t="shared" ref="H694" si="732">IF(NOT(ISNUMBER(VALUE(G694))), "NA",IF(VALUE(G694)&gt;83,"HIGH",IF(VALUE(G694)&lt;60,"LOW", "VALUE IN RANGE")))</f>
        <v>HIGH</v>
      </c>
    </row>
    <row r="695" spans="3:8" x14ac:dyDescent="0.25">
      <c r="C695" s="13"/>
      <c r="D695" s="4" t="s">
        <v>1515</v>
      </c>
      <c r="E695" s="1" t="s">
        <v>11</v>
      </c>
      <c r="F695" s="5" t="s">
        <v>476</v>
      </c>
      <c r="G695" s="3">
        <f t="shared" si="678"/>
        <v>0.8</v>
      </c>
      <c r="H695" s="14" t="str">
        <f t="shared" ref="H695" si="733">IF(NOT(ISNUMBER(VALUE(G695))), "NA",IF(VALUE(G695)&gt;5.1,"HIGH",IF(VALUE(G695)&lt;0.8,"LOW", "VALUE IN RANGE")))</f>
        <v>VALUE IN RANGE</v>
      </c>
    </row>
    <row r="696" spans="3:8" x14ac:dyDescent="0.25">
      <c r="C696" s="13"/>
      <c r="D696" s="4" t="s">
        <v>1515</v>
      </c>
      <c r="E696" s="4" t="s">
        <v>13</v>
      </c>
      <c r="F696" s="3" t="s">
        <v>52</v>
      </c>
      <c r="G696" s="3">
        <f t="shared" si="678"/>
        <v>0.6</v>
      </c>
      <c r="H696" s="14" t="str">
        <f t="shared" ref="H696" si="734">IF(NOT(ISNUMBER(VALUE(G696))), "NA",IF(VALUE(G696)&gt;1.8,"HIGH",IF(VALUE(G696)&lt;0,"LOW", "VALUE IN RANGE")))</f>
        <v>VALUE IN RANGE</v>
      </c>
    </row>
    <row r="697" spans="3:8" x14ac:dyDescent="0.25">
      <c r="C697" s="13"/>
      <c r="D697" s="4" t="s">
        <v>1515</v>
      </c>
      <c r="E697" s="1" t="s">
        <v>15</v>
      </c>
      <c r="F697" s="5">
        <v>8000</v>
      </c>
      <c r="G697" s="3">
        <f t="shared" si="678"/>
        <v>8000</v>
      </c>
      <c r="H697" s="14" t="str">
        <f t="shared" ref="H697" si="735">IF(NOT(ISNUMBER(VALUE(G697))), "NA",IF(VALUE(G697)&gt;12.6,"HIGH",IF(VALUE(G697)&lt;4,"LOW", "VALUE IN RANGE")))</f>
        <v>HIGH</v>
      </c>
    </row>
    <row r="698" spans="3:8" x14ac:dyDescent="0.25">
      <c r="C698" s="13"/>
      <c r="D698" s="4" t="s">
        <v>1515</v>
      </c>
      <c r="E698" s="4" t="s">
        <v>17</v>
      </c>
      <c r="F698" s="3" t="s">
        <v>539</v>
      </c>
      <c r="G698" s="3">
        <f t="shared" si="678"/>
        <v>6.07</v>
      </c>
      <c r="H698" s="14" t="str">
        <f t="shared" ref="H698" si="736">IF(NOT(ISNUMBER(VALUE(G698))), "NA",IF(VALUE(G698)&gt;8.5,"HIGH",IF(VALUE(G698)&lt;5.5,"LOW", "VALUE IN RANGE")))</f>
        <v>VALUE IN RANGE</v>
      </c>
    </row>
    <row r="699" spans="3:8" x14ac:dyDescent="0.25">
      <c r="C699" s="13"/>
      <c r="D699" s="4" t="s">
        <v>1515</v>
      </c>
      <c r="E699" s="1" t="s">
        <v>19</v>
      </c>
      <c r="F699" s="5">
        <v>146</v>
      </c>
      <c r="G699" s="3">
        <f t="shared" si="678"/>
        <v>146</v>
      </c>
      <c r="H699" s="14" t="str">
        <f t="shared" ref="H699" si="737">IF(NOT(ISNUMBER(VALUE(G699))), "NA",IF(VALUE(G699)&gt;190,"HIGH",IF(VALUE(G699)&lt;110,"LOW", "VALUE IN RANGE")))</f>
        <v>VALUE IN RANGE</v>
      </c>
    </row>
    <row r="700" spans="3:8" x14ac:dyDescent="0.25">
      <c r="C700" s="13"/>
      <c r="D700" s="4" t="s">
        <v>1515</v>
      </c>
      <c r="E700" s="4" t="s">
        <v>21</v>
      </c>
      <c r="F700" s="3" t="s">
        <v>541</v>
      </c>
      <c r="G700" s="3">
        <f t="shared" si="678"/>
        <v>44.3</v>
      </c>
      <c r="H700" s="14" t="str">
        <f t="shared" ref="H700" si="738">IF(NOT(ISNUMBER(VALUE(G700))), "NA",IF(VALUE(G700)&gt;56,"HIGH",IF(VALUE(G700)&lt;39,"LOW", "VALUE IN RANGE")))</f>
        <v>VALUE IN RANGE</v>
      </c>
    </row>
    <row r="701" spans="3:8" x14ac:dyDescent="0.25">
      <c r="C701" s="13"/>
      <c r="D701" s="4" t="s">
        <v>1515</v>
      </c>
      <c r="E701" s="1" t="s">
        <v>23</v>
      </c>
      <c r="F701" s="5" t="s">
        <v>542</v>
      </c>
      <c r="G701" s="3">
        <f t="shared" si="678"/>
        <v>73.099999999999994</v>
      </c>
      <c r="H701" s="14" t="str">
        <f t="shared" ref="H701" si="739">IF(NOT(ISNUMBER(VALUE(G701))), "NA",IF(VALUE(G701)&gt;72,"HIGH",IF(VALUE(G701)&lt;62,"LOW", "VALUE IN RANGE")))</f>
        <v>HIGH</v>
      </c>
    </row>
    <row r="702" spans="3:8" x14ac:dyDescent="0.25">
      <c r="C702" s="13"/>
      <c r="D702" s="4" t="s">
        <v>1515</v>
      </c>
      <c r="E702" s="4" t="s">
        <v>25</v>
      </c>
      <c r="F702" s="3" t="s">
        <v>543</v>
      </c>
      <c r="G702" s="3">
        <f t="shared" si="678"/>
        <v>24</v>
      </c>
      <c r="H702" s="14" t="str">
        <f t="shared" ref="H702" si="740">IF(NOT(ISNUMBER(VALUE(G702))), "NA",IF(VALUE(G702)&gt;25,"HIGH",IF(VALUE(G702)&lt;20,"LOW", "VALUE IN RANGE")))</f>
        <v>VALUE IN RANGE</v>
      </c>
    </row>
    <row r="703" spans="3:8" x14ac:dyDescent="0.25">
      <c r="C703" s="13"/>
      <c r="D703" s="4" t="s">
        <v>1515</v>
      </c>
      <c r="E703" s="1" t="s">
        <v>27</v>
      </c>
      <c r="F703" s="5">
        <v>329</v>
      </c>
      <c r="G703" s="3">
        <f t="shared" si="678"/>
        <v>329</v>
      </c>
      <c r="H703" s="14" t="str">
        <f t="shared" ref="H703" si="741">IF(NOT(ISNUMBER(VALUE(G703))), "NA",IF(VALUE(G703)&gt;380,"HIGH",IF(VALUE(G703)&lt;300,"LOW", "VALUE IN RANGE")))</f>
        <v>VALUE IN RANGE</v>
      </c>
    </row>
    <row r="704" spans="3:8" x14ac:dyDescent="0.25">
      <c r="C704" s="13"/>
      <c r="D704" s="4" t="s">
        <v>1515</v>
      </c>
      <c r="E704" s="4" t="s">
        <v>29</v>
      </c>
      <c r="F704" s="3" t="s">
        <v>414</v>
      </c>
      <c r="G704" s="3">
        <f t="shared" si="678"/>
        <v>12.1</v>
      </c>
      <c r="H704" s="14" t="str">
        <f t="shared" ref="H704" si="742">IF(NOT(ISNUMBER(VALUE(G704))), "NA",IF(VALUE(G704)&gt;15.5,"HIGH",IF(VALUE(G704)&lt;11,"LOW", "VALUE IN RANGE")))</f>
        <v>VALUE IN RANGE</v>
      </c>
    </row>
    <row r="705" spans="3:8" x14ac:dyDescent="0.25">
      <c r="C705" s="13"/>
      <c r="D705" s="4" t="s">
        <v>1515</v>
      </c>
      <c r="E705" s="1" t="s">
        <v>31</v>
      </c>
      <c r="F705" s="5">
        <v>215</v>
      </c>
      <c r="G705" s="3">
        <f t="shared" si="678"/>
        <v>215</v>
      </c>
      <c r="H705" s="14" t="str">
        <f t="shared" ref="H705" si="743">IF(NOT(ISNUMBER(VALUE(G705))), "NA",IF(VALUE(G705)&gt;460,"HIGH",IF(VALUE(G705)&lt;117,"LOW", "VALUE IN RANGE")))</f>
        <v>VALUE IN RANGE</v>
      </c>
    </row>
    <row r="706" spans="3:8" x14ac:dyDescent="0.25">
      <c r="C706" s="13"/>
      <c r="D706" s="4" t="s">
        <v>1515</v>
      </c>
      <c r="E706" s="4" t="s">
        <v>33</v>
      </c>
      <c r="F706" s="3" t="s">
        <v>231</v>
      </c>
      <c r="G706" s="3">
        <f t="shared" si="678"/>
        <v>8.4</v>
      </c>
      <c r="H706" s="14" t="str">
        <f t="shared" ref="H706" si="744">IF(NOT(ISNUMBER(VALUE(G706))), "NA",IF(VALUE(G706)&gt;12,"HIGH",IF(VALUE(G706)&lt;7,"LOW", "VALUE IN RANGE")))</f>
        <v>VALUE IN RANGE</v>
      </c>
    </row>
    <row r="707" spans="3:8" x14ac:dyDescent="0.25">
      <c r="C707" s="13" t="str">
        <f t="shared" ref="C707" si="745">IF(D707=D722,D721,"falso")</f>
        <v>PATIENT_0045</v>
      </c>
      <c r="D707" s="4" t="s">
        <v>1516</v>
      </c>
      <c r="E707" s="1" t="s">
        <v>3</v>
      </c>
      <c r="F707" s="5" t="s">
        <v>545</v>
      </c>
      <c r="G707" s="3">
        <f t="shared" si="678"/>
        <v>9.1999999999999993</v>
      </c>
      <c r="H707" s="14" t="str">
        <f t="shared" ref="H707" si="746">IF(NOT(ISNUMBER(VALUE(G707))), "NA",IF(VALUE(G707)&gt;17,"HIGH",IF(VALUE(G707)&lt;6,"LOW", "VALUE IN RANGE")))</f>
        <v>VALUE IN RANGE</v>
      </c>
    </row>
    <row r="708" spans="3:8" x14ac:dyDescent="0.25">
      <c r="C708" s="13"/>
      <c r="D708" s="4" t="s">
        <v>1516</v>
      </c>
      <c r="E708" s="4" t="s">
        <v>5</v>
      </c>
      <c r="F708" s="3" t="s">
        <v>546</v>
      </c>
      <c r="G708" s="3">
        <f t="shared" ref="G708:G771" si="747">IFERROR(
   VALUE(
      SUBSTITUTE(
         CLEAN(
            TRIM(F708)
         ),
         ".",
         ","
      )
   ),
   ""
)</f>
        <v>9.3000000000000007</v>
      </c>
      <c r="H708" s="14" t="str">
        <f t="shared" ref="H708" si="748">IF(NOT(ISNUMBER(VALUE(G708))), "NA",IF(VALUE(G708)&gt;30,"HIGH",IF(VALUE(G708)&lt;12,"LOW", "VALUE IN RANGE")))</f>
        <v>LOW</v>
      </c>
    </row>
    <row r="709" spans="3:8" x14ac:dyDescent="0.25">
      <c r="C709" s="13"/>
      <c r="D709" s="4" t="s">
        <v>1516</v>
      </c>
      <c r="E709" s="1" t="s">
        <v>7</v>
      </c>
      <c r="F709" s="5" t="s">
        <v>48</v>
      </c>
      <c r="G709" s="3">
        <f t="shared" si="747"/>
        <v>4.8</v>
      </c>
      <c r="H709" s="14" t="str">
        <f t="shared" ref="H709" si="749">IF(NOT(ISNUMBER(VALUE(G709))), "NA",IF(VALUE(G709)&gt;9,"HIGH",IF(VALUE(G709)&lt;2,"LOW", "VALUE IN RANGE")))</f>
        <v>VALUE IN RANGE</v>
      </c>
    </row>
    <row r="710" spans="3:8" x14ac:dyDescent="0.25">
      <c r="C710" s="13"/>
      <c r="D710" s="4" t="s">
        <v>1516</v>
      </c>
      <c r="E710" s="4" t="s">
        <v>9</v>
      </c>
      <c r="F710" s="3" t="s">
        <v>547</v>
      </c>
      <c r="G710" s="3">
        <f t="shared" si="747"/>
        <v>85.9</v>
      </c>
      <c r="H710" s="14" t="str">
        <f t="shared" ref="H710" si="750">IF(NOT(ISNUMBER(VALUE(G710))), "NA",IF(VALUE(G710)&gt;83,"HIGH",IF(VALUE(G710)&lt;60,"LOW", "VALUE IN RANGE")))</f>
        <v>HIGH</v>
      </c>
    </row>
    <row r="711" spans="3:8" x14ac:dyDescent="0.25">
      <c r="C711" s="13"/>
      <c r="D711" s="4" t="s">
        <v>1516</v>
      </c>
      <c r="E711" s="1" t="s">
        <v>11</v>
      </c>
      <c r="F711" s="5" t="s">
        <v>476</v>
      </c>
      <c r="G711" s="3">
        <f t="shared" si="747"/>
        <v>0.8</v>
      </c>
      <c r="H711" s="14" t="str">
        <f t="shared" ref="H711" si="751">IF(NOT(ISNUMBER(VALUE(G711))), "NA",IF(VALUE(G711)&gt;5.1,"HIGH",IF(VALUE(G711)&lt;0.8,"LOW", "VALUE IN RANGE")))</f>
        <v>VALUE IN RANGE</v>
      </c>
    </row>
    <row r="712" spans="3:8" x14ac:dyDescent="0.25">
      <c r="C712" s="13"/>
      <c r="D712" s="4" t="s">
        <v>1516</v>
      </c>
      <c r="E712" s="4" t="s">
        <v>13</v>
      </c>
      <c r="F712" s="3" t="s">
        <v>167</v>
      </c>
      <c r="G712" s="3">
        <f t="shared" si="747"/>
        <v>0.4</v>
      </c>
      <c r="H712" s="14" t="str">
        <f t="shared" ref="H712" si="752">IF(NOT(ISNUMBER(VALUE(G712))), "NA",IF(VALUE(G712)&gt;1.8,"HIGH",IF(VALUE(G712)&lt;0,"LOW", "VALUE IN RANGE")))</f>
        <v>VALUE IN RANGE</v>
      </c>
    </row>
    <row r="713" spans="3:8" x14ac:dyDescent="0.25">
      <c r="C713" s="13"/>
      <c r="D713" s="4" t="s">
        <v>1516</v>
      </c>
      <c r="E713" s="1" t="s">
        <v>15</v>
      </c>
      <c r="F713" s="5">
        <v>8000</v>
      </c>
      <c r="G713" s="3">
        <f t="shared" si="747"/>
        <v>8000</v>
      </c>
      <c r="H713" s="14" t="str">
        <f t="shared" ref="H713" si="753">IF(NOT(ISNUMBER(VALUE(G713))), "NA",IF(VALUE(G713)&gt;12.6,"HIGH",IF(VALUE(G713)&lt;4,"LOW", "VALUE IN RANGE")))</f>
        <v>HIGH</v>
      </c>
    </row>
    <row r="714" spans="3:8" x14ac:dyDescent="0.25">
      <c r="C714" s="13"/>
      <c r="D714" s="4" t="s">
        <v>1516</v>
      </c>
      <c r="E714" s="4" t="s">
        <v>17</v>
      </c>
      <c r="F714" s="3" t="s">
        <v>548</v>
      </c>
      <c r="G714" s="3">
        <f t="shared" si="747"/>
        <v>6.55</v>
      </c>
      <c r="H714" s="14" t="str">
        <f t="shared" ref="H714" si="754">IF(NOT(ISNUMBER(VALUE(G714))), "NA",IF(VALUE(G714)&gt;8.5,"HIGH",IF(VALUE(G714)&lt;5.5,"LOW", "VALUE IN RANGE")))</f>
        <v>VALUE IN RANGE</v>
      </c>
    </row>
    <row r="715" spans="3:8" x14ac:dyDescent="0.25">
      <c r="C715" s="13"/>
      <c r="D715" s="4" t="s">
        <v>1516</v>
      </c>
      <c r="E715" s="1" t="s">
        <v>19</v>
      </c>
      <c r="F715" s="5">
        <v>135</v>
      </c>
      <c r="G715" s="3">
        <f t="shared" si="747"/>
        <v>135</v>
      </c>
      <c r="H715" s="14" t="str">
        <f t="shared" ref="H715" si="755">IF(NOT(ISNUMBER(VALUE(G715))), "NA",IF(VALUE(G715)&gt;190,"HIGH",IF(VALUE(G715)&lt;110,"LOW", "VALUE IN RANGE")))</f>
        <v>VALUE IN RANGE</v>
      </c>
    </row>
    <row r="716" spans="3:8" x14ac:dyDescent="0.25">
      <c r="C716" s="13"/>
      <c r="D716" s="4" t="s">
        <v>1516</v>
      </c>
      <c r="E716" s="4" t="s">
        <v>21</v>
      </c>
      <c r="F716" s="3" t="s">
        <v>549</v>
      </c>
      <c r="G716" s="3">
        <f t="shared" si="747"/>
        <v>40.4</v>
      </c>
      <c r="H716" s="14" t="str">
        <f t="shared" ref="H716" si="756">IF(NOT(ISNUMBER(VALUE(G716))), "NA",IF(VALUE(G716)&gt;56,"HIGH",IF(VALUE(G716)&lt;39,"LOW", "VALUE IN RANGE")))</f>
        <v>VALUE IN RANGE</v>
      </c>
    </row>
    <row r="717" spans="3:8" x14ac:dyDescent="0.25">
      <c r="C717" s="13"/>
      <c r="D717" s="4" t="s">
        <v>1516</v>
      </c>
      <c r="E717" s="1" t="s">
        <v>23</v>
      </c>
      <c r="F717" s="5" t="s">
        <v>550</v>
      </c>
      <c r="G717" s="3">
        <f t="shared" si="747"/>
        <v>61.8</v>
      </c>
      <c r="H717" s="14" t="str">
        <f t="shared" ref="H717" si="757">IF(NOT(ISNUMBER(VALUE(G717))), "NA",IF(VALUE(G717)&gt;72,"HIGH",IF(VALUE(G717)&lt;62,"LOW", "VALUE IN RANGE")))</f>
        <v>LOW</v>
      </c>
    </row>
    <row r="718" spans="3:8" x14ac:dyDescent="0.25">
      <c r="C718" s="13"/>
      <c r="D718" s="4" t="s">
        <v>1516</v>
      </c>
      <c r="E718" s="4" t="s">
        <v>25</v>
      </c>
      <c r="F718" s="3" t="s">
        <v>551</v>
      </c>
      <c r="G718" s="3">
        <f t="shared" si="747"/>
        <v>20.6</v>
      </c>
      <c r="H718" s="14" t="str">
        <f t="shared" ref="H718" si="758">IF(NOT(ISNUMBER(VALUE(G718))), "NA",IF(VALUE(G718)&gt;25,"HIGH",IF(VALUE(G718)&lt;20,"LOW", "VALUE IN RANGE")))</f>
        <v>VALUE IN RANGE</v>
      </c>
    </row>
    <row r="719" spans="3:8" x14ac:dyDescent="0.25">
      <c r="C719" s="13"/>
      <c r="D719" s="4" t="s">
        <v>1516</v>
      </c>
      <c r="E719" s="1" t="s">
        <v>27</v>
      </c>
      <c r="F719" s="5">
        <v>334</v>
      </c>
      <c r="G719" s="3">
        <f t="shared" si="747"/>
        <v>334</v>
      </c>
      <c r="H719" s="14" t="str">
        <f t="shared" ref="H719" si="759">IF(NOT(ISNUMBER(VALUE(G719))), "NA",IF(VALUE(G719)&gt;380,"HIGH",IF(VALUE(G719)&lt;300,"LOW", "VALUE IN RANGE")))</f>
        <v>VALUE IN RANGE</v>
      </c>
    </row>
    <row r="720" spans="3:8" x14ac:dyDescent="0.25">
      <c r="C720" s="13"/>
      <c r="D720" s="4" t="s">
        <v>1516</v>
      </c>
      <c r="E720" s="4" t="s">
        <v>29</v>
      </c>
      <c r="F720" s="3" t="s">
        <v>292</v>
      </c>
      <c r="G720" s="3">
        <f t="shared" si="747"/>
        <v>11.7</v>
      </c>
      <c r="H720" s="14" t="str">
        <f t="shared" ref="H720" si="760">IF(NOT(ISNUMBER(VALUE(G720))), "NA",IF(VALUE(G720)&gt;15.5,"HIGH",IF(VALUE(G720)&lt;11,"LOW", "VALUE IN RANGE")))</f>
        <v>VALUE IN RANGE</v>
      </c>
    </row>
    <row r="721" spans="3:8" x14ac:dyDescent="0.25">
      <c r="C721" s="13"/>
      <c r="D721" s="4" t="s">
        <v>1516</v>
      </c>
      <c r="E721" s="1" t="s">
        <v>31</v>
      </c>
      <c r="F721" s="5">
        <v>202</v>
      </c>
      <c r="G721" s="3">
        <f t="shared" si="747"/>
        <v>202</v>
      </c>
      <c r="H721" s="14" t="str">
        <f t="shared" ref="H721" si="761">IF(NOT(ISNUMBER(VALUE(G721))), "NA",IF(VALUE(G721)&gt;460,"HIGH",IF(VALUE(G721)&lt;117,"LOW", "VALUE IN RANGE")))</f>
        <v>VALUE IN RANGE</v>
      </c>
    </row>
    <row r="722" spans="3:8" x14ac:dyDescent="0.25">
      <c r="C722" s="13"/>
      <c r="D722" s="4" t="s">
        <v>1516</v>
      </c>
      <c r="E722" s="4" t="s">
        <v>33</v>
      </c>
      <c r="F722" s="3" t="s">
        <v>119</v>
      </c>
      <c r="G722" s="3">
        <f t="shared" si="747"/>
        <v>8.6999999999999993</v>
      </c>
      <c r="H722" s="14" t="str">
        <f t="shared" ref="H722" si="762">IF(NOT(ISNUMBER(VALUE(G722))), "NA",IF(VALUE(G722)&gt;12,"HIGH",IF(VALUE(G722)&lt;7,"LOW", "VALUE IN RANGE")))</f>
        <v>VALUE IN RANGE</v>
      </c>
    </row>
    <row r="723" spans="3:8" x14ac:dyDescent="0.25">
      <c r="C723" s="13" t="str">
        <f t="shared" ref="C723" si="763">IF(D723=D738,D737,"falso")</f>
        <v>PATIENT_0046</v>
      </c>
      <c r="D723" s="4" t="s">
        <v>1517</v>
      </c>
      <c r="E723" s="1" t="s">
        <v>3</v>
      </c>
      <c r="F723" s="5" t="s">
        <v>42</v>
      </c>
      <c r="G723" s="3">
        <f t="shared" si="747"/>
        <v>0</v>
      </c>
      <c r="H723" s="14" t="str">
        <f t="shared" ref="H723" si="764">IF(NOT(ISNUMBER(VALUE(G723))), "NA",IF(VALUE(G723)&gt;17,"HIGH",IF(VALUE(G723)&lt;6,"LOW", "VALUE IN RANGE")))</f>
        <v>LOW</v>
      </c>
    </row>
    <row r="724" spans="3:8" x14ac:dyDescent="0.25">
      <c r="C724" s="13"/>
      <c r="D724" s="4" t="s">
        <v>1517</v>
      </c>
      <c r="E724" s="4" t="s">
        <v>5</v>
      </c>
      <c r="F724" s="3" t="s">
        <v>42</v>
      </c>
      <c r="G724" s="3">
        <f t="shared" si="747"/>
        <v>0</v>
      </c>
      <c r="H724" s="14" t="str">
        <f t="shared" ref="H724" si="765">IF(NOT(ISNUMBER(VALUE(G724))), "NA",IF(VALUE(G724)&gt;30,"HIGH",IF(VALUE(G724)&lt;12,"LOW", "VALUE IN RANGE")))</f>
        <v>LOW</v>
      </c>
    </row>
    <row r="725" spans="3:8" x14ac:dyDescent="0.25">
      <c r="C725" s="13"/>
      <c r="D725" s="4" t="s">
        <v>1517</v>
      </c>
      <c r="E725" s="1" t="s">
        <v>7</v>
      </c>
      <c r="F725" s="5" t="s">
        <v>42</v>
      </c>
      <c r="G725" s="3">
        <f t="shared" si="747"/>
        <v>0</v>
      </c>
      <c r="H725" s="14" t="str">
        <f t="shared" ref="H725" si="766">IF(NOT(ISNUMBER(VALUE(G725))), "NA",IF(VALUE(G725)&gt;9,"HIGH",IF(VALUE(G725)&lt;2,"LOW", "VALUE IN RANGE")))</f>
        <v>LOW</v>
      </c>
    </row>
    <row r="726" spans="3:8" x14ac:dyDescent="0.25">
      <c r="C726" s="13"/>
      <c r="D726" s="4" t="s">
        <v>1517</v>
      </c>
      <c r="E726" s="4" t="s">
        <v>9</v>
      </c>
      <c r="F726" s="3" t="s">
        <v>42</v>
      </c>
      <c r="G726" s="3">
        <f t="shared" si="747"/>
        <v>0</v>
      </c>
      <c r="H726" s="14" t="str">
        <f t="shared" ref="H726" si="767">IF(NOT(ISNUMBER(VALUE(G726))), "NA",IF(VALUE(G726)&gt;83,"HIGH",IF(VALUE(G726)&lt;60,"LOW", "VALUE IN RANGE")))</f>
        <v>LOW</v>
      </c>
    </row>
    <row r="727" spans="3:8" x14ac:dyDescent="0.25">
      <c r="C727" s="13"/>
      <c r="D727" s="4" t="s">
        <v>1517</v>
      </c>
      <c r="E727" s="1" t="s">
        <v>11</v>
      </c>
      <c r="F727" s="5" t="s">
        <v>39</v>
      </c>
      <c r="G727" s="3">
        <f t="shared" si="747"/>
        <v>0</v>
      </c>
      <c r="H727" s="14" t="str">
        <f t="shared" ref="H727" si="768">IF(NOT(ISNUMBER(VALUE(G727))), "NA",IF(VALUE(G727)&gt;5.1,"HIGH",IF(VALUE(G727)&lt;0.8,"LOW", "VALUE IN RANGE")))</f>
        <v>LOW</v>
      </c>
    </row>
    <row r="728" spans="3:8" x14ac:dyDescent="0.25">
      <c r="C728" s="13"/>
      <c r="D728" s="4" t="s">
        <v>1517</v>
      </c>
      <c r="E728" s="4" t="s">
        <v>13</v>
      </c>
      <c r="F728" s="3" t="s">
        <v>39</v>
      </c>
      <c r="G728" s="3">
        <f t="shared" si="747"/>
        <v>0</v>
      </c>
      <c r="H728" s="14" t="str">
        <f t="shared" ref="H728" si="769">IF(NOT(ISNUMBER(VALUE(G728))), "NA",IF(VALUE(G728)&gt;1.8,"HIGH",IF(VALUE(G728)&lt;0,"LOW", "VALUE IN RANGE")))</f>
        <v>VALUE IN RANGE</v>
      </c>
    </row>
    <row r="729" spans="3:8" x14ac:dyDescent="0.25">
      <c r="C729" s="13"/>
      <c r="D729" s="4" t="s">
        <v>1517</v>
      </c>
      <c r="E729" s="1" t="s">
        <v>15</v>
      </c>
      <c r="F729" s="5" t="s">
        <v>39</v>
      </c>
      <c r="G729" s="3">
        <f t="shared" si="747"/>
        <v>0</v>
      </c>
      <c r="H729" s="14" t="str">
        <f t="shared" ref="H729" si="770">IF(NOT(ISNUMBER(VALUE(G729))), "NA",IF(VALUE(G729)&gt;12.6,"HIGH",IF(VALUE(G729)&lt;4,"LOW", "VALUE IN RANGE")))</f>
        <v>LOW</v>
      </c>
    </row>
    <row r="730" spans="3:8" x14ac:dyDescent="0.25">
      <c r="C730" s="13"/>
      <c r="D730" s="4" t="s">
        <v>1517</v>
      </c>
      <c r="E730" s="4" t="s">
        <v>17</v>
      </c>
      <c r="F730" s="3" t="s">
        <v>42</v>
      </c>
      <c r="G730" s="3">
        <f t="shared" si="747"/>
        <v>0</v>
      </c>
      <c r="H730" s="14" t="str">
        <f t="shared" ref="H730" si="771">IF(NOT(ISNUMBER(VALUE(G730))), "NA",IF(VALUE(G730)&gt;8.5,"HIGH",IF(VALUE(G730)&lt;5.5,"LOW", "VALUE IN RANGE")))</f>
        <v>LOW</v>
      </c>
    </row>
    <row r="731" spans="3:8" x14ac:dyDescent="0.25">
      <c r="C731" s="13"/>
      <c r="D731" s="4" t="s">
        <v>1517</v>
      </c>
      <c r="E731" s="1" t="s">
        <v>19</v>
      </c>
      <c r="F731" s="5">
        <v>0</v>
      </c>
      <c r="G731" s="3">
        <f t="shared" si="747"/>
        <v>0</v>
      </c>
      <c r="H731" s="14" t="str">
        <f t="shared" ref="H731" si="772">IF(NOT(ISNUMBER(VALUE(G731))), "NA",IF(VALUE(G731)&gt;190,"HIGH",IF(VALUE(G731)&lt;110,"LOW", "VALUE IN RANGE")))</f>
        <v>LOW</v>
      </c>
    </row>
    <row r="732" spans="3:8" x14ac:dyDescent="0.25">
      <c r="C732" s="13"/>
      <c r="D732" s="4" t="s">
        <v>1517</v>
      </c>
      <c r="E732" s="4" t="s">
        <v>21</v>
      </c>
      <c r="F732" s="3" t="s">
        <v>44</v>
      </c>
      <c r="G732" s="3">
        <f t="shared" si="747"/>
        <v>0</v>
      </c>
      <c r="H732" s="14" t="str">
        <f t="shared" ref="H732" si="773">IF(NOT(ISNUMBER(VALUE(G732))), "NA",IF(VALUE(G732)&gt;56,"HIGH",IF(VALUE(G732)&lt;39,"LOW", "VALUE IN RANGE")))</f>
        <v>LOW</v>
      </c>
    </row>
    <row r="733" spans="3:8" x14ac:dyDescent="0.25">
      <c r="C733" s="13"/>
      <c r="D733" s="4" t="s">
        <v>1517</v>
      </c>
      <c r="E733" s="1" t="s">
        <v>23</v>
      </c>
      <c r="F733" s="5" t="s">
        <v>45</v>
      </c>
      <c r="G733" s="3" t="str">
        <f t="shared" si="747"/>
        <v/>
      </c>
      <c r="H733" s="14" t="str">
        <f t="shared" ref="H733" si="774">IF(NOT(ISNUMBER(VALUE(G733))), "NA",IF(VALUE(G733)&gt;72,"HIGH",IF(VALUE(G733)&lt;62,"LOW", "VALUE IN RANGE")))</f>
        <v>NA</v>
      </c>
    </row>
    <row r="734" spans="3:8" x14ac:dyDescent="0.25">
      <c r="C734" s="13"/>
      <c r="D734" s="4" t="s">
        <v>1517</v>
      </c>
      <c r="E734" s="4" t="s">
        <v>25</v>
      </c>
      <c r="F734" s="3" t="s">
        <v>45</v>
      </c>
      <c r="G734" s="3" t="str">
        <f t="shared" si="747"/>
        <v/>
      </c>
      <c r="H734" s="14" t="str">
        <f t="shared" ref="H734" si="775">IF(NOT(ISNUMBER(VALUE(G734))), "NA",IF(VALUE(G734)&gt;25,"HIGH",IF(VALUE(G734)&lt;20,"LOW", "VALUE IN RANGE")))</f>
        <v>NA</v>
      </c>
    </row>
    <row r="735" spans="3:8" x14ac:dyDescent="0.25">
      <c r="C735" s="13"/>
      <c r="D735" s="4" t="s">
        <v>1517</v>
      </c>
      <c r="E735" s="1" t="s">
        <v>27</v>
      </c>
      <c r="F735" s="5" t="s">
        <v>45</v>
      </c>
      <c r="G735" s="3" t="str">
        <f t="shared" si="747"/>
        <v/>
      </c>
      <c r="H735" s="14" t="str">
        <f t="shared" ref="H735" si="776">IF(NOT(ISNUMBER(VALUE(G735))), "NA",IF(VALUE(G735)&gt;380,"HIGH",IF(VALUE(G735)&lt;300,"LOW", "VALUE IN RANGE")))</f>
        <v>NA</v>
      </c>
    </row>
    <row r="736" spans="3:8" x14ac:dyDescent="0.25">
      <c r="C736" s="13"/>
      <c r="D736" s="4" t="s">
        <v>1517</v>
      </c>
      <c r="E736" s="4" t="s">
        <v>29</v>
      </c>
      <c r="F736" s="3" t="s">
        <v>45</v>
      </c>
      <c r="G736" s="3" t="str">
        <f t="shared" si="747"/>
        <v/>
      </c>
      <c r="H736" s="14" t="str">
        <f t="shared" ref="H736" si="777">IF(NOT(ISNUMBER(VALUE(G736))), "NA",IF(VALUE(G736)&gt;15.5,"HIGH",IF(VALUE(G736)&lt;11,"LOW", "VALUE IN RANGE")))</f>
        <v>NA</v>
      </c>
    </row>
    <row r="737" spans="3:8" x14ac:dyDescent="0.25">
      <c r="C737" s="13"/>
      <c r="D737" s="4" t="s">
        <v>1517</v>
      </c>
      <c r="E737" s="1" t="s">
        <v>31</v>
      </c>
      <c r="F737" s="5">
        <v>0</v>
      </c>
      <c r="G737" s="3">
        <f t="shared" si="747"/>
        <v>0</v>
      </c>
      <c r="H737" s="14" t="str">
        <f t="shared" ref="H737" si="778">IF(NOT(ISNUMBER(VALUE(G737))), "NA",IF(VALUE(G737)&gt;460,"HIGH",IF(VALUE(G737)&lt;117,"LOW", "VALUE IN RANGE")))</f>
        <v>LOW</v>
      </c>
    </row>
    <row r="738" spans="3:8" x14ac:dyDescent="0.25">
      <c r="C738" s="13"/>
      <c r="D738" s="4" t="s">
        <v>1517</v>
      </c>
      <c r="E738" s="4" t="s">
        <v>33</v>
      </c>
      <c r="F738" s="3" t="s">
        <v>45</v>
      </c>
      <c r="G738" s="3" t="str">
        <f t="shared" si="747"/>
        <v/>
      </c>
      <c r="H738" s="14" t="str">
        <f t="shared" ref="H738" si="779">IF(NOT(ISNUMBER(VALUE(G738))), "NA",IF(VALUE(G738)&gt;12,"HIGH",IF(VALUE(G738)&lt;7,"LOW", "VALUE IN RANGE")))</f>
        <v>NA</v>
      </c>
    </row>
    <row r="739" spans="3:8" x14ac:dyDescent="0.25">
      <c r="C739" s="13" t="str">
        <f t="shared" ref="C739" si="780">IF(D739=D754,D753,"falso")</f>
        <v>PATIENT_0047</v>
      </c>
      <c r="D739" s="4" t="s">
        <v>1518</v>
      </c>
      <c r="E739" s="1" t="s">
        <v>3</v>
      </c>
      <c r="F739" s="5" t="s">
        <v>554</v>
      </c>
      <c r="G739" s="3">
        <f t="shared" si="747"/>
        <v>11.7</v>
      </c>
      <c r="H739" s="14" t="str">
        <f t="shared" ref="H739" si="781">IF(NOT(ISNUMBER(VALUE(G739))), "NA",IF(VALUE(G739)&gt;17,"HIGH",IF(VALUE(G739)&lt;6,"LOW", "VALUE IN RANGE")))</f>
        <v>VALUE IN RANGE</v>
      </c>
    </row>
    <row r="740" spans="3:8" x14ac:dyDescent="0.25">
      <c r="C740" s="13"/>
      <c r="D740" s="4" t="s">
        <v>1518</v>
      </c>
      <c r="E740" s="4" t="s">
        <v>5</v>
      </c>
      <c r="F740" s="3" t="s">
        <v>555</v>
      </c>
      <c r="G740" s="3">
        <f t="shared" si="747"/>
        <v>12.9</v>
      </c>
      <c r="H740" s="14" t="str">
        <f t="shared" ref="H740" si="782">IF(NOT(ISNUMBER(VALUE(G740))), "NA",IF(VALUE(G740)&gt;30,"HIGH",IF(VALUE(G740)&lt;12,"LOW", "VALUE IN RANGE")))</f>
        <v>VALUE IN RANGE</v>
      </c>
    </row>
    <row r="741" spans="3:8" x14ac:dyDescent="0.25">
      <c r="C741" s="13"/>
      <c r="D741" s="4" t="s">
        <v>1518</v>
      </c>
      <c r="E741" s="1" t="s">
        <v>7</v>
      </c>
      <c r="F741" s="5" t="s">
        <v>373</v>
      </c>
      <c r="G741" s="3">
        <f t="shared" si="747"/>
        <v>7.7</v>
      </c>
      <c r="H741" s="14" t="str">
        <f t="shared" ref="H741" si="783">IF(NOT(ISNUMBER(VALUE(G741))), "NA",IF(VALUE(G741)&gt;9,"HIGH",IF(VALUE(G741)&lt;2,"LOW", "VALUE IN RANGE")))</f>
        <v>VALUE IN RANGE</v>
      </c>
    </row>
    <row r="742" spans="3:8" x14ac:dyDescent="0.25">
      <c r="C742" s="13"/>
      <c r="D742" s="4" t="s">
        <v>1518</v>
      </c>
      <c r="E742" s="4" t="s">
        <v>9</v>
      </c>
      <c r="F742" s="3" t="s">
        <v>556</v>
      </c>
      <c r="G742" s="3">
        <f t="shared" si="747"/>
        <v>79.400000000000006</v>
      </c>
      <c r="H742" s="14" t="str">
        <f t="shared" ref="H742" si="784">IF(NOT(ISNUMBER(VALUE(G742))), "NA",IF(VALUE(G742)&gt;83,"HIGH",IF(VALUE(G742)&lt;60,"LOW", "VALUE IN RANGE")))</f>
        <v>VALUE IN RANGE</v>
      </c>
    </row>
    <row r="743" spans="3:8" x14ac:dyDescent="0.25">
      <c r="C743" s="13"/>
      <c r="D743" s="4" t="s">
        <v>1518</v>
      </c>
      <c r="E743" s="1" t="s">
        <v>11</v>
      </c>
      <c r="F743" s="5">
        <v>1500</v>
      </c>
      <c r="G743" s="3">
        <f t="shared" si="747"/>
        <v>1500</v>
      </c>
      <c r="H743" s="14" t="str">
        <f t="shared" ref="H743" si="785">IF(NOT(ISNUMBER(VALUE(G743))), "NA",IF(VALUE(G743)&gt;5.1,"HIGH",IF(VALUE(G743)&lt;0.8,"LOW", "VALUE IN RANGE")))</f>
        <v>HIGH</v>
      </c>
    </row>
    <row r="744" spans="3:8" x14ac:dyDescent="0.25">
      <c r="C744" s="13"/>
      <c r="D744" s="4" t="s">
        <v>1518</v>
      </c>
      <c r="E744" s="4" t="s">
        <v>13</v>
      </c>
      <c r="F744" s="3" t="s">
        <v>41</v>
      </c>
      <c r="G744" s="3">
        <f t="shared" si="747"/>
        <v>0.9</v>
      </c>
      <c r="H744" s="14" t="str">
        <f t="shared" ref="H744" si="786">IF(NOT(ISNUMBER(VALUE(G744))), "NA",IF(VALUE(G744)&gt;1.8,"HIGH",IF(VALUE(G744)&lt;0,"LOW", "VALUE IN RANGE")))</f>
        <v>VALUE IN RANGE</v>
      </c>
    </row>
    <row r="745" spans="3:8" x14ac:dyDescent="0.25">
      <c r="C745" s="13"/>
      <c r="D745" s="4" t="s">
        <v>1518</v>
      </c>
      <c r="E745" s="1" t="s">
        <v>15</v>
      </c>
      <c r="F745" s="5">
        <v>9300</v>
      </c>
      <c r="G745" s="3">
        <f t="shared" si="747"/>
        <v>9300</v>
      </c>
      <c r="H745" s="14" t="str">
        <f t="shared" ref="H745" si="787">IF(NOT(ISNUMBER(VALUE(G745))), "NA",IF(VALUE(G745)&gt;12.6,"HIGH",IF(VALUE(G745)&lt;4,"LOW", "VALUE IN RANGE")))</f>
        <v>HIGH</v>
      </c>
    </row>
    <row r="746" spans="3:8" x14ac:dyDescent="0.25">
      <c r="C746" s="13"/>
      <c r="D746" s="4" t="s">
        <v>1518</v>
      </c>
      <c r="E746" s="4" t="s">
        <v>17</v>
      </c>
      <c r="F746" s="3" t="s">
        <v>558</v>
      </c>
      <c r="G746" s="3">
        <f t="shared" si="747"/>
        <v>6.51</v>
      </c>
      <c r="H746" s="14" t="str">
        <f t="shared" ref="H746" si="788">IF(NOT(ISNUMBER(VALUE(G746))), "NA",IF(VALUE(G746)&gt;8.5,"HIGH",IF(VALUE(G746)&lt;5.5,"LOW", "VALUE IN RANGE")))</f>
        <v>VALUE IN RANGE</v>
      </c>
    </row>
    <row r="747" spans="3:8" x14ac:dyDescent="0.25">
      <c r="C747" s="13"/>
      <c r="D747" s="4" t="s">
        <v>1518</v>
      </c>
      <c r="E747" s="1" t="s">
        <v>19</v>
      </c>
      <c r="F747" s="5">
        <v>138</v>
      </c>
      <c r="G747" s="3">
        <f t="shared" si="747"/>
        <v>138</v>
      </c>
      <c r="H747" s="14" t="str">
        <f t="shared" ref="H747" si="789">IF(NOT(ISNUMBER(VALUE(G747))), "NA",IF(VALUE(G747)&gt;190,"HIGH",IF(VALUE(G747)&lt;110,"LOW", "VALUE IN RANGE")))</f>
        <v>VALUE IN RANGE</v>
      </c>
    </row>
    <row r="748" spans="3:8" x14ac:dyDescent="0.25">
      <c r="C748" s="13"/>
      <c r="D748" s="4" t="s">
        <v>1518</v>
      </c>
      <c r="E748" s="4" t="s">
        <v>21</v>
      </c>
      <c r="F748" s="3" t="s">
        <v>560</v>
      </c>
      <c r="G748" s="3">
        <f t="shared" si="747"/>
        <v>42.1</v>
      </c>
      <c r="H748" s="14" t="str">
        <f t="shared" ref="H748" si="790">IF(NOT(ISNUMBER(VALUE(G748))), "NA",IF(VALUE(G748)&gt;56,"HIGH",IF(VALUE(G748)&lt;39,"LOW", "VALUE IN RANGE")))</f>
        <v>VALUE IN RANGE</v>
      </c>
    </row>
    <row r="749" spans="3:8" x14ac:dyDescent="0.25">
      <c r="C749" s="13"/>
      <c r="D749" s="4" t="s">
        <v>1518</v>
      </c>
      <c r="E749" s="1" t="s">
        <v>23</v>
      </c>
      <c r="F749" s="5" t="s">
        <v>561</v>
      </c>
      <c r="G749" s="3">
        <f t="shared" si="747"/>
        <v>64.8</v>
      </c>
      <c r="H749" s="14" t="str">
        <f t="shared" ref="H749" si="791">IF(NOT(ISNUMBER(VALUE(G749))), "NA",IF(VALUE(G749)&gt;72,"HIGH",IF(VALUE(G749)&lt;62,"LOW", "VALUE IN RANGE")))</f>
        <v>VALUE IN RANGE</v>
      </c>
    </row>
    <row r="750" spans="3:8" x14ac:dyDescent="0.25">
      <c r="C750" s="13"/>
      <c r="D750" s="4" t="s">
        <v>1518</v>
      </c>
      <c r="E750" s="4" t="s">
        <v>25</v>
      </c>
      <c r="F750" s="3" t="s">
        <v>562</v>
      </c>
      <c r="G750" s="3">
        <f t="shared" si="747"/>
        <v>21.1</v>
      </c>
      <c r="H750" s="14" t="str">
        <f t="shared" ref="H750" si="792">IF(NOT(ISNUMBER(VALUE(G750))), "NA",IF(VALUE(G750)&gt;25,"HIGH",IF(VALUE(G750)&lt;20,"LOW", "VALUE IN RANGE")))</f>
        <v>VALUE IN RANGE</v>
      </c>
    </row>
    <row r="751" spans="3:8" x14ac:dyDescent="0.25">
      <c r="C751" s="13"/>
      <c r="D751" s="4" t="s">
        <v>1518</v>
      </c>
      <c r="E751" s="1" t="s">
        <v>27</v>
      </c>
      <c r="F751" s="5">
        <v>327</v>
      </c>
      <c r="G751" s="3">
        <f t="shared" si="747"/>
        <v>327</v>
      </c>
      <c r="H751" s="14" t="str">
        <f t="shared" ref="H751" si="793">IF(NOT(ISNUMBER(VALUE(G751))), "NA",IF(VALUE(G751)&gt;380,"HIGH",IF(VALUE(G751)&lt;300,"LOW", "VALUE IN RANGE")))</f>
        <v>VALUE IN RANGE</v>
      </c>
    </row>
    <row r="752" spans="3:8" x14ac:dyDescent="0.25">
      <c r="C752" s="13"/>
      <c r="D752" s="4" t="s">
        <v>1518</v>
      </c>
      <c r="E752" s="4" t="s">
        <v>29</v>
      </c>
      <c r="F752" s="3" t="s">
        <v>188</v>
      </c>
      <c r="G752" s="3">
        <f t="shared" si="747"/>
        <v>13</v>
      </c>
      <c r="H752" s="14" t="str">
        <f t="shared" ref="H752" si="794">IF(NOT(ISNUMBER(VALUE(G752))), "NA",IF(VALUE(G752)&gt;15.5,"HIGH",IF(VALUE(G752)&lt;11,"LOW", "VALUE IN RANGE")))</f>
        <v>VALUE IN RANGE</v>
      </c>
    </row>
    <row r="753" spans="3:8" x14ac:dyDescent="0.25">
      <c r="C753" s="13"/>
      <c r="D753" s="4" t="s">
        <v>1518</v>
      </c>
      <c r="E753" s="1" t="s">
        <v>31</v>
      </c>
      <c r="F753" s="5">
        <v>356</v>
      </c>
      <c r="G753" s="3">
        <f t="shared" si="747"/>
        <v>356</v>
      </c>
      <c r="H753" s="14" t="str">
        <f t="shared" ref="H753" si="795">IF(NOT(ISNUMBER(VALUE(G753))), "NA",IF(VALUE(G753)&gt;460,"HIGH",IF(VALUE(G753)&lt;117,"LOW", "VALUE IN RANGE")))</f>
        <v>VALUE IN RANGE</v>
      </c>
    </row>
    <row r="754" spans="3:8" x14ac:dyDescent="0.25">
      <c r="C754" s="13"/>
      <c r="D754" s="4" t="s">
        <v>1518</v>
      </c>
      <c r="E754" s="4" t="s">
        <v>33</v>
      </c>
      <c r="F754" s="3" t="s">
        <v>564</v>
      </c>
      <c r="G754" s="3">
        <f t="shared" si="747"/>
        <v>6.9</v>
      </c>
      <c r="H754" s="14" t="str">
        <f t="shared" ref="H754" si="796">IF(NOT(ISNUMBER(VALUE(G754))), "NA",IF(VALUE(G754)&gt;12,"HIGH",IF(VALUE(G754)&lt;7,"LOW", "VALUE IN RANGE")))</f>
        <v>LOW</v>
      </c>
    </row>
    <row r="755" spans="3:8" x14ac:dyDescent="0.25">
      <c r="C755" s="13" t="str">
        <f t="shared" ref="C755" si="797">IF(D755=D770,D769,"falso")</f>
        <v>PATIENT_0048</v>
      </c>
      <c r="D755" s="4" t="s">
        <v>1519</v>
      </c>
      <c r="E755" s="1" t="s">
        <v>3</v>
      </c>
      <c r="F755" s="5" t="s">
        <v>473</v>
      </c>
      <c r="G755" s="3">
        <f t="shared" si="747"/>
        <v>10.9</v>
      </c>
      <c r="H755" s="14" t="str">
        <f t="shared" ref="H755" si="798">IF(NOT(ISNUMBER(VALUE(G755))), "NA",IF(VALUE(G755)&gt;17,"HIGH",IF(VALUE(G755)&lt;6,"LOW", "VALUE IN RANGE")))</f>
        <v>VALUE IN RANGE</v>
      </c>
    </row>
    <row r="756" spans="3:8" x14ac:dyDescent="0.25">
      <c r="C756" s="13"/>
      <c r="D756" s="4" t="s">
        <v>1519</v>
      </c>
      <c r="E756" s="4" t="s">
        <v>5</v>
      </c>
      <c r="F756" s="3" t="s">
        <v>565</v>
      </c>
      <c r="G756" s="3">
        <f t="shared" si="747"/>
        <v>18.899999999999999</v>
      </c>
      <c r="H756" s="14" t="str">
        <f t="shared" ref="H756" si="799">IF(NOT(ISNUMBER(VALUE(G756))), "NA",IF(VALUE(G756)&gt;30,"HIGH",IF(VALUE(G756)&lt;12,"LOW", "VALUE IN RANGE")))</f>
        <v>VALUE IN RANGE</v>
      </c>
    </row>
    <row r="757" spans="3:8" x14ac:dyDescent="0.25">
      <c r="C757" s="13"/>
      <c r="D757" s="4" t="s">
        <v>1519</v>
      </c>
      <c r="E757" s="1" t="s">
        <v>7</v>
      </c>
      <c r="F757" s="5" t="s">
        <v>106</v>
      </c>
      <c r="G757" s="3">
        <f t="shared" si="747"/>
        <v>6.5</v>
      </c>
      <c r="H757" s="14" t="str">
        <f t="shared" ref="H757" si="800">IF(NOT(ISNUMBER(VALUE(G757))), "NA",IF(VALUE(G757)&gt;9,"HIGH",IF(VALUE(G757)&lt;2,"LOW", "VALUE IN RANGE")))</f>
        <v>VALUE IN RANGE</v>
      </c>
    </row>
    <row r="758" spans="3:8" x14ac:dyDescent="0.25">
      <c r="C758" s="13"/>
      <c r="D758" s="4" t="s">
        <v>1519</v>
      </c>
      <c r="E758" s="4" t="s">
        <v>9</v>
      </c>
      <c r="F758" s="3" t="s">
        <v>566</v>
      </c>
      <c r="G758" s="3">
        <f t="shared" si="747"/>
        <v>74.599999999999994</v>
      </c>
      <c r="H758" s="14" t="str">
        <f t="shared" ref="H758" si="801">IF(NOT(ISNUMBER(VALUE(G758))), "NA",IF(VALUE(G758)&gt;83,"HIGH",IF(VALUE(G758)&lt;60,"LOW", "VALUE IN RANGE")))</f>
        <v>VALUE IN RANGE</v>
      </c>
    </row>
    <row r="759" spans="3:8" x14ac:dyDescent="0.25">
      <c r="C759" s="13"/>
      <c r="D759" s="4" t="s">
        <v>1519</v>
      </c>
      <c r="E759" s="1" t="s">
        <v>11</v>
      </c>
      <c r="F759" s="5">
        <v>2000</v>
      </c>
      <c r="G759" s="3">
        <f t="shared" si="747"/>
        <v>2000</v>
      </c>
      <c r="H759" s="14" t="str">
        <f t="shared" ref="H759" si="802">IF(NOT(ISNUMBER(VALUE(G759))), "NA",IF(VALUE(G759)&gt;5.1,"HIGH",IF(VALUE(G759)&lt;0.8,"LOW", "VALUE IN RANGE")))</f>
        <v>HIGH</v>
      </c>
    </row>
    <row r="760" spans="3:8" x14ac:dyDescent="0.25">
      <c r="C760" s="13"/>
      <c r="D760" s="4" t="s">
        <v>1519</v>
      </c>
      <c r="E760" s="4" t="s">
        <v>13</v>
      </c>
      <c r="F760" s="3" t="s">
        <v>12</v>
      </c>
      <c r="G760" s="3">
        <f t="shared" si="747"/>
        <v>0.7</v>
      </c>
      <c r="H760" s="14" t="str">
        <f t="shared" ref="H760" si="803">IF(NOT(ISNUMBER(VALUE(G760))), "NA",IF(VALUE(G760)&gt;1.8,"HIGH",IF(VALUE(G760)&lt;0,"LOW", "VALUE IN RANGE")))</f>
        <v>VALUE IN RANGE</v>
      </c>
    </row>
    <row r="761" spans="3:8" x14ac:dyDescent="0.25">
      <c r="C761" s="13"/>
      <c r="D761" s="4" t="s">
        <v>1519</v>
      </c>
      <c r="E761" s="1" t="s">
        <v>15</v>
      </c>
      <c r="F761" s="5">
        <v>8200</v>
      </c>
      <c r="G761" s="3">
        <f t="shared" si="747"/>
        <v>8200</v>
      </c>
      <c r="H761" s="14" t="str">
        <f t="shared" ref="H761" si="804">IF(NOT(ISNUMBER(VALUE(G761))), "NA",IF(VALUE(G761)&gt;12.6,"HIGH",IF(VALUE(G761)&lt;4,"LOW", "VALUE IN RANGE")))</f>
        <v>HIGH</v>
      </c>
    </row>
    <row r="762" spans="3:8" x14ac:dyDescent="0.25">
      <c r="C762" s="13"/>
      <c r="D762" s="4" t="s">
        <v>1519</v>
      </c>
      <c r="E762" s="4" t="s">
        <v>17</v>
      </c>
      <c r="F762" s="3" t="s">
        <v>568</v>
      </c>
      <c r="G762" s="3">
        <f t="shared" si="747"/>
        <v>4.66</v>
      </c>
      <c r="H762" s="14" t="str">
        <f t="shared" ref="H762" si="805">IF(NOT(ISNUMBER(VALUE(G762))), "NA",IF(VALUE(G762)&gt;8.5,"HIGH",IF(VALUE(G762)&lt;5.5,"LOW", "VALUE IN RANGE")))</f>
        <v>LOW</v>
      </c>
    </row>
    <row r="763" spans="3:8" x14ac:dyDescent="0.25">
      <c r="C763" s="13"/>
      <c r="D763" s="4" t="s">
        <v>1519</v>
      </c>
      <c r="E763" s="1" t="s">
        <v>19</v>
      </c>
      <c r="F763" s="5">
        <v>104</v>
      </c>
      <c r="G763" s="3">
        <f t="shared" si="747"/>
        <v>104</v>
      </c>
      <c r="H763" s="14" t="str">
        <f t="shared" ref="H763" si="806">IF(NOT(ISNUMBER(VALUE(G763))), "NA",IF(VALUE(G763)&gt;190,"HIGH",IF(VALUE(G763)&lt;110,"LOW", "VALUE IN RANGE")))</f>
        <v>LOW</v>
      </c>
    </row>
    <row r="764" spans="3:8" x14ac:dyDescent="0.25">
      <c r="C764" s="13"/>
      <c r="D764" s="4" t="s">
        <v>1519</v>
      </c>
      <c r="E764" s="4" t="s">
        <v>21</v>
      </c>
      <c r="F764" s="3" t="s">
        <v>570</v>
      </c>
      <c r="G764" s="3">
        <f t="shared" si="747"/>
        <v>32.6</v>
      </c>
      <c r="H764" s="14" t="str">
        <f t="shared" ref="H764" si="807">IF(NOT(ISNUMBER(VALUE(G764))), "NA",IF(VALUE(G764)&gt;56,"HIGH",IF(VALUE(G764)&lt;39,"LOW", "VALUE IN RANGE")))</f>
        <v>LOW</v>
      </c>
    </row>
    <row r="765" spans="3:8" x14ac:dyDescent="0.25">
      <c r="C765" s="13"/>
      <c r="D765" s="4" t="s">
        <v>1519</v>
      </c>
      <c r="E765" s="1" t="s">
        <v>23</v>
      </c>
      <c r="F765" s="5" t="s">
        <v>571</v>
      </c>
      <c r="G765" s="3">
        <f t="shared" si="747"/>
        <v>70.099999999999994</v>
      </c>
      <c r="H765" s="14" t="str">
        <f t="shared" ref="H765" si="808">IF(NOT(ISNUMBER(VALUE(G765))), "NA",IF(VALUE(G765)&gt;72,"HIGH",IF(VALUE(G765)&lt;62,"LOW", "VALUE IN RANGE")))</f>
        <v>VALUE IN RANGE</v>
      </c>
    </row>
    <row r="766" spans="3:8" x14ac:dyDescent="0.25">
      <c r="C766" s="13"/>
      <c r="D766" s="4" t="s">
        <v>1519</v>
      </c>
      <c r="E766" s="4" t="s">
        <v>25</v>
      </c>
      <c r="F766" s="3" t="s">
        <v>572</v>
      </c>
      <c r="G766" s="3">
        <f t="shared" si="747"/>
        <v>22.3</v>
      </c>
      <c r="H766" s="14" t="str">
        <f t="shared" ref="H766" si="809">IF(NOT(ISNUMBER(VALUE(G766))), "NA",IF(VALUE(G766)&gt;25,"HIGH",IF(VALUE(G766)&lt;20,"LOW", "VALUE IN RANGE")))</f>
        <v>VALUE IN RANGE</v>
      </c>
    </row>
    <row r="767" spans="3:8" x14ac:dyDescent="0.25">
      <c r="C767" s="13"/>
      <c r="D767" s="4" t="s">
        <v>1519</v>
      </c>
      <c r="E767" s="1" t="s">
        <v>27</v>
      </c>
      <c r="F767" s="5">
        <v>319</v>
      </c>
      <c r="G767" s="3">
        <f t="shared" si="747"/>
        <v>319</v>
      </c>
      <c r="H767" s="14" t="str">
        <f t="shared" ref="H767" si="810">IF(NOT(ISNUMBER(VALUE(G767))), "NA",IF(VALUE(G767)&gt;380,"HIGH",IF(VALUE(G767)&lt;300,"LOW", "VALUE IN RANGE")))</f>
        <v>VALUE IN RANGE</v>
      </c>
    </row>
    <row r="768" spans="3:8" x14ac:dyDescent="0.25">
      <c r="C768" s="13"/>
      <c r="D768" s="4" t="s">
        <v>1519</v>
      </c>
      <c r="E768" s="4" t="s">
        <v>29</v>
      </c>
      <c r="F768" s="3" t="s">
        <v>371</v>
      </c>
      <c r="G768" s="3">
        <f t="shared" si="747"/>
        <v>13.2</v>
      </c>
      <c r="H768" s="14" t="str">
        <f t="shared" ref="H768" si="811">IF(NOT(ISNUMBER(VALUE(G768))), "NA",IF(VALUE(G768)&gt;15.5,"HIGH",IF(VALUE(G768)&lt;11,"LOW", "VALUE IN RANGE")))</f>
        <v>VALUE IN RANGE</v>
      </c>
    </row>
    <row r="769" spans="3:8" x14ac:dyDescent="0.25">
      <c r="C769" s="13"/>
      <c r="D769" s="4" t="s">
        <v>1519</v>
      </c>
      <c r="E769" s="1" t="s">
        <v>31</v>
      </c>
      <c r="F769" s="5">
        <v>409</v>
      </c>
      <c r="G769" s="3">
        <f t="shared" si="747"/>
        <v>409</v>
      </c>
      <c r="H769" s="14" t="str">
        <f t="shared" ref="H769" si="812">IF(NOT(ISNUMBER(VALUE(G769))), "NA",IF(VALUE(G769)&gt;460,"HIGH",IF(VALUE(G769)&lt;117,"LOW", "VALUE IN RANGE")))</f>
        <v>VALUE IN RANGE</v>
      </c>
    </row>
    <row r="770" spans="3:8" x14ac:dyDescent="0.25">
      <c r="C770" s="13"/>
      <c r="D770" s="4" t="s">
        <v>1519</v>
      </c>
      <c r="E770" s="4" t="s">
        <v>33</v>
      </c>
      <c r="F770" s="3" t="s">
        <v>119</v>
      </c>
      <c r="G770" s="3">
        <f t="shared" si="747"/>
        <v>8.6999999999999993</v>
      </c>
      <c r="H770" s="14" t="str">
        <f t="shared" ref="H770" si="813">IF(NOT(ISNUMBER(VALUE(G770))), "NA",IF(VALUE(G770)&gt;12,"HIGH",IF(VALUE(G770)&lt;7,"LOW", "VALUE IN RANGE")))</f>
        <v>VALUE IN RANGE</v>
      </c>
    </row>
    <row r="771" spans="3:8" x14ac:dyDescent="0.25">
      <c r="C771" s="13" t="str">
        <f t="shared" ref="C771" si="814">IF(D771=D786,D785,"falso")</f>
        <v>PATIENT_0049</v>
      </c>
      <c r="D771" s="4" t="s">
        <v>1520</v>
      </c>
      <c r="E771" s="1" t="s">
        <v>134</v>
      </c>
      <c r="F771" s="5" t="s">
        <v>574</v>
      </c>
      <c r="G771" s="3">
        <f t="shared" si="747"/>
        <v>54.2</v>
      </c>
      <c r="H771" s="14" t="str">
        <f t="shared" ref="H771" si="815">IF(NOT(ISNUMBER(VALUE(G771))), "NA",IF(VALUE(G771)&gt;17,"HIGH",IF(VALUE(G771)&lt;6,"LOW", "VALUE IN RANGE")))</f>
        <v>HIGH</v>
      </c>
    </row>
    <row r="772" spans="3:8" x14ac:dyDescent="0.25">
      <c r="C772" s="13"/>
      <c r="D772" s="4" t="s">
        <v>1520</v>
      </c>
      <c r="E772" s="4" t="s">
        <v>136</v>
      </c>
      <c r="F772" s="3" t="s">
        <v>575</v>
      </c>
      <c r="G772" s="3">
        <f t="shared" ref="G772:G835" si="816">IFERROR(
   VALUE(
      SUBSTITUTE(
         CLEAN(
            TRIM(F772)
         ),
         ".",
         ","
      )
   ),
   ""
)</f>
        <v>20.399999999999999</v>
      </c>
      <c r="H772" s="14" t="str">
        <f t="shared" ref="H772" si="817">IF(NOT(ISNUMBER(VALUE(G772))), "NA",IF(VALUE(G772)&gt;30,"HIGH",IF(VALUE(G772)&lt;12,"LOW", "VALUE IN RANGE")))</f>
        <v>VALUE IN RANGE</v>
      </c>
    </row>
    <row r="773" spans="3:8" x14ac:dyDescent="0.25">
      <c r="C773" s="13"/>
      <c r="D773" s="4" t="s">
        <v>1520</v>
      </c>
      <c r="E773" s="1" t="s">
        <v>7</v>
      </c>
      <c r="F773" s="5" t="s">
        <v>576</v>
      </c>
      <c r="G773" s="3">
        <f t="shared" si="816"/>
        <v>6.6</v>
      </c>
      <c r="H773" s="14" t="str">
        <f t="shared" ref="H773" si="818">IF(NOT(ISNUMBER(VALUE(G773))), "NA",IF(VALUE(G773)&gt;9,"HIGH",IF(VALUE(G773)&lt;2,"LOW", "VALUE IN RANGE")))</f>
        <v>VALUE IN RANGE</v>
      </c>
    </row>
    <row r="774" spans="3:8" x14ac:dyDescent="0.25">
      <c r="C774" s="13"/>
      <c r="D774" s="4" t="s">
        <v>1520</v>
      </c>
      <c r="E774" s="4" t="s">
        <v>139</v>
      </c>
      <c r="F774" s="3" t="s">
        <v>577</v>
      </c>
      <c r="G774" s="3">
        <f t="shared" si="816"/>
        <v>73</v>
      </c>
      <c r="H774" s="14" t="str">
        <f t="shared" ref="H774" si="819">IF(NOT(ISNUMBER(VALUE(G774))), "NA",IF(VALUE(G774)&gt;83,"HIGH",IF(VALUE(G774)&lt;60,"LOW", "VALUE IN RANGE")))</f>
        <v>VALUE IN RANGE</v>
      </c>
    </row>
    <row r="775" spans="3:8" x14ac:dyDescent="0.25">
      <c r="C775" s="13"/>
      <c r="D775" s="4" t="s">
        <v>1520</v>
      </c>
      <c r="E775" s="1" t="s">
        <v>141</v>
      </c>
      <c r="F775" s="5">
        <v>11000</v>
      </c>
      <c r="G775" s="3">
        <f t="shared" si="816"/>
        <v>11000</v>
      </c>
      <c r="H775" s="14" t="str">
        <f t="shared" ref="H775" si="820">IF(NOT(ISNUMBER(VALUE(G775))), "NA",IF(VALUE(G775)&gt;5.1,"HIGH",IF(VALUE(G775)&lt;0.8,"LOW", "VALUE IN RANGE")))</f>
        <v>HIGH</v>
      </c>
    </row>
    <row r="776" spans="3:8" x14ac:dyDescent="0.25">
      <c r="C776" s="13"/>
      <c r="D776" s="4" t="s">
        <v>1520</v>
      </c>
      <c r="E776" s="4" t="s">
        <v>143</v>
      </c>
      <c r="F776" s="3">
        <v>3500</v>
      </c>
      <c r="G776" s="3">
        <f t="shared" si="816"/>
        <v>3500</v>
      </c>
      <c r="H776" s="14" t="str">
        <f t="shared" ref="H776" si="821">IF(NOT(ISNUMBER(VALUE(G776))), "NA",IF(VALUE(G776)&gt;1.8,"HIGH",IF(VALUE(G776)&lt;0,"LOW", "VALUE IN RANGE")))</f>
        <v>HIGH</v>
      </c>
    </row>
    <row r="777" spans="3:8" x14ac:dyDescent="0.25">
      <c r="C777" s="13"/>
      <c r="D777" s="4" t="s">
        <v>1520</v>
      </c>
      <c r="E777" s="1" t="s">
        <v>144</v>
      </c>
      <c r="F777" s="5">
        <v>39700</v>
      </c>
      <c r="G777" s="3">
        <f t="shared" si="816"/>
        <v>39700</v>
      </c>
      <c r="H777" s="14" t="str">
        <f t="shared" ref="H777" si="822">IF(NOT(ISNUMBER(VALUE(G777))), "NA",IF(VALUE(G777)&gt;12.6,"HIGH",IF(VALUE(G777)&lt;4,"LOW", "VALUE IN RANGE")))</f>
        <v>HIGH</v>
      </c>
    </row>
    <row r="778" spans="3:8" x14ac:dyDescent="0.25">
      <c r="C778" s="13"/>
      <c r="D778" s="4" t="s">
        <v>1520</v>
      </c>
      <c r="E778" s="4" t="s">
        <v>146</v>
      </c>
      <c r="F778" s="3" t="s">
        <v>581</v>
      </c>
      <c r="G778" s="3">
        <f t="shared" si="816"/>
        <v>10.23</v>
      </c>
      <c r="H778" s="14" t="str">
        <f t="shared" ref="H778" si="823">IF(NOT(ISNUMBER(VALUE(G778))), "NA",IF(VALUE(G778)&gt;8.5,"HIGH",IF(VALUE(G778)&lt;5.5,"LOW", "VALUE IN RANGE")))</f>
        <v>HIGH</v>
      </c>
    </row>
    <row r="779" spans="3:8" x14ac:dyDescent="0.25">
      <c r="C779" s="13"/>
      <c r="D779" s="4" t="s">
        <v>1520</v>
      </c>
      <c r="E779" s="1" t="s">
        <v>148</v>
      </c>
      <c r="F779" s="5">
        <v>106</v>
      </c>
      <c r="G779" s="3">
        <f t="shared" si="816"/>
        <v>106</v>
      </c>
      <c r="H779" s="14" t="str">
        <f t="shared" ref="H779" si="824">IF(NOT(ISNUMBER(VALUE(G779))), "NA",IF(VALUE(G779)&gt;190,"HIGH",IF(VALUE(G779)&lt;110,"LOW", "VALUE IN RANGE")))</f>
        <v>LOW</v>
      </c>
    </row>
    <row r="780" spans="3:8" x14ac:dyDescent="0.25">
      <c r="C780" s="13"/>
      <c r="D780" s="4" t="s">
        <v>1520</v>
      </c>
      <c r="E780" s="4" t="s">
        <v>150</v>
      </c>
      <c r="F780" s="3" t="s">
        <v>583</v>
      </c>
      <c r="G780" s="3">
        <f t="shared" si="816"/>
        <v>38.6</v>
      </c>
      <c r="H780" s="14" t="str">
        <f t="shared" ref="H780" si="825">IF(NOT(ISNUMBER(VALUE(G780))), "NA",IF(VALUE(G780)&gt;56,"HIGH",IF(VALUE(G780)&lt;39,"LOW", "VALUE IN RANGE")))</f>
        <v>LOW</v>
      </c>
    </row>
    <row r="781" spans="3:8" x14ac:dyDescent="0.25">
      <c r="C781" s="13"/>
      <c r="D781" s="4" t="s">
        <v>1520</v>
      </c>
      <c r="E781" s="1" t="s">
        <v>152</v>
      </c>
      <c r="F781" s="5" t="s">
        <v>584</v>
      </c>
      <c r="G781" s="3">
        <f t="shared" si="816"/>
        <v>37.799999999999997</v>
      </c>
      <c r="H781" s="14" t="str">
        <f t="shared" ref="H781" si="826">IF(NOT(ISNUMBER(VALUE(G781))), "NA",IF(VALUE(G781)&gt;72,"HIGH",IF(VALUE(G781)&lt;62,"LOW", "VALUE IN RANGE")))</f>
        <v>LOW</v>
      </c>
    </row>
    <row r="782" spans="3:8" x14ac:dyDescent="0.25">
      <c r="C782" s="13"/>
      <c r="D782" s="4" t="s">
        <v>1520</v>
      </c>
      <c r="E782" s="4" t="s">
        <v>154</v>
      </c>
      <c r="F782" s="3" t="s">
        <v>255</v>
      </c>
      <c r="G782" s="3">
        <f t="shared" si="816"/>
        <v>10.3</v>
      </c>
      <c r="H782" s="14" t="str">
        <f t="shared" ref="H782" si="827">IF(NOT(ISNUMBER(VALUE(G782))), "NA",IF(VALUE(G782)&gt;25,"HIGH",IF(VALUE(G782)&lt;20,"LOW", "VALUE IN RANGE")))</f>
        <v>LOW</v>
      </c>
    </row>
    <row r="783" spans="3:8" x14ac:dyDescent="0.25">
      <c r="C783" s="13"/>
      <c r="D783" s="4" t="s">
        <v>1520</v>
      </c>
      <c r="E783" s="1" t="s">
        <v>27</v>
      </c>
      <c r="F783" s="5">
        <v>274</v>
      </c>
      <c r="G783" s="3">
        <f t="shared" si="816"/>
        <v>274</v>
      </c>
      <c r="H783" s="14" t="str">
        <f t="shared" ref="H783" si="828">IF(NOT(ISNUMBER(VALUE(G783))), "NA",IF(VALUE(G783)&gt;380,"HIGH",IF(VALUE(G783)&lt;300,"LOW", "VALUE IN RANGE")))</f>
        <v>LOW</v>
      </c>
    </row>
    <row r="784" spans="3:8" x14ac:dyDescent="0.25">
      <c r="C784" s="13"/>
      <c r="D784" s="4" t="s">
        <v>1520</v>
      </c>
      <c r="E784" s="4" t="s">
        <v>157</v>
      </c>
      <c r="F784" s="3" t="s">
        <v>585</v>
      </c>
      <c r="G784" s="3">
        <f t="shared" si="816"/>
        <v>16.5</v>
      </c>
      <c r="H784" s="14" t="str">
        <f t="shared" ref="H784" si="829">IF(NOT(ISNUMBER(VALUE(G784))), "NA",IF(VALUE(G784)&gt;15.5,"HIGH",IF(VALUE(G784)&lt;11,"LOW", "VALUE IN RANGE")))</f>
        <v>HIGH</v>
      </c>
    </row>
    <row r="785" spans="3:8" x14ac:dyDescent="0.25">
      <c r="C785" s="13"/>
      <c r="D785" s="4" t="s">
        <v>1520</v>
      </c>
      <c r="E785" s="1" t="s">
        <v>159</v>
      </c>
      <c r="F785" s="5">
        <v>645</v>
      </c>
      <c r="G785" s="3">
        <f t="shared" si="816"/>
        <v>645</v>
      </c>
      <c r="H785" s="14" t="str">
        <f t="shared" ref="H785" si="830">IF(NOT(ISNUMBER(VALUE(G785))), "NA",IF(VALUE(G785)&gt;460,"HIGH",IF(VALUE(G785)&lt;117,"LOW", "VALUE IN RANGE")))</f>
        <v>HIGH</v>
      </c>
    </row>
    <row r="786" spans="3:8" x14ac:dyDescent="0.25">
      <c r="C786" s="13"/>
      <c r="D786" s="4" t="s">
        <v>1520</v>
      </c>
      <c r="E786" s="4" t="s">
        <v>161</v>
      </c>
      <c r="F786" s="3" t="s">
        <v>327</v>
      </c>
      <c r="G786" s="3">
        <f t="shared" si="816"/>
        <v>13.7</v>
      </c>
      <c r="H786" s="14" t="str">
        <f t="shared" ref="H786" si="831">IF(NOT(ISNUMBER(VALUE(G786))), "NA",IF(VALUE(G786)&gt;12,"HIGH",IF(VALUE(G786)&lt;7,"LOW", "VALUE IN RANGE")))</f>
        <v>HIGH</v>
      </c>
    </row>
    <row r="787" spans="3:8" x14ac:dyDescent="0.25">
      <c r="C787" s="13" t="str">
        <f t="shared" ref="C787" si="832">IF(D787=D802,D801,"falso")</f>
        <v>PATIENT_0050</v>
      </c>
      <c r="D787" s="4" t="s">
        <v>1521</v>
      </c>
      <c r="E787" s="1" t="s">
        <v>3</v>
      </c>
      <c r="F787" s="5" t="s">
        <v>587</v>
      </c>
      <c r="G787" s="3">
        <f t="shared" si="816"/>
        <v>11.5</v>
      </c>
      <c r="H787" s="14" t="str">
        <f t="shared" ref="H787" si="833">IF(NOT(ISNUMBER(VALUE(G787))), "NA",IF(VALUE(G787)&gt;17,"HIGH",IF(VALUE(G787)&lt;6,"LOW", "VALUE IN RANGE")))</f>
        <v>VALUE IN RANGE</v>
      </c>
    </row>
    <row r="788" spans="3:8" x14ac:dyDescent="0.25">
      <c r="C788" s="13"/>
      <c r="D788" s="4" t="s">
        <v>1521</v>
      </c>
      <c r="E788" s="4" t="s">
        <v>5</v>
      </c>
      <c r="F788" s="3" t="s">
        <v>219</v>
      </c>
      <c r="G788" s="3">
        <f t="shared" si="816"/>
        <v>6.2</v>
      </c>
      <c r="H788" s="14" t="str">
        <f t="shared" ref="H788" si="834">IF(NOT(ISNUMBER(VALUE(G788))), "NA",IF(VALUE(G788)&gt;30,"HIGH",IF(VALUE(G788)&lt;12,"LOW", "VALUE IN RANGE")))</f>
        <v>LOW</v>
      </c>
    </row>
    <row r="789" spans="3:8" x14ac:dyDescent="0.25">
      <c r="C789" s="13"/>
      <c r="D789" s="4" t="s">
        <v>1521</v>
      </c>
      <c r="E789" s="1" t="s">
        <v>7</v>
      </c>
      <c r="F789" s="5" t="s">
        <v>49</v>
      </c>
      <c r="G789" s="3">
        <f t="shared" si="816"/>
        <v>11.2</v>
      </c>
      <c r="H789" s="14" t="str">
        <f t="shared" ref="H789" si="835">IF(NOT(ISNUMBER(VALUE(G789))), "NA",IF(VALUE(G789)&gt;9,"HIGH",IF(VALUE(G789)&lt;2,"LOW", "VALUE IN RANGE")))</f>
        <v>HIGH</v>
      </c>
    </row>
    <row r="790" spans="3:8" x14ac:dyDescent="0.25">
      <c r="C790" s="13"/>
      <c r="D790" s="4" t="s">
        <v>1521</v>
      </c>
      <c r="E790" s="4" t="s">
        <v>9</v>
      </c>
      <c r="F790" s="3" t="s">
        <v>588</v>
      </c>
      <c r="G790" s="3">
        <f t="shared" si="816"/>
        <v>82.6</v>
      </c>
      <c r="H790" s="14" t="str">
        <f t="shared" ref="H790" si="836">IF(NOT(ISNUMBER(VALUE(G790))), "NA",IF(VALUE(G790)&gt;83,"HIGH",IF(VALUE(G790)&lt;60,"LOW", "VALUE IN RANGE")))</f>
        <v>VALUE IN RANGE</v>
      </c>
    </row>
    <row r="791" spans="3:8" x14ac:dyDescent="0.25">
      <c r="C791" s="13"/>
      <c r="D791" s="4" t="s">
        <v>1521</v>
      </c>
      <c r="E791" s="1" t="s">
        <v>11</v>
      </c>
      <c r="F791" s="5" t="s">
        <v>12</v>
      </c>
      <c r="G791" s="3">
        <f t="shared" si="816"/>
        <v>0.7</v>
      </c>
      <c r="H791" s="14" t="str">
        <f t="shared" ref="H791" si="837">IF(NOT(ISNUMBER(VALUE(G791))), "NA",IF(VALUE(G791)&gt;5.1,"HIGH",IF(VALUE(G791)&lt;0.8,"LOW", "VALUE IN RANGE")))</f>
        <v>LOW</v>
      </c>
    </row>
    <row r="792" spans="3:8" x14ac:dyDescent="0.25">
      <c r="C792" s="13"/>
      <c r="D792" s="4" t="s">
        <v>1521</v>
      </c>
      <c r="E792" s="4" t="s">
        <v>13</v>
      </c>
      <c r="F792" s="3">
        <v>1200</v>
      </c>
      <c r="G792" s="3">
        <f t="shared" si="816"/>
        <v>1200</v>
      </c>
      <c r="H792" s="14" t="str">
        <f t="shared" ref="H792" si="838">IF(NOT(ISNUMBER(VALUE(G792))), "NA",IF(VALUE(G792)&gt;1.8,"HIGH",IF(VALUE(G792)&lt;0,"LOW", "VALUE IN RANGE")))</f>
        <v>HIGH</v>
      </c>
    </row>
    <row r="793" spans="3:8" x14ac:dyDescent="0.25">
      <c r="C793" s="13"/>
      <c r="D793" s="4" t="s">
        <v>1521</v>
      </c>
      <c r="E793" s="1" t="s">
        <v>15</v>
      </c>
      <c r="F793" s="5">
        <v>9600</v>
      </c>
      <c r="G793" s="3">
        <f t="shared" si="816"/>
        <v>9600</v>
      </c>
      <c r="H793" s="14" t="str">
        <f t="shared" ref="H793" si="839">IF(NOT(ISNUMBER(VALUE(G793))), "NA",IF(VALUE(G793)&gt;12.6,"HIGH",IF(VALUE(G793)&lt;4,"LOW", "VALUE IN RANGE")))</f>
        <v>HIGH</v>
      </c>
    </row>
    <row r="794" spans="3:8" x14ac:dyDescent="0.25">
      <c r="C794" s="13"/>
      <c r="D794" s="4" t="s">
        <v>1521</v>
      </c>
      <c r="E794" s="4" t="s">
        <v>17</v>
      </c>
      <c r="F794" s="3" t="s">
        <v>82</v>
      </c>
      <c r="G794" s="3">
        <f t="shared" si="816"/>
        <v>6.47</v>
      </c>
      <c r="H794" s="14" t="str">
        <f t="shared" ref="H794" si="840">IF(NOT(ISNUMBER(VALUE(G794))), "NA",IF(VALUE(G794)&gt;8.5,"HIGH",IF(VALUE(G794)&lt;5.5,"LOW", "VALUE IN RANGE")))</f>
        <v>VALUE IN RANGE</v>
      </c>
    </row>
    <row r="795" spans="3:8" x14ac:dyDescent="0.25">
      <c r="C795" s="13"/>
      <c r="D795" s="4" t="s">
        <v>1521</v>
      </c>
      <c r="E795" s="1" t="s">
        <v>19</v>
      </c>
      <c r="F795" s="5">
        <v>130</v>
      </c>
      <c r="G795" s="3">
        <f t="shared" si="816"/>
        <v>130</v>
      </c>
      <c r="H795" s="14" t="str">
        <f t="shared" ref="H795" si="841">IF(NOT(ISNUMBER(VALUE(G795))), "NA",IF(VALUE(G795)&gt;190,"HIGH",IF(VALUE(G795)&lt;110,"LOW", "VALUE IN RANGE")))</f>
        <v>VALUE IN RANGE</v>
      </c>
    </row>
    <row r="796" spans="3:8" x14ac:dyDescent="0.25">
      <c r="C796" s="13"/>
      <c r="D796" s="4" t="s">
        <v>1521</v>
      </c>
      <c r="E796" s="4" t="s">
        <v>21</v>
      </c>
      <c r="F796" s="3" t="s">
        <v>491</v>
      </c>
      <c r="G796" s="3">
        <f t="shared" si="816"/>
        <v>42.3</v>
      </c>
      <c r="H796" s="14" t="str">
        <f t="shared" ref="H796" si="842">IF(NOT(ISNUMBER(VALUE(G796))), "NA",IF(VALUE(G796)&gt;56,"HIGH",IF(VALUE(G796)&lt;39,"LOW", "VALUE IN RANGE")))</f>
        <v>VALUE IN RANGE</v>
      </c>
    </row>
    <row r="797" spans="3:8" x14ac:dyDescent="0.25">
      <c r="C797" s="13"/>
      <c r="D797" s="4" t="s">
        <v>1521</v>
      </c>
      <c r="E797" s="1" t="s">
        <v>23</v>
      </c>
      <c r="F797" s="5" t="s">
        <v>591</v>
      </c>
      <c r="G797" s="3">
        <f t="shared" si="816"/>
        <v>65.5</v>
      </c>
      <c r="H797" s="14" t="str">
        <f t="shared" ref="H797" si="843">IF(NOT(ISNUMBER(VALUE(G797))), "NA",IF(VALUE(G797)&gt;72,"HIGH",IF(VALUE(G797)&lt;62,"LOW", "VALUE IN RANGE")))</f>
        <v>VALUE IN RANGE</v>
      </c>
    </row>
    <row r="798" spans="3:8" x14ac:dyDescent="0.25">
      <c r="C798" s="13"/>
      <c r="D798" s="4" t="s">
        <v>1521</v>
      </c>
      <c r="E798" s="4" t="s">
        <v>25</v>
      </c>
      <c r="F798" s="3" t="s">
        <v>186</v>
      </c>
      <c r="G798" s="3">
        <f t="shared" si="816"/>
        <v>20</v>
      </c>
      <c r="H798" s="14" t="str">
        <f t="shared" ref="H798" si="844">IF(NOT(ISNUMBER(VALUE(G798))), "NA",IF(VALUE(G798)&gt;25,"HIGH",IF(VALUE(G798)&lt;20,"LOW", "VALUE IN RANGE")))</f>
        <v>VALUE IN RANGE</v>
      </c>
    </row>
    <row r="799" spans="3:8" x14ac:dyDescent="0.25">
      <c r="C799" s="13"/>
      <c r="D799" s="4" t="s">
        <v>1521</v>
      </c>
      <c r="E799" s="1" t="s">
        <v>27</v>
      </c>
      <c r="F799" s="5">
        <v>307</v>
      </c>
      <c r="G799" s="3">
        <f t="shared" si="816"/>
        <v>307</v>
      </c>
      <c r="H799" s="14" t="str">
        <f t="shared" ref="H799" si="845">IF(NOT(ISNUMBER(VALUE(G799))), "NA",IF(VALUE(G799)&gt;380,"HIGH",IF(VALUE(G799)&lt;300,"LOW", "VALUE IN RANGE")))</f>
        <v>VALUE IN RANGE</v>
      </c>
    </row>
    <row r="800" spans="3:8" x14ac:dyDescent="0.25">
      <c r="C800" s="13"/>
      <c r="D800" s="4" t="s">
        <v>1521</v>
      </c>
      <c r="E800" s="4" t="s">
        <v>29</v>
      </c>
      <c r="F800" s="3" t="s">
        <v>512</v>
      </c>
      <c r="G800" s="3">
        <f t="shared" si="816"/>
        <v>15.3</v>
      </c>
      <c r="H800" s="14" t="str">
        <f t="shared" ref="H800" si="846">IF(NOT(ISNUMBER(VALUE(G800))), "NA",IF(VALUE(G800)&gt;15.5,"HIGH",IF(VALUE(G800)&lt;11,"LOW", "VALUE IN RANGE")))</f>
        <v>VALUE IN RANGE</v>
      </c>
    </row>
    <row r="801" spans="3:8" x14ac:dyDescent="0.25">
      <c r="C801" s="13"/>
      <c r="D801" s="4" t="s">
        <v>1521</v>
      </c>
      <c r="E801" s="1" t="s">
        <v>31</v>
      </c>
      <c r="F801" s="5">
        <v>323</v>
      </c>
      <c r="G801" s="3">
        <f t="shared" si="816"/>
        <v>323</v>
      </c>
      <c r="H801" s="14" t="str">
        <f t="shared" ref="H801" si="847">IF(NOT(ISNUMBER(VALUE(G801))), "NA",IF(VALUE(G801)&gt;460,"HIGH",IF(VALUE(G801)&lt;117,"LOW", "VALUE IN RANGE")))</f>
        <v>VALUE IN RANGE</v>
      </c>
    </row>
    <row r="802" spans="3:8" x14ac:dyDescent="0.25">
      <c r="C802" s="13"/>
      <c r="D802" s="4" t="s">
        <v>1521</v>
      </c>
      <c r="E802" s="4" t="s">
        <v>33</v>
      </c>
      <c r="F802" s="3" t="s">
        <v>463</v>
      </c>
      <c r="G802" s="3">
        <f t="shared" si="816"/>
        <v>9</v>
      </c>
      <c r="H802" s="14" t="str">
        <f t="shared" ref="H802" si="848">IF(NOT(ISNUMBER(VALUE(G802))), "NA",IF(VALUE(G802)&gt;12,"HIGH",IF(VALUE(G802)&lt;7,"LOW", "VALUE IN RANGE")))</f>
        <v>VALUE IN RANGE</v>
      </c>
    </row>
    <row r="803" spans="3:8" x14ac:dyDescent="0.25">
      <c r="C803" s="13" t="str">
        <f t="shared" ref="C803" si="849">IF(D803=D818,D817,"falso")</f>
        <v>PATIENT_0051</v>
      </c>
      <c r="D803" s="4" t="s">
        <v>1522</v>
      </c>
      <c r="E803" s="1" t="s">
        <v>134</v>
      </c>
      <c r="F803" s="5" t="s">
        <v>445</v>
      </c>
      <c r="G803" s="3">
        <f t="shared" si="816"/>
        <v>10.199999999999999</v>
      </c>
      <c r="H803" s="14" t="str">
        <f t="shared" ref="H803" si="850">IF(NOT(ISNUMBER(VALUE(G803))), "NA",IF(VALUE(G803)&gt;17,"HIGH",IF(VALUE(G803)&lt;6,"LOW", "VALUE IN RANGE")))</f>
        <v>VALUE IN RANGE</v>
      </c>
    </row>
    <row r="804" spans="3:8" x14ac:dyDescent="0.25">
      <c r="C804" s="13"/>
      <c r="D804" s="4" t="s">
        <v>1522</v>
      </c>
      <c r="E804" s="4" t="s">
        <v>136</v>
      </c>
      <c r="F804" s="3" t="s">
        <v>593</v>
      </c>
      <c r="G804" s="3">
        <f t="shared" si="816"/>
        <v>4.3</v>
      </c>
      <c r="H804" s="14" t="str">
        <f t="shared" ref="H804" si="851">IF(NOT(ISNUMBER(VALUE(G804))), "NA",IF(VALUE(G804)&gt;30,"HIGH",IF(VALUE(G804)&lt;12,"LOW", "VALUE IN RANGE")))</f>
        <v>LOW</v>
      </c>
    </row>
    <row r="805" spans="3:8" x14ac:dyDescent="0.25">
      <c r="C805" s="13"/>
      <c r="D805" s="4" t="s">
        <v>1522</v>
      </c>
      <c r="E805" s="1" t="s">
        <v>7</v>
      </c>
      <c r="F805" s="5" t="s">
        <v>474</v>
      </c>
      <c r="G805" s="3">
        <f t="shared" si="816"/>
        <v>7.5</v>
      </c>
      <c r="H805" s="14" t="str">
        <f t="shared" ref="H805" si="852">IF(NOT(ISNUMBER(VALUE(G805))), "NA",IF(VALUE(G805)&gt;9,"HIGH",IF(VALUE(G805)&lt;2,"LOW", "VALUE IN RANGE")))</f>
        <v>VALUE IN RANGE</v>
      </c>
    </row>
    <row r="806" spans="3:8" x14ac:dyDescent="0.25">
      <c r="C806" s="13"/>
      <c r="D806" s="4" t="s">
        <v>1522</v>
      </c>
      <c r="E806" s="4" t="s">
        <v>139</v>
      </c>
      <c r="F806" s="3" t="s">
        <v>123</v>
      </c>
      <c r="G806" s="3">
        <f t="shared" si="816"/>
        <v>88.2</v>
      </c>
      <c r="H806" s="14" t="str">
        <f t="shared" ref="H806" si="853">IF(NOT(ISNUMBER(VALUE(G806))), "NA",IF(VALUE(G806)&gt;83,"HIGH",IF(VALUE(G806)&lt;60,"LOW", "VALUE IN RANGE")))</f>
        <v>HIGH</v>
      </c>
    </row>
    <row r="807" spans="3:8" x14ac:dyDescent="0.25">
      <c r="C807" s="13"/>
      <c r="D807" s="4" t="s">
        <v>1522</v>
      </c>
      <c r="E807" s="1" t="s">
        <v>141</v>
      </c>
      <c r="F807" s="5" t="s">
        <v>167</v>
      </c>
      <c r="G807" s="3">
        <f t="shared" si="816"/>
        <v>0.4</v>
      </c>
      <c r="H807" s="14" t="str">
        <f t="shared" ref="H807" si="854">IF(NOT(ISNUMBER(VALUE(G807))), "NA",IF(VALUE(G807)&gt;5.1,"HIGH",IF(VALUE(G807)&lt;0.8,"LOW", "VALUE IN RANGE")))</f>
        <v>LOW</v>
      </c>
    </row>
    <row r="808" spans="3:8" x14ac:dyDescent="0.25">
      <c r="C808" s="13"/>
      <c r="D808" s="4" t="s">
        <v>1522</v>
      </c>
      <c r="E808" s="4" t="s">
        <v>143</v>
      </c>
      <c r="F808" s="3" t="s">
        <v>12</v>
      </c>
      <c r="G808" s="3">
        <f t="shared" si="816"/>
        <v>0.7</v>
      </c>
      <c r="H808" s="14" t="str">
        <f t="shared" ref="H808" si="855">IF(NOT(ISNUMBER(VALUE(G808))), "NA",IF(VALUE(G808)&gt;1.8,"HIGH",IF(VALUE(G808)&lt;0,"LOW", "VALUE IN RANGE")))</f>
        <v>VALUE IN RANGE</v>
      </c>
    </row>
    <row r="809" spans="3:8" x14ac:dyDescent="0.25">
      <c r="C809" s="13"/>
      <c r="D809" s="4" t="s">
        <v>1522</v>
      </c>
      <c r="E809" s="1" t="s">
        <v>144</v>
      </c>
      <c r="F809" s="5">
        <v>9100</v>
      </c>
      <c r="G809" s="3">
        <f t="shared" si="816"/>
        <v>9100</v>
      </c>
      <c r="H809" s="14" t="str">
        <f t="shared" ref="H809" si="856">IF(NOT(ISNUMBER(VALUE(G809))), "NA",IF(VALUE(G809)&gt;12.6,"HIGH",IF(VALUE(G809)&lt;4,"LOW", "VALUE IN RANGE")))</f>
        <v>HIGH</v>
      </c>
    </row>
    <row r="810" spans="3:8" x14ac:dyDescent="0.25">
      <c r="C810" s="13"/>
      <c r="D810" s="4" t="s">
        <v>1522</v>
      </c>
      <c r="E810" s="4" t="s">
        <v>146</v>
      </c>
      <c r="F810" s="3" t="s">
        <v>595</v>
      </c>
      <c r="G810" s="3">
        <f t="shared" si="816"/>
        <v>10.34</v>
      </c>
      <c r="H810" s="14" t="str">
        <f t="shared" ref="H810" si="857">IF(NOT(ISNUMBER(VALUE(G810))), "NA",IF(VALUE(G810)&gt;8.5,"HIGH",IF(VALUE(G810)&lt;5.5,"LOW", "VALUE IN RANGE")))</f>
        <v>HIGH</v>
      </c>
    </row>
    <row r="811" spans="3:8" x14ac:dyDescent="0.25">
      <c r="C811" s="13"/>
      <c r="D811" s="4" t="s">
        <v>1522</v>
      </c>
      <c r="E811" s="1" t="s">
        <v>148</v>
      </c>
      <c r="F811" s="5">
        <v>144</v>
      </c>
      <c r="G811" s="3">
        <f t="shared" si="816"/>
        <v>144</v>
      </c>
      <c r="H811" s="14" t="str">
        <f t="shared" ref="H811" si="858">IF(NOT(ISNUMBER(VALUE(G811))), "NA",IF(VALUE(G811)&gt;190,"HIGH",IF(VALUE(G811)&lt;110,"LOW", "VALUE IN RANGE")))</f>
        <v>VALUE IN RANGE</v>
      </c>
    </row>
    <row r="812" spans="3:8" x14ac:dyDescent="0.25">
      <c r="C812" s="13"/>
      <c r="D812" s="4" t="s">
        <v>1522</v>
      </c>
      <c r="E812" s="4" t="s">
        <v>150</v>
      </c>
      <c r="F812" s="3" t="s">
        <v>596</v>
      </c>
      <c r="G812" s="3">
        <f t="shared" si="816"/>
        <v>51</v>
      </c>
      <c r="H812" s="14" t="str">
        <f t="shared" ref="H812" si="859">IF(NOT(ISNUMBER(VALUE(G812))), "NA",IF(VALUE(G812)&gt;56,"HIGH",IF(VALUE(G812)&lt;39,"LOW", "VALUE IN RANGE")))</f>
        <v>VALUE IN RANGE</v>
      </c>
    </row>
    <row r="813" spans="3:8" x14ac:dyDescent="0.25">
      <c r="C813" s="13"/>
      <c r="D813" s="4" t="s">
        <v>1522</v>
      </c>
      <c r="E813" s="1" t="s">
        <v>152</v>
      </c>
      <c r="F813" s="5" t="s">
        <v>597</v>
      </c>
      <c r="G813" s="3">
        <f t="shared" si="816"/>
        <v>49.4</v>
      </c>
      <c r="H813" s="14" t="str">
        <f t="shared" ref="H813" si="860">IF(NOT(ISNUMBER(VALUE(G813))), "NA",IF(VALUE(G813)&gt;72,"HIGH",IF(VALUE(G813)&lt;62,"LOW", "VALUE IN RANGE")))</f>
        <v>LOW</v>
      </c>
    </row>
    <row r="814" spans="3:8" x14ac:dyDescent="0.25">
      <c r="C814" s="13"/>
      <c r="D814" s="4" t="s">
        <v>1522</v>
      </c>
      <c r="E814" s="4" t="s">
        <v>154</v>
      </c>
      <c r="F814" s="3" t="s">
        <v>506</v>
      </c>
      <c r="G814" s="3">
        <f t="shared" si="816"/>
        <v>13.9</v>
      </c>
      <c r="H814" s="14" t="str">
        <f t="shared" ref="H814" si="861">IF(NOT(ISNUMBER(VALUE(G814))), "NA",IF(VALUE(G814)&gt;25,"HIGH",IF(VALUE(G814)&lt;20,"LOW", "VALUE IN RANGE")))</f>
        <v>LOW</v>
      </c>
    </row>
    <row r="815" spans="3:8" x14ac:dyDescent="0.25">
      <c r="C815" s="13"/>
      <c r="D815" s="4" t="s">
        <v>1522</v>
      </c>
      <c r="E815" s="1" t="s">
        <v>27</v>
      </c>
      <c r="F815" s="5">
        <v>282</v>
      </c>
      <c r="G815" s="3">
        <f t="shared" si="816"/>
        <v>282</v>
      </c>
      <c r="H815" s="14" t="str">
        <f t="shared" ref="H815" si="862">IF(NOT(ISNUMBER(VALUE(G815))), "NA",IF(VALUE(G815)&gt;380,"HIGH",IF(VALUE(G815)&lt;300,"LOW", "VALUE IN RANGE")))</f>
        <v>LOW</v>
      </c>
    </row>
    <row r="816" spans="3:8" x14ac:dyDescent="0.25">
      <c r="C816" s="13"/>
      <c r="D816" s="4" t="s">
        <v>1522</v>
      </c>
      <c r="E816" s="4" t="s">
        <v>157</v>
      </c>
      <c r="F816" s="3" t="s">
        <v>277</v>
      </c>
      <c r="G816" s="3">
        <f t="shared" si="816"/>
        <v>15.1</v>
      </c>
      <c r="H816" s="14" t="str">
        <f t="shared" ref="H816" si="863">IF(NOT(ISNUMBER(VALUE(G816))), "NA",IF(VALUE(G816)&gt;15.5,"HIGH",IF(VALUE(G816)&lt;11,"LOW", "VALUE IN RANGE")))</f>
        <v>VALUE IN RANGE</v>
      </c>
    </row>
    <row r="817" spans="3:8" x14ac:dyDescent="0.25">
      <c r="C817" s="13"/>
      <c r="D817" s="4" t="s">
        <v>1522</v>
      </c>
      <c r="E817" s="1" t="s">
        <v>159</v>
      </c>
      <c r="F817" s="5">
        <v>198</v>
      </c>
      <c r="G817" s="3">
        <f t="shared" si="816"/>
        <v>198</v>
      </c>
      <c r="H817" s="14" t="str">
        <f t="shared" ref="H817" si="864">IF(NOT(ISNUMBER(VALUE(G817))), "NA",IF(VALUE(G817)&gt;460,"HIGH",IF(VALUE(G817)&lt;117,"LOW", "VALUE IN RANGE")))</f>
        <v>VALUE IN RANGE</v>
      </c>
    </row>
    <row r="818" spans="3:8" x14ac:dyDescent="0.25">
      <c r="C818" s="13"/>
      <c r="D818" s="4" t="s">
        <v>1522</v>
      </c>
      <c r="E818" s="4" t="s">
        <v>161</v>
      </c>
      <c r="F818" s="3" t="s">
        <v>307</v>
      </c>
      <c r="G818" s="3">
        <f t="shared" si="816"/>
        <v>10.6</v>
      </c>
      <c r="H818" s="14" t="str">
        <f t="shared" ref="H818" si="865">IF(NOT(ISNUMBER(VALUE(G818))), "NA",IF(VALUE(G818)&gt;12,"HIGH",IF(VALUE(G818)&lt;7,"LOW", "VALUE IN RANGE")))</f>
        <v>VALUE IN RANGE</v>
      </c>
    </row>
    <row r="819" spans="3:8" x14ac:dyDescent="0.25">
      <c r="C819" s="13" t="str">
        <f t="shared" ref="C819" si="866">IF(D819=D834,D833,"falso")</f>
        <v>PATIENT_0052</v>
      </c>
      <c r="D819" s="4" t="s">
        <v>1523</v>
      </c>
      <c r="E819" s="1" t="s">
        <v>3</v>
      </c>
      <c r="F819" s="5" t="s">
        <v>545</v>
      </c>
      <c r="G819" s="3">
        <f t="shared" si="816"/>
        <v>9.1999999999999993</v>
      </c>
      <c r="H819" s="14" t="str">
        <f t="shared" ref="H819" si="867">IF(NOT(ISNUMBER(VALUE(G819))), "NA",IF(VALUE(G819)&gt;17,"HIGH",IF(VALUE(G819)&lt;6,"LOW", "VALUE IN RANGE")))</f>
        <v>VALUE IN RANGE</v>
      </c>
    </row>
    <row r="820" spans="3:8" x14ac:dyDescent="0.25">
      <c r="C820" s="13"/>
      <c r="D820" s="4" t="s">
        <v>1523</v>
      </c>
      <c r="E820" s="4" t="s">
        <v>5</v>
      </c>
      <c r="F820" s="3" t="s">
        <v>396</v>
      </c>
      <c r="G820" s="3">
        <f t="shared" si="816"/>
        <v>4.4000000000000004</v>
      </c>
      <c r="H820" s="14" t="str">
        <f t="shared" ref="H820" si="868">IF(NOT(ISNUMBER(VALUE(G820))), "NA",IF(VALUE(G820)&gt;30,"HIGH",IF(VALUE(G820)&lt;12,"LOW", "VALUE IN RANGE")))</f>
        <v>LOW</v>
      </c>
    </row>
    <row r="821" spans="3:8" x14ac:dyDescent="0.25">
      <c r="C821" s="13"/>
      <c r="D821" s="4" t="s">
        <v>1523</v>
      </c>
      <c r="E821" s="1" t="s">
        <v>7</v>
      </c>
      <c r="F821" s="5" t="s">
        <v>179</v>
      </c>
      <c r="G821" s="3">
        <f t="shared" si="816"/>
        <v>8</v>
      </c>
      <c r="H821" s="14" t="str">
        <f t="shared" ref="H821" si="869">IF(NOT(ISNUMBER(VALUE(G821))), "NA",IF(VALUE(G821)&gt;9,"HIGH",IF(VALUE(G821)&lt;2,"LOW", "VALUE IN RANGE")))</f>
        <v>VALUE IN RANGE</v>
      </c>
    </row>
    <row r="822" spans="3:8" x14ac:dyDescent="0.25">
      <c r="C822" s="13"/>
      <c r="D822" s="4" t="s">
        <v>1523</v>
      </c>
      <c r="E822" s="4" t="s">
        <v>9</v>
      </c>
      <c r="F822" s="3" t="s">
        <v>599</v>
      </c>
      <c r="G822" s="3">
        <f t="shared" si="816"/>
        <v>87.6</v>
      </c>
      <c r="H822" s="14" t="str">
        <f t="shared" ref="H822" si="870">IF(NOT(ISNUMBER(VALUE(G822))), "NA",IF(VALUE(G822)&gt;83,"HIGH",IF(VALUE(G822)&lt;60,"LOW", "VALUE IN RANGE")))</f>
        <v>HIGH</v>
      </c>
    </row>
    <row r="823" spans="3:8" x14ac:dyDescent="0.25">
      <c r="C823" s="13"/>
      <c r="D823" s="4" t="s">
        <v>1523</v>
      </c>
      <c r="E823" s="1" t="s">
        <v>11</v>
      </c>
      <c r="F823" s="5" t="s">
        <v>167</v>
      </c>
      <c r="G823" s="3">
        <f t="shared" si="816"/>
        <v>0.4</v>
      </c>
      <c r="H823" s="14" t="str">
        <f t="shared" ref="H823" si="871">IF(NOT(ISNUMBER(VALUE(G823))), "NA",IF(VALUE(G823)&gt;5.1,"HIGH",IF(VALUE(G823)&lt;0.8,"LOW", "VALUE IN RANGE")))</f>
        <v>LOW</v>
      </c>
    </row>
    <row r="824" spans="3:8" x14ac:dyDescent="0.25">
      <c r="C824" s="13"/>
      <c r="D824" s="4" t="s">
        <v>1523</v>
      </c>
      <c r="E824" s="4" t="s">
        <v>13</v>
      </c>
      <c r="F824" s="3" t="s">
        <v>12</v>
      </c>
      <c r="G824" s="3">
        <f t="shared" si="816"/>
        <v>0.7</v>
      </c>
      <c r="H824" s="14" t="str">
        <f t="shared" ref="H824" si="872">IF(NOT(ISNUMBER(VALUE(G824))), "NA",IF(VALUE(G824)&gt;1.8,"HIGH",IF(VALUE(G824)&lt;0,"LOW", "VALUE IN RANGE")))</f>
        <v>VALUE IN RANGE</v>
      </c>
    </row>
    <row r="825" spans="3:8" x14ac:dyDescent="0.25">
      <c r="C825" s="13"/>
      <c r="D825" s="4" t="s">
        <v>1523</v>
      </c>
      <c r="E825" s="1" t="s">
        <v>15</v>
      </c>
      <c r="F825" s="5">
        <v>8100</v>
      </c>
      <c r="G825" s="3">
        <f t="shared" si="816"/>
        <v>8100</v>
      </c>
      <c r="H825" s="14" t="str">
        <f t="shared" ref="H825" si="873">IF(NOT(ISNUMBER(VALUE(G825))), "NA",IF(VALUE(G825)&gt;12.6,"HIGH",IF(VALUE(G825)&lt;4,"LOW", "VALUE IN RANGE")))</f>
        <v>HIGH</v>
      </c>
    </row>
    <row r="826" spans="3:8" x14ac:dyDescent="0.25">
      <c r="C826" s="13"/>
      <c r="D826" s="4" t="s">
        <v>1523</v>
      </c>
      <c r="E826" s="4" t="s">
        <v>17</v>
      </c>
      <c r="F826" s="3" t="s">
        <v>601</v>
      </c>
      <c r="G826" s="3">
        <f t="shared" si="816"/>
        <v>8.64</v>
      </c>
      <c r="H826" s="14" t="str">
        <f t="shared" ref="H826" si="874">IF(NOT(ISNUMBER(VALUE(G826))), "NA",IF(VALUE(G826)&gt;8.5,"HIGH",IF(VALUE(G826)&lt;5.5,"LOW", "VALUE IN RANGE")))</f>
        <v>HIGH</v>
      </c>
    </row>
    <row r="827" spans="3:8" x14ac:dyDescent="0.25">
      <c r="C827" s="13"/>
      <c r="D827" s="4" t="s">
        <v>1523</v>
      </c>
      <c r="E827" s="1" t="s">
        <v>19</v>
      </c>
      <c r="F827" s="5">
        <v>183</v>
      </c>
      <c r="G827" s="3">
        <f t="shared" si="816"/>
        <v>183</v>
      </c>
      <c r="H827" s="14" t="str">
        <f t="shared" ref="H827" si="875">IF(NOT(ISNUMBER(VALUE(G827))), "NA",IF(VALUE(G827)&gt;190,"HIGH",IF(VALUE(G827)&lt;110,"LOW", "VALUE IN RANGE")))</f>
        <v>VALUE IN RANGE</v>
      </c>
    </row>
    <row r="828" spans="3:8" x14ac:dyDescent="0.25">
      <c r="C828" s="13"/>
      <c r="D828" s="4" t="s">
        <v>1523</v>
      </c>
      <c r="E828" s="4" t="s">
        <v>21</v>
      </c>
      <c r="F828" s="3" t="s">
        <v>603</v>
      </c>
      <c r="G828" s="3">
        <f t="shared" si="816"/>
        <v>55.8</v>
      </c>
      <c r="H828" s="14" t="str">
        <f t="shared" ref="H828" si="876">IF(NOT(ISNUMBER(VALUE(G828))), "NA",IF(VALUE(G828)&gt;56,"HIGH",IF(VALUE(G828)&lt;39,"LOW", "VALUE IN RANGE")))</f>
        <v>VALUE IN RANGE</v>
      </c>
    </row>
    <row r="829" spans="3:8" x14ac:dyDescent="0.25">
      <c r="C829" s="13"/>
      <c r="D829" s="4" t="s">
        <v>1523</v>
      </c>
      <c r="E829" s="1" t="s">
        <v>23</v>
      </c>
      <c r="F829" s="5" t="s">
        <v>185</v>
      </c>
      <c r="G829" s="3">
        <f t="shared" si="816"/>
        <v>64.599999999999994</v>
      </c>
      <c r="H829" s="14" t="str">
        <f t="shared" ref="H829" si="877">IF(NOT(ISNUMBER(VALUE(G829))), "NA",IF(VALUE(G829)&gt;72,"HIGH",IF(VALUE(G829)&lt;62,"LOW", "VALUE IN RANGE")))</f>
        <v>VALUE IN RANGE</v>
      </c>
    </row>
    <row r="830" spans="3:8" x14ac:dyDescent="0.25">
      <c r="C830" s="13"/>
      <c r="D830" s="4" t="s">
        <v>1523</v>
      </c>
      <c r="E830" s="4" t="s">
        <v>25</v>
      </c>
      <c r="F830" s="3" t="s">
        <v>562</v>
      </c>
      <c r="G830" s="3">
        <f t="shared" si="816"/>
        <v>21.1</v>
      </c>
      <c r="H830" s="14" t="str">
        <f t="shared" ref="H830" si="878">IF(NOT(ISNUMBER(VALUE(G830))), "NA",IF(VALUE(G830)&gt;25,"HIGH",IF(VALUE(G830)&lt;20,"LOW", "VALUE IN RANGE")))</f>
        <v>VALUE IN RANGE</v>
      </c>
    </row>
    <row r="831" spans="3:8" x14ac:dyDescent="0.25">
      <c r="C831" s="13"/>
      <c r="D831" s="4" t="s">
        <v>1523</v>
      </c>
      <c r="E831" s="1" t="s">
        <v>27</v>
      </c>
      <c r="F831" s="5">
        <v>327</v>
      </c>
      <c r="G831" s="3">
        <f t="shared" si="816"/>
        <v>327</v>
      </c>
      <c r="H831" s="14" t="str">
        <f t="shared" ref="H831" si="879">IF(NOT(ISNUMBER(VALUE(G831))), "NA",IF(VALUE(G831)&gt;380,"HIGH",IF(VALUE(G831)&lt;300,"LOW", "VALUE IN RANGE")))</f>
        <v>VALUE IN RANGE</v>
      </c>
    </row>
    <row r="832" spans="3:8" x14ac:dyDescent="0.25">
      <c r="C832" s="13"/>
      <c r="D832" s="4" t="s">
        <v>1523</v>
      </c>
      <c r="E832" s="4" t="s">
        <v>29</v>
      </c>
      <c r="F832" s="3" t="s">
        <v>327</v>
      </c>
      <c r="G832" s="3">
        <f t="shared" si="816"/>
        <v>13.7</v>
      </c>
      <c r="H832" s="14" t="str">
        <f t="shared" ref="H832" si="880">IF(NOT(ISNUMBER(VALUE(G832))), "NA",IF(VALUE(G832)&gt;15.5,"HIGH",IF(VALUE(G832)&lt;11,"LOW", "VALUE IN RANGE")))</f>
        <v>VALUE IN RANGE</v>
      </c>
    </row>
    <row r="833" spans="3:8" x14ac:dyDescent="0.25">
      <c r="C833" s="13"/>
      <c r="D833" s="4" t="s">
        <v>1523</v>
      </c>
      <c r="E833" s="1" t="s">
        <v>31</v>
      </c>
      <c r="F833" s="5">
        <v>248</v>
      </c>
      <c r="G833" s="3">
        <f t="shared" si="816"/>
        <v>248</v>
      </c>
      <c r="H833" s="14" t="str">
        <f t="shared" ref="H833" si="881">IF(NOT(ISNUMBER(VALUE(G833))), "NA",IF(VALUE(G833)&gt;460,"HIGH",IF(VALUE(G833)&lt;117,"LOW", "VALUE IN RANGE")))</f>
        <v>VALUE IN RANGE</v>
      </c>
    </row>
    <row r="834" spans="3:8" x14ac:dyDescent="0.25">
      <c r="C834" s="13"/>
      <c r="D834" s="4" t="s">
        <v>1523</v>
      </c>
      <c r="E834" s="4" t="s">
        <v>33</v>
      </c>
      <c r="F834" s="3" t="s">
        <v>176</v>
      </c>
      <c r="G834" s="3">
        <f t="shared" si="816"/>
        <v>8.5</v>
      </c>
      <c r="H834" s="14" t="str">
        <f t="shared" ref="H834" si="882">IF(NOT(ISNUMBER(VALUE(G834))), "NA",IF(VALUE(G834)&gt;12,"HIGH",IF(VALUE(G834)&lt;7,"LOW", "VALUE IN RANGE")))</f>
        <v>VALUE IN RANGE</v>
      </c>
    </row>
    <row r="835" spans="3:8" x14ac:dyDescent="0.25">
      <c r="C835" s="13" t="str">
        <f t="shared" ref="C835" si="883">IF(D835=D850,D849,"falso")</f>
        <v>PATIENT_0053</v>
      </c>
      <c r="D835" s="4" t="s">
        <v>1524</v>
      </c>
      <c r="E835" s="1" t="s">
        <v>3</v>
      </c>
      <c r="F835" s="5" t="s">
        <v>48</v>
      </c>
      <c r="G835" s="3">
        <f t="shared" si="816"/>
        <v>4.8</v>
      </c>
      <c r="H835" s="14" t="str">
        <f t="shared" ref="H835" si="884">IF(NOT(ISNUMBER(VALUE(G835))), "NA",IF(VALUE(G835)&gt;17,"HIGH",IF(VALUE(G835)&lt;6,"LOW", "VALUE IN RANGE")))</f>
        <v>LOW</v>
      </c>
    </row>
    <row r="836" spans="3:8" x14ac:dyDescent="0.25">
      <c r="C836" s="13"/>
      <c r="D836" s="4" t="s">
        <v>1524</v>
      </c>
      <c r="E836" s="4" t="s">
        <v>5</v>
      </c>
      <c r="F836" s="3" t="s">
        <v>605</v>
      </c>
      <c r="G836" s="3">
        <f t="shared" ref="G836:G899" si="885">IFERROR(
   VALUE(
      SUBSTITUTE(
         CLEAN(
            TRIM(F836)
         ),
         ".",
         ","
      )
   ),
   ""
)</f>
        <v>9.9</v>
      </c>
      <c r="H836" s="14" t="str">
        <f t="shared" ref="H836" si="886">IF(NOT(ISNUMBER(VALUE(G836))), "NA",IF(VALUE(G836)&gt;30,"HIGH",IF(VALUE(G836)&lt;12,"LOW", "VALUE IN RANGE")))</f>
        <v>LOW</v>
      </c>
    </row>
    <row r="837" spans="3:8" x14ac:dyDescent="0.25">
      <c r="C837" s="13"/>
      <c r="D837" s="4" t="s">
        <v>1524</v>
      </c>
      <c r="E837" s="1" t="s">
        <v>7</v>
      </c>
      <c r="F837" s="5" t="s">
        <v>453</v>
      </c>
      <c r="G837" s="3">
        <f t="shared" si="885"/>
        <v>5</v>
      </c>
      <c r="H837" s="14" t="str">
        <f t="shared" ref="H837" si="887">IF(NOT(ISNUMBER(VALUE(G837))), "NA",IF(VALUE(G837)&gt;9,"HIGH",IF(VALUE(G837)&lt;2,"LOW", "VALUE IN RANGE")))</f>
        <v>VALUE IN RANGE</v>
      </c>
    </row>
    <row r="838" spans="3:8" x14ac:dyDescent="0.25">
      <c r="C838" s="13"/>
      <c r="D838" s="4" t="s">
        <v>1524</v>
      </c>
      <c r="E838" s="4" t="s">
        <v>9</v>
      </c>
      <c r="F838" s="3" t="s">
        <v>606</v>
      </c>
      <c r="G838" s="3">
        <f t="shared" si="885"/>
        <v>85.1</v>
      </c>
      <c r="H838" s="14" t="str">
        <f t="shared" ref="H838" si="888">IF(NOT(ISNUMBER(VALUE(G838))), "NA",IF(VALUE(G838)&gt;83,"HIGH",IF(VALUE(G838)&lt;60,"LOW", "VALUE IN RANGE")))</f>
        <v>HIGH</v>
      </c>
    </row>
    <row r="839" spans="3:8" x14ac:dyDescent="0.25">
      <c r="C839" s="13"/>
      <c r="D839" s="4" t="s">
        <v>1524</v>
      </c>
      <c r="E839" s="1" t="s">
        <v>11</v>
      </c>
      <c r="F839" s="5" t="s">
        <v>167</v>
      </c>
      <c r="G839" s="3">
        <f t="shared" si="885"/>
        <v>0.4</v>
      </c>
      <c r="H839" s="14" t="str">
        <f t="shared" ref="H839" si="889">IF(NOT(ISNUMBER(VALUE(G839))), "NA",IF(VALUE(G839)&gt;5.1,"HIGH",IF(VALUE(G839)&lt;0.8,"LOW", "VALUE IN RANGE")))</f>
        <v>LOW</v>
      </c>
    </row>
    <row r="840" spans="3:8" x14ac:dyDescent="0.25">
      <c r="C840" s="13"/>
      <c r="D840" s="4" t="s">
        <v>1524</v>
      </c>
      <c r="E840" s="4" t="s">
        <v>13</v>
      </c>
      <c r="F840" s="3" t="s">
        <v>51</v>
      </c>
      <c r="G840" s="3">
        <f t="shared" si="885"/>
        <v>0.2</v>
      </c>
      <c r="H840" s="14" t="str">
        <f t="shared" ref="H840" si="890">IF(NOT(ISNUMBER(VALUE(G840))), "NA",IF(VALUE(G840)&gt;1.8,"HIGH",IF(VALUE(G840)&lt;0,"LOW", "VALUE IN RANGE")))</f>
        <v>VALUE IN RANGE</v>
      </c>
    </row>
    <row r="841" spans="3:8" x14ac:dyDescent="0.25">
      <c r="C841" s="13"/>
      <c r="D841" s="4" t="s">
        <v>1524</v>
      </c>
      <c r="E841" s="1" t="s">
        <v>15</v>
      </c>
      <c r="F841" s="5">
        <v>4200</v>
      </c>
      <c r="G841" s="3">
        <f t="shared" si="885"/>
        <v>4200</v>
      </c>
      <c r="H841" s="14" t="str">
        <f t="shared" ref="H841" si="891">IF(NOT(ISNUMBER(VALUE(G841))), "NA",IF(VALUE(G841)&gt;12.6,"HIGH",IF(VALUE(G841)&lt;4,"LOW", "VALUE IN RANGE")))</f>
        <v>HIGH</v>
      </c>
    </row>
    <row r="842" spans="3:8" x14ac:dyDescent="0.25">
      <c r="C842" s="13"/>
      <c r="D842" s="4" t="s">
        <v>1524</v>
      </c>
      <c r="E842" s="4" t="s">
        <v>17</v>
      </c>
      <c r="F842" s="3" t="s">
        <v>608</v>
      </c>
      <c r="G842" s="3">
        <f t="shared" si="885"/>
        <v>8.02</v>
      </c>
      <c r="H842" s="14" t="str">
        <f t="shared" ref="H842" si="892">IF(NOT(ISNUMBER(VALUE(G842))), "NA",IF(VALUE(G842)&gt;8.5,"HIGH",IF(VALUE(G842)&lt;5.5,"LOW", "VALUE IN RANGE")))</f>
        <v>VALUE IN RANGE</v>
      </c>
    </row>
    <row r="843" spans="3:8" x14ac:dyDescent="0.25">
      <c r="C843" s="13"/>
      <c r="D843" s="4" t="s">
        <v>1524</v>
      </c>
      <c r="E843" s="1" t="s">
        <v>19</v>
      </c>
      <c r="F843" s="5">
        <v>179</v>
      </c>
      <c r="G843" s="3">
        <f t="shared" si="885"/>
        <v>179</v>
      </c>
      <c r="H843" s="14" t="str">
        <f t="shared" ref="H843" si="893">IF(NOT(ISNUMBER(VALUE(G843))), "NA",IF(VALUE(G843)&gt;190,"HIGH",IF(VALUE(G843)&lt;110,"LOW", "VALUE IN RANGE")))</f>
        <v>VALUE IN RANGE</v>
      </c>
    </row>
    <row r="844" spans="3:8" x14ac:dyDescent="0.25">
      <c r="C844" s="13"/>
      <c r="D844" s="4" t="s">
        <v>1524</v>
      </c>
      <c r="E844" s="4" t="s">
        <v>21</v>
      </c>
      <c r="F844" s="3" t="s">
        <v>610</v>
      </c>
      <c r="G844" s="3">
        <f t="shared" si="885"/>
        <v>55.7</v>
      </c>
      <c r="H844" s="14" t="str">
        <f t="shared" ref="H844" si="894">IF(NOT(ISNUMBER(VALUE(G844))), "NA",IF(VALUE(G844)&gt;56,"HIGH",IF(VALUE(G844)&lt;39,"LOW", "VALUE IN RANGE")))</f>
        <v>VALUE IN RANGE</v>
      </c>
    </row>
    <row r="845" spans="3:8" x14ac:dyDescent="0.25">
      <c r="C845" s="13"/>
      <c r="D845" s="4" t="s">
        <v>1524</v>
      </c>
      <c r="E845" s="1" t="s">
        <v>23</v>
      </c>
      <c r="F845" s="5" t="s">
        <v>611</v>
      </c>
      <c r="G845" s="3">
        <f t="shared" si="885"/>
        <v>69.5</v>
      </c>
      <c r="H845" s="14" t="str">
        <f t="shared" ref="H845" si="895">IF(NOT(ISNUMBER(VALUE(G845))), "NA",IF(VALUE(G845)&gt;72,"HIGH",IF(VALUE(G845)&lt;62,"LOW", "VALUE IN RANGE")))</f>
        <v>VALUE IN RANGE</v>
      </c>
    </row>
    <row r="846" spans="3:8" x14ac:dyDescent="0.25">
      <c r="C846" s="13"/>
      <c r="D846" s="4" t="s">
        <v>1524</v>
      </c>
      <c r="E846" s="4" t="s">
        <v>25</v>
      </c>
      <c r="F846" s="3" t="s">
        <v>572</v>
      </c>
      <c r="G846" s="3">
        <f t="shared" si="885"/>
        <v>22.3</v>
      </c>
      <c r="H846" s="14" t="str">
        <f t="shared" ref="H846" si="896">IF(NOT(ISNUMBER(VALUE(G846))), "NA",IF(VALUE(G846)&gt;25,"HIGH",IF(VALUE(G846)&lt;20,"LOW", "VALUE IN RANGE")))</f>
        <v>VALUE IN RANGE</v>
      </c>
    </row>
    <row r="847" spans="3:8" x14ac:dyDescent="0.25">
      <c r="C847" s="13"/>
      <c r="D847" s="4" t="s">
        <v>1524</v>
      </c>
      <c r="E847" s="1" t="s">
        <v>27</v>
      </c>
      <c r="F847" s="5">
        <v>321</v>
      </c>
      <c r="G847" s="3">
        <f t="shared" si="885"/>
        <v>321</v>
      </c>
      <c r="H847" s="14" t="str">
        <f t="shared" ref="H847" si="897">IF(NOT(ISNUMBER(VALUE(G847))), "NA",IF(VALUE(G847)&gt;380,"HIGH",IF(VALUE(G847)&lt;300,"LOW", "VALUE IN RANGE")))</f>
        <v>VALUE IN RANGE</v>
      </c>
    </row>
    <row r="848" spans="3:8" x14ac:dyDescent="0.25">
      <c r="C848" s="13"/>
      <c r="D848" s="4" t="s">
        <v>1524</v>
      </c>
      <c r="E848" s="4" t="s">
        <v>29</v>
      </c>
      <c r="F848" s="3" t="s">
        <v>58</v>
      </c>
      <c r="G848" s="3">
        <f t="shared" si="885"/>
        <v>12.7</v>
      </c>
      <c r="H848" s="14" t="str">
        <f t="shared" ref="H848" si="898">IF(NOT(ISNUMBER(VALUE(G848))), "NA",IF(VALUE(G848)&gt;15.5,"HIGH",IF(VALUE(G848)&lt;11,"LOW", "VALUE IN RANGE")))</f>
        <v>VALUE IN RANGE</v>
      </c>
    </row>
    <row r="849" spans="3:8" x14ac:dyDescent="0.25">
      <c r="C849" s="13"/>
      <c r="D849" s="4" t="s">
        <v>1524</v>
      </c>
      <c r="E849" s="1" t="s">
        <v>31</v>
      </c>
      <c r="F849" s="5">
        <v>160</v>
      </c>
      <c r="G849" s="3">
        <f t="shared" si="885"/>
        <v>160</v>
      </c>
      <c r="H849" s="14" t="str">
        <f t="shared" ref="H849" si="899">IF(NOT(ISNUMBER(VALUE(G849))), "NA",IF(VALUE(G849)&gt;460,"HIGH",IF(VALUE(G849)&lt;117,"LOW", "VALUE IN RANGE")))</f>
        <v>VALUE IN RANGE</v>
      </c>
    </row>
    <row r="850" spans="3:8" x14ac:dyDescent="0.25">
      <c r="C850" s="13"/>
      <c r="D850" s="4" t="s">
        <v>1524</v>
      </c>
      <c r="E850" s="4" t="s">
        <v>33</v>
      </c>
      <c r="F850" s="3" t="s">
        <v>255</v>
      </c>
      <c r="G850" s="3">
        <f t="shared" si="885"/>
        <v>10.3</v>
      </c>
      <c r="H850" s="14" t="str">
        <f t="shared" ref="H850" si="900">IF(NOT(ISNUMBER(VALUE(G850))), "NA",IF(VALUE(G850)&gt;12,"HIGH",IF(VALUE(G850)&lt;7,"LOW", "VALUE IN RANGE")))</f>
        <v>VALUE IN RANGE</v>
      </c>
    </row>
    <row r="851" spans="3:8" x14ac:dyDescent="0.25">
      <c r="C851" s="13" t="str">
        <f t="shared" ref="C851" si="901">IF(D851=D866,D865,"falso")</f>
        <v>PATIENT_0054</v>
      </c>
      <c r="D851" s="4" t="s">
        <v>1525</v>
      </c>
      <c r="E851" s="1" t="s">
        <v>134</v>
      </c>
      <c r="F851" s="5" t="s">
        <v>614</v>
      </c>
      <c r="G851" s="3">
        <f t="shared" si="885"/>
        <v>14.5</v>
      </c>
      <c r="H851" s="14" t="str">
        <f t="shared" ref="H851" si="902">IF(NOT(ISNUMBER(VALUE(G851))), "NA",IF(VALUE(G851)&gt;17,"HIGH",IF(VALUE(G851)&lt;6,"LOW", "VALUE IN RANGE")))</f>
        <v>VALUE IN RANGE</v>
      </c>
    </row>
    <row r="852" spans="3:8" x14ac:dyDescent="0.25">
      <c r="C852" s="13"/>
      <c r="D852" s="4" t="s">
        <v>1525</v>
      </c>
      <c r="E852" s="4" t="s">
        <v>136</v>
      </c>
      <c r="F852" s="3" t="s">
        <v>498</v>
      </c>
      <c r="G852" s="3">
        <f t="shared" si="885"/>
        <v>15.9</v>
      </c>
      <c r="H852" s="14" t="str">
        <f t="shared" ref="H852" si="903">IF(NOT(ISNUMBER(VALUE(G852))), "NA",IF(VALUE(G852)&gt;30,"HIGH",IF(VALUE(G852)&lt;12,"LOW", "VALUE IN RANGE")))</f>
        <v>VALUE IN RANGE</v>
      </c>
    </row>
    <row r="853" spans="3:8" x14ac:dyDescent="0.25">
      <c r="C853" s="13"/>
      <c r="D853" s="4" t="s">
        <v>1525</v>
      </c>
      <c r="E853" s="1" t="s">
        <v>7</v>
      </c>
      <c r="F853" s="5" t="s">
        <v>63</v>
      </c>
      <c r="G853" s="3">
        <f t="shared" si="885"/>
        <v>6.8</v>
      </c>
      <c r="H853" s="14" t="str">
        <f t="shared" ref="H853" si="904">IF(NOT(ISNUMBER(VALUE(G853))), "NA",IF(VALUE(G853)&gt;9,"HIGH",IF(VALUE(G853)&lt;2,"LOW", "VALUE IN RANGE")))</f>
        <v>VALUE IN RANGE</v>
      </c>
    </row>
    <row r="854" spans="3:8" x14ac:dyDescent="0.25">
      <c r="C854" s="13"/>
      <c r="D854" s="4" t="s">
        <v>1525</v>
      </c>
      <c r="E854" s="4" t="s">
        <v>139</v>
      </c>
      <c r="F854" s="3" t="s">
        <v>615</v>
      </c>
      <c r="G854" s="3">
        <f t="shared" si="885"/>
        <v>77.3</v>
      </c>
      <c r="H854" s="14" t="str">
        <f t="shared" ref="H854" si="905">IF(NOT(ISNUMBER(VALUE(G854))), "NA",IF(VALUE(G854)&gt;83,"HIGH",IF(VALUE(G854)&lt;60,"LOW", "VALUE IN RANGE")))</f>
        <v>VALUE IN RANGE</v>
      </c>
    </row>
    <row r="855" spans="3:8" x14ac:dyDescent="0.25">
      <c r="C855" s="13"/>
      <c r="D855" s="4" t="s">
        <v>1525</v>
      </c>
      <c r="E855" s="1" t="s">
        <v>141</v>
      </c>
      <c r="F855" s="5">
        <v>2300</v>
      </c>
      <c r="G855" s="3">
        <f t="shared" si="885"/>
        <v>2300</v>
      </c>
      <c r="H855" s="14" t="str">
        <f t="shared" ref="H855" si="906">IF(NOT(ISNUMBER(VALUE(G855))), "NA",IF(VALUE(G855)&gt;5.1,"HIGH",IF(VALUE(G855)&lt;0.8,"LOW", "VALUE IN RANGE")))</f>
        <v>HIGH</v>
      </c>
    </row>
    <row r="856" spans="3:8" x14ac:dyDescent="0.25">
      <c r="C856" s="13"/>
      <c r="D856" s="4" t="s">
        <v>1525</v>
      </c>
      <c r="E856" s="4" t="s">
        <v>143</v>
      </c>
      <c r="F856" s="3" t="s">
        <v>41</v>
      </c>
      <c r="G856" s="3">
        <f t="shared" si="885"/>
        <v>0.9</v>
      </c>
      <c r="H856" s="14" t="str">
        <f t="shared" ref="H856" si="907">IF(NOT(ISNUMBER(VALUE(G856))), "NA",IF(VALUE(G856)&gt;1.8,"HIGH",IF(VALUE(G856)&lt;0,"LOW", "VALUE IN RANGE")))</f>
        <v>VALUE IN RANGE</v>
      </c>
    </row>
    <row r="857" spans="3:8" x14ac:dyDescent="0.25">
      <c r="C857" s="13"/>
      <c r="D857" s="4" t="s">
        <v>1525</v>
      </c>
      <c r="E857" s="1" t="s">
        <v>144</v>
      </c>
      <c r="F857" s="5">
        <v>11300</v>
      </c>
      <c r="G857" s="3">
        <f t="shared" si="885"/>
        <v>11300</v>
      </c>
      <c r="H857" s="14" t="str">
        <f t="shared" ref="H857" si="908">IF(NOT(ISNUMBER(VALUE(G857))), "NA",IF(VALUE(G857)&gt;12.6,"HIGH",IF(VALUE(G857)&lt;4,"LOW", "VALUE IN RANGE")))</f>
        <v>HIGH</v>
      </c>
    </row>
    <row r="858" spans="3:8" x14ac:dyDescent="0.25">
      <c r="C858" s="13"/>
      <c r="D858" s="4" t="s">
        <v>1525</v>
      </c>
      <c r="E858" s="4" t="s">
        <v>146</v>
      </c>
      <c r="F858" s="3" t="s">
        <v>617</v>
      </c>
      <c r="G858" s="3">
        <f t="shared" si="885"/>
        <v>12.19</v>
      </c>
      <c r="H858" s="14" t="str">
        <f t="shared" ref="H858" si="909">IF(NOT(ISNUMBER(VALUE(G858))), "NA",IF(VALUE(G858)&gt;8.5,"HIGH",IF(VALUE(G858)&lt;5.5,"LOW", "VALUE IN RANGE")))</f>
        <v>HIGH</v>
      </c>
    </row>
    <row r="859" spans="3:8" x14ac:dyDescent="0.25">
      <c r="C859" s="13"/>
      <c r="D859" s="4" t="s">
        <v>1525</v>
      </c>
      <c r="E859" s="1" t="s">
        <v>148</v>
      </c>
      <c r="F859" s="5">
        <v>148</v>
      </c>
      <c r="G859" s="3">
        <f t="shared" si="885"/>
        <v>148</v>
      </c>
      <c r="H859" s="14" t="str">
        <f t="shared" ref="H859" si="910">IF(NOT(ISNUMBER(VALUE(G859))), "NA",IF(VALUE(G859)&gt;190,"HIGH",IF(VALUE(G859)&lt;110,"LOW", "VALUE IN RANGE")))</f>
        <v>VALUE IN RANGE</v>
      </c>
    </row>
    <row r="860" spans="3:8" x14ac:dyDescent="0.25">
      <c r="C860" s="13"/>
      <c r="D860" s="4" t="s">
        <v>1525</v>
      </c>
      <c r="E860" s="4" t="s">
        <v>150</v>
      </c>
      <c r="F860" s="3" t="s">
        <v>618</v>
      </c>
      <c r="G860" s="3">
        <f t="shared" si="885"/>
        <v>52.6</v>
      </c>
      <c r="H860" s="14" t="str">
        <f t="shared" ref="H860" si="911">IF(NOT(ISNUMBER(VALUE(G860))), "NA",IF(VALUE(G860)&gt;56,"HIGH",IF(VALUE(G860)&lt;39,"LOW", "VALUE IN RANGE")))</f>
        <v>VALUE IN RANGE</v>
      </c>
    </row>
    <row r="861" spans="3:8" x14ac:dyDescent="0.25">
      <c r="C861" s="13"/>
      <c r="D861" s="4" t="s">
        <v>1525</v>
      </c>
      <c r="E861" s="1" t="s">
        <v>152</v>
      </c>
      <c r="F861" s="5" t="s">
        <v>619</v>
      </c>
      <c r="G861" s="3">
        <f t="shared" si="885"/>
        <v>43.2</v>
      </c>
      <c r="H861" s="14" t="str">
        <f t="shared" ref="H861" si="912">IF(NOT(ISNUMBER(VALUE(G861))), "NA",IF(VALUE(G861)&gt;72,"HIGH",IF(VALUE(G861)&lt;62,"LOW", "VALUE IN RANGE")))</f>
        <v>LOW</v>
      </c>
    </row>
    <row r="862" spans="3:8" x14ac:dyDescent="0.25">
      <c r="C862" s="13"/>
      <c r="D862" s="4" t="s">
        <v>1525</v>
      </c>
      <c r="E862" s="4" t="s">
        <v>154</v>
      </c>
      <c r="F862" s="3" t="s">
        <v>414</v>
      </c>
      <c r="G862" s="3">
        <f t="shared" si="885"/>
        <v>12.1</v>
      </c>
      <c r="H862" s="14" t="str">
        <f t="shared" ref="H862" si="913">IF(NOT(ISNUMBER(VALUE(G862))), "NA",IF(VALUE(G862)&gt;25,"HIGH",IF(VALUE(G862)&lt;20,"LOW", "VALUE IN RANGE")))</f>
        <v>LOW</v>
      </c>
    </row>
    <row r="863" spans="3:8" x14ac:dyDescent="0.25">
      <c r="C863" s="13"/>
      <c r="D863" s="4" t="s">
        <v>1525</v>
      </c>
      <c r="E863" s="1" t="s">
        <v>27</v>
      </c>
      <c r="F863" s="5">
        <v>281</v>
      </c>
      <c r="G863" s="3">
        <f t="shared" si="885"/>
        <v>281</v>
      </c>
      <c r="H863" s="14" t="str">
        <f t="shared" ref="H863" si="914">IF(NOT(ISNUMBER(VALUE(G863))), "NA",IF(VALUE(G863)&gt;380,"HIGH",IF(VALUE(G863)&lt;300,"LOW", "VALUE IN RANGE")))</f>
        <v>LOW</v>
      </c>
    </row>
    <row r="864" spans="3:8" x14ac:dyDescent="0.25">
      <c r="C864" s="13"/>
      <c r="D864" s="4" t="s">
        <v>1525</v>
      </c>
      <c r="E864" s="4" t="s">
        <v>157</v>
      </c>
      <c r="F864" s="3" t="s">
        <v>620</v>
      </c>
      <c r="G864" s="3">
        <f t="shared" si="885"/>
        <v>16.3</v>
      </c>
      <c r="H864" s="14" t="str">
        <f t="shared" ref="H864" si="915">IF(NOT(ISNUMBER(VALUE(G864))), "NA",IF(VALUE(G864)&gt;15.5,"HIGH",IF(VALUE(G864)&lt;11,"LOW", "VALUE IN RANGE")))</f>
        <v>HIGH</v>
      </c>
    </row>
    <row r="865" spans="3:8" x14ac:dyDescent="0.25">
      <c r="C865" s="13"/>
      <c r="D865" s="4" t="s">
        <v>1525</v>
      </c>
      <c r="E865" s="1" t="s">
        <v>159</v>
      </c>
      <c r="F865" s="5">
        <v>617</v>
      </c>
      <c r="G865" s="3">
        <f t="shared" si="885"/>
        <v>617</v>
      </c>
      <c r="H865" s="14" t="str">
        <f t="shared" ref="H865" si="916">IF(NOT(ISNUMBER(VALUE(G865))), "NA",IF(VALUE(G865)&gt;460,"HIGH",IF(VALUE(G865)&lt;117,"LOW", "VALUE IN RANGE")))</f>
        <v>HIGH</v>
      </c>
    </row>
    <row r="866" spans="3:8" x14ac:dyDescent="0.25">
      <c r="C866" s="13"/>
      <c r="D866" s="4" t="s">
        <v>1525</v>
      </c>
      <c r="E866" s="4" t="s">
        <v>161</v>
      </c>
      <c r="F866" s="3" t="s">
        <v>341</v>
      </c>
      <c r="G866" s="3">
        <f t="shared" si="885"/>
        <v>11.8</v>
      </c>
      <c r="H866" s="14" t="str">
        <f t="shared" ref="H866" si="917">IF(NOT(ISNUMBER(VALUE(G866))), "NA",IF(VALUE(G866)&gt;12,"HIGH",IF(VALUE(G866)&lt;7,"LOW", "VALUE IN RANGE")))</f>
        <v>VALUE IN RANGE</v>
      </c>
    </row>
    <row r="867" spans="3:8" x14ac:dyDescent="0.25">
      <c r="C867" s="13" t="str">
        <f t="shared" ref="C867" si="918">IF(D867=D882,D881,"falso")</f>
        <v>PATIENT_0055</v>
      </c>
      <c r="D867" s="4" t="s">
        <v>1526</v>
      </c>
      <c r="E867" s="1" t="s">
        <v>3</v>
      </c>
      <c r="F867" s="5" t="s">
        <v>622</v>
      </c>
      <c r="G867" s="3">
        <f t="shared" si="885"/>
        <v>32.299999999999997</v>
      </c>
      <c r="H867" s="14" t="str">
        <f t="shared" ref="H867" si="919">IF(NOT(ISNUMBER(VALUE(G867))), "NA",IF(VALUE(G867)&gt;17,"HIGH",IF(VALUE(G867)&lt;6,"LOW", "VALUE IN RANGE")))</f>
        <v>HIGH</v>
      </c>
    </row>
    <row r="868" spans="3:8" x14ac:dyDescent="0.25">
      <c r="C868" s="13"/>
      <c r="D868" s="4" t="s">
        <v>1526</v>
      </c>
      <c r="E868" s="4" t="s">
        <v>5</v>
      </c>
      <c r="F868" s="3" t="s">
        <v>257</v>
      </c>
      <c r="G868" s="3">
        <f t="shared" si="885"/>
        <v>5.2</v>
      </c>
      <c r="H868" s="14" t="str">
        <f t="shared" ref="H868" si="920">IF(NOT(ISNUMBER(VALUE(G868))), "NA",IF(VALUE(G868)&gt;30,"HIGH",IF(VALUE(G868)&lt;12,"LOW", "VALUE IN RANGE")))</f>
        <v>LOW</v>
      </c>
    </row>
    <row r="869" spans="3:8" x14ac:dyDescent="0.25">
      <c r="C869" s="13"/>
      <c r="D869" s="4" t="s">
        <v>1526</v>
      </c>
      <c r="E869" s="1" t="s">
        <v>7</v>
      </c>
      <c r="F869" s="5" t="s">
        <v>205</v>
      </c>
      <c r="G869" s="3">
        <f t="shared" si="885"/>
        <v>2.7</v>
      </c>
      <c r="H869" s="14" t="str">
        <f t="shared" ref="H869" si="921">IF(NOT(ISNUMBER(VALUE(G869))), "NA",IF(VALUE(G869)&gt;9,"HIGH",IF(VALUE(G869)&lt;2,"LOW", "VALUE IN RANGE")))</f>
        <v>VALUE IN RANGE</v>
      </c>
    </row>
    <row r="870" spans="3:8" x14ac:dyDescent="0.25">
      <c r="C870" s="13"/>
      <c r="D870" s="4" t="s">
        <v>1526</v>
      </c>
      <c r="E870" s="4" t="s">
        <v>9</v>
      </c>
      <c r="F870" s="3" t="s">
        <v>623</v>
      </c>
      <c r="G870" s="3">
        <f t="shared" si="885"/>
        <v>92.1</v>
      </c>
      <c r="H870" s="14" t="str">
        <f t="shared" ref="H870" si="922">IF(NOT(ISNUMBER(VALUE(G870))), "NA",IF(VALUE(G870)&gt;83,"HIGH",IF(VALUE(G870)&lt;60,"LOW", "VALUE IN RANGE")))</f>
        <v>HIGH</v>
      </c>
    </row>
    <row r="871" spans="3:8" x14ac:dyDescent="0.25">
      <c r="C871" s="13"/>
      <c r="D871" s="4" t="s">
        <v>1526</v>
      </c>
      <c r="E871" s="1" t="s">
        <v>11</v>
      </c>
      <c r="F871" s="5">
        <v>1600</v>
      </c>
      <c r="G871" s="3">
        <f t="shared" si="885"/>
        <v>1600</v>
      </c>
      <c r="H871" s="14" t="str">
        <f t="shared" ref="H871" si="923">IF(NOT(ISNUMBER(VALUE(G871))), "NA",IF(VALUE(G871)&gt;5.1,"HIGH",IF(VALUE(G871)&lt;0.8,"LOW", "VALUE IN RANGE")))</f>
        <v>HIGH</v>
      </c>
    </row>
    <row r="872" spans="3:8" x14ac:dyDescent="0.25">
      <c r="C872" s="13"/>
      <c r="D872" s="4" t="s">
        <v>1526</v>
      </c>
      <c r="E872" s="4" t="s">
        <v>13</v>
      </c>
      <c r="F872" s="3" t="s">
        <v>476</v>
      </c>
      <c r="G872" s="3">
        <f t="shared" si="885"/>
        <v>0.8</v>
      </c>
      <c r="H872" s="14" t="str">
        <f t="shared" ref="H872" si="924">IF(NOT(ISNUMBER(VALUE(G872))), "NA",IF(VALUE(G872)&gt;1.8,"HIGH",IF(VALUE(G872)&lt;0,"LOW", "VALUE IN RANGE")))</f>
        <v>VALUE IN RANGE</v>
      </c>
    </row>
    <row r="873" spans="3:8" x14ac:dyDescent="0.25">
      <c r="C873" s="13"/>
      <c r="D873" s="4" t="s">
        <v>1526</v>
      </c>
      <c r="E873" s="1" t="s">
        <v>15</v>
      </c>
      <c r="F873" s="5">
        <v>29900</v>
      </c>
      <c r="G873" s="3">
        <f t="shared" si="885"/>
        <v>29900</v>
      </c>
      <c r="H873" s="14" t="str">
        <f t="shared" ref="H873" si="925">IF(NOT(ISNUMBER(VALUE(G873))), "NA",IF(VALUE(G873)&gt;12.6,"HIGH",IF(VALUE(G873)&lt;4,"LOW", "VALUE IN RANGE")))</f>
        <v>HIGH</v>
      </c>
    </row>
    <row r="874" spans="3:8" x14ac:dyDescent="0.25">
      <c r="C874" s="13"/>
      <c r="D874" s="4" t="s">
        <v>1526</v>
      </c>
      <c r="E874" s="4" t="s">
        <v>17</v>
      </c>
      <c r="F874" s="3" t="s">
        <v>625</v>
      </c>
      <c r="G874" s="3">
        <f t="shared" si="885"/>
        <v>5.01</v>
      </c>
      <c r="H874" s="14" t="str">
        <f t="shared" ref="H874" si="926">IF(NOT(ISNUMBER(VALUE(G874))), "NA",IF(VALUE(G874)&gt;8.5,"HIGH",IF(VALUE(G874)&lt;5.5,"LOW", "VALUE IN RANGE")))</f>
        <v>LOW</v>
      </c>
    </row>
    <row r="875" spans="3:8" x14ac:dyDescent="0.25">
      <c r="C875" s="13"/>
      <c r="D875" s="4" t="s">
        <v>1526</v>
      </c>
      <c r="E875" s="1" t="s">
        <v>19</v>
      </c>
      <c r="F875" s="5">
        <v>116</v>
      </c>
      <c r="G875" s="3">
        <f t="shared" si="885"/>
        <v>116</v>
      </c>
      <c r="H875" s="14" t="str">
        <f t="shared" ref="H875" si="927">IF(NOT(ISNUMBER(VALUE(G875))), "NA",IF(VALUE(G875)&gt;190,"HIGH",IF(VALUE(G875)&lt;110,"LOW", "VALUE IN RANGE")))</f>
        <v>VALUE IN RANGE</v>
      </c>
    </row>
    <row r="876" spans="3:8" x14ac:dyDescent="0.25">
      <c r="C876" s="13"/>
      <c r="D876" s="4" t="s">
        <v>1526</v>
      </c>
      <c r="E876" s="4" t="s">
        <v>21</v>
      </c>
      <c r="F876" s="3" t="s">
        <v>627</v>
      </c>
      <c r="G876" s="3">
        <f t="shared" si="885"/>
        <v>33</v>
      </c>
      <c r="H876" s="14" t="str">
        <f t="shared" ref="H876" si="928">IF(NOT(ISNUMBER(VALUE(G876))), "NA",IF(VALUE(G876)&gt;56,"HIGH",IF(VALUE(G876)&lt;39,"LOW", "VALUE IN RANGE")))</f>
        <v>LOW</v>
      </c>
    </row>
    <row r="877" spans="3:8" x14ac:dyDescent="0.25">
      <c r="C877" s="13"/>
      <c r="D877" s="4" t="s">
        <v>1526</v>
      </c>
      <c r="E877" s="1" t="s">
        <v>23</v>
      </c>
      <c r="F877" s="5" t="s">
        <v>628</v>
      </c>
      <c r="G877" s="3">
        <f t="shared" si="885"/>
        <v>65.900000000000006</v>
      </c>
      <c r="H877" s="14" t="str">
        <f t="shared" ref="H877" si="929">IF(NOT(ISNUMBER(VALUE(G877))), "NA",IF(VALUE(G877)&gt;72,"HIGH",IF(VALUE(G877)&lt;62,"LOW", "VALUE IN RANGE")))</f>
        <v>VALUE IN RANGE</v>
      </c>
    </row>
    <row r="878" spans="3:8" x14ac:dyDescent="0.25">
      <c r="C878" s="13"/>
      <c r="D878" s="4" t="s">
        <v>1526</v>
      </c>
      <c r="E878" s="4" t="s">
        <v>25</v>
      </c>
      <c r="F878" s="3" t="s">
        <v>115</v>
      </c>
      <c r="G878" s="3">
        <f t="shared" si="885"/>
        <v>23.1</v>
      </c>
      <c r="H878" s="14" t="str">
        <f t="shared" ref="H878" si="930">IF(NOT(ISNUMBER(VALUE(G878))), "NA",IF(VALUE(G878)&gt;25,"HIGH",IF(VALUE(G878)&lt;20,"LOW", "VALUE IN RANGE")))</f>
        <v>VALUE IN RANGE</v>
      </c>
    </row>
    <row r="879" spans="3:8" x14ac:dyDescent="0.25">
      <c r="C879" s="13"/>
      <c r="D879" s="4" t="s">
        <v>1526</v>
      </c>
      <c r="E879" s="1" t="s">
        <v>27</v>
      </c>
      <c r="F879" s="5">
        <v>351</v>
      </c>
      <c r="G879" s="3">
        <f t="shared" si="885"/>
        <v>351</v>
      </c>
      <c r="H879" s="14" t="str">
        <f t="shared" ref="H879" si="931">IF(NOT(ISNUMBER(VALUE(G879))), "NA",IF(VALUE(G879)&gt;380,"HIGH",IF(VALUE(G879)&lt;300,"LOW", "VALUE IN RANGE")))</f>
        <v>VALUE IN RANGE</v>
      </c>
    </row>
    <row r="880" spans="3:8" x14ac:dyDescent="0.25">
      <c r="C880" s="13"/>
      <c r="D880" s="4" t="s">
        <v>1526</v>
      </c>
      <c r="E880" s="4" t="s">
        <v>29</v>
      </c>
      <c r="F880" s="3" t="s">
        <v>360</v>
      </c>
      <c r="G880" s="3">
        <f t="shared" si="885"/>
        <v>12.2</v>
      </c>
      <c r="H880" s="14" t="str">
        <f t="shared" ref="H880" si="932">IF(NOT(ISNUMBER(VALUE(G880))), "NA",IF(VALUE(G880)&gt;15.5,"HIGH",IF(VALUE(G880)&lt;11,"LOW", "VALUE IN RANGE")))</f>
        <v>VALUE IN RANGE</v>
      </c>
    </row>
    <row r="881" spans="3:8" x14ac:dyDescent="0.25">
      <c r="C881" s="13"/>
      <c r="D881" s="4" t="s">
        <v>1526</v>
      </c>
      <c r="E881" s="1" t="s">
        <v>31</v>
      </c>
      <c r="F881" s="5">
        <v>299</v>
      </c>
      <c r="G881" s="3">
        <f t="shared" si="885"/>
        <v>299</v>
      </c>
      <c r="H881" s="14" t="str">
        <f t="shared" ref="H881" si="933">IF(NOT(ISNUMBER(VALUE(G881))), "NA",IF(VALUE(G881)&gt;460,"HIGH",IF(VALUE(G881)&lt;117,"LOW", "VALUE IN RANGE")))</f>
        <v>VALUE IN RANGE</v>
      </c>
    </row>
    <row r="882" spans="3:8" x14ac:dyDescent="0.25">
      <c r="C882" s="13"/>
      <c r="D882" s="4" t="s">
        <v>1526</v>
      </c>
      <c r="E882" s="4" t="s">
        <v>33</v>
      </c>
      <c r="F882" s="3" t="s">
        <v>279</v>
      </c>
      <c r="G882" s="3">
        <f t="shared" si="885"/>
        <v>9.5</v>
      </c>
      <c r="H882" s="14" t="str">
        <f t="shared" ref="H882" si="934">IF(NOT(ISNUMBER(VALUE(G882))), "NA",IF(VALUE(G882)&gt;12,"HIGH",IF(VALUE(G882)&lt;7,"LOW", "VALUE IN RANGE")))</f>
        <v>VALUE IN RANGE</v>
      </c>
    </row>
    <row r="883" spans="3:8" x14ac:dyDescent="0.25">
      <c r="C883" s="13" t="str">
        <f t="shared" ref="C883" si="935">IF(D883=D898,D897,"falso")</f>
        <v>PATIENT_0056</v>
      </c>
      <c r="D883" s="4" t="s">
        <v>1527</v>
      </c>
      <c r="E883" s="1" t="s">
        <v>134</v>
      </c>
      <c r="F883" s="5" t="s">
        <v>630</v>
      </c>
      <c r="G883" s="3">
        <f t="shared" si="885"/>
        <v>54.3</v>
      </c>
      <c r="H883" s="14" t="str">
        <f t="shared" ref="H883" si="936">IF(NOT(ISNUMBER(VALUE(G883))), "NA",IF(VALUE(G883)&gt;17,"HIGH",IF(VALUE(G883)&lt;6,"LOW", "VALUE IN RANGE")))</f>
        <v>HIGH</v>
      </c>
    </row>
    <row r="884" spans="3:8" x14ac:dyDescent="0.25">
      <c r="C884" s="13"/>
      <c r="D884" s="4" t="s">
        <v>1527</v>
      </c>
      <c r="E884" s="4" t="s">
        <v>136</v>
      </c>
      <c r="F884" s="3" t="s">
        <v>605</v>
      </c>
      <c r="G884" s="3">
        <f t="shared" si="885"/>
        <v>9.9</v>
      </c>
      <c r="H884" s="14" t="str">
        <f t="shared" ref="H884" si="937">IF(NOT(ISNUMBER(VALUE(G884))), "NA",IF(VALUE(G884)&gt;30,"HIGH",IF(VALUE(G884)&lt;12,"LOW", "VALUE IN RANGE")))</f>
        <v>LOW</v>
      </c>
    </row>
    <row r="885" spans="3:8" x14ac:dyDescent="0.25">
      <c r="C885" s="13"/>
      <c r="D885" s="4" t="s">
        <v>1527</v>
      </c>
      <c r="E885" s="1" t="s">
        <v>7</v>
      </c>
      <c r="F885" s="5" t="s">
        <v>631</v>
      </c>
      <c r="G885" s="3">
        <f t="shared" si="885"/>
        <v>5.6</v>
      </c>
      <c r="H885" s="14" t="str">
        <f t="shared" ref="H885" si="938">IF(NOT(ISNUMBER(VALUE(G885))), "NA",IF(VALUE(G885)&gt;9,"HIGH",IF(VALUE(G885)&lt;2,"LOW", "VALUE IN RANGE")))</f>
        <v>VALUE IN RANGE</v>
      </c>
    </row>
    <row r="886" spans="3:8" x14ac:dyDescent="0.25">
      <c r="C886" s="13"/>
      <c r="D886" s="4" t="s">
        <v>1527</v>
      </c>
      <c r="E886" s="4" t="s">
        <v>139</v>
      </c>
      <c r="F886" s="3" t="s">
        <v>632</v>
      </c>
      <c r="G886" s="3">
        <f t="shared" si="885"/>
        <v>84.5</v>
      </c>
      <c r="H886" s="14" t="str">
        <f t="shared" ref="H886" si="939">IF(NOT(ISNUMBER(VALUE(G886))), "NA",IF(VALUE(G886)&gt;83,"HIGH",IF(VALUE(G886)&lt;60,"LOW", "VALUE IN RANGE")))</f>
        <v>HIGH</v>
      </c>
    </row>
    <row r="887" spans="3:8" x14ac:dyDescent="0.25">
      <c r="C887" s="13"/>
      <c r="D887" s="4" t="s">
        <v>1527</v>
      </c>
      <c r="E887" s="1" t="s">
        <v>141</v>
      </c>
      <c r="F887" s="5">
        <v>5300</v>
      </c>
      <c r="G887" s="3">
        <f t="shared" si="885"/>
        <v>5300</v>
      </c>
      <c r="H887" s="14" t="str">
        <f t="shared" ref="H887" si="940">IF(NOT(ISNUMBER(VALUE(G887))), "NA",IF(VALUE(G887)&gt;5.1,"HIGH",IF(VALUE(G887)&lt;0.8,"LOW", "VALUE IN RANGE")))</f>
        <v>HIGH</v>
      </c>
    </row>
    <row r="888" spans="3:8" x14ac:dyDescent="0.25">
      <c r="C888" s="13"/>
      <c r="D888" s="4" t="s">
        <v>1527</v>
      </c>
      <c r="E888" s="4" t="s">
        <v>143</v>
      </c>
      <c r="F888" s="3">
        <v>3000</v>
      </c>
      <c r="G888" s="3">
        <f t="shared" si="885"/>
        <v>3000</v>
      </c>
      <c r="H888" s="14" t="str">
        <f t="shared" ref="H888" si="941">IF(NOT(ISNUMBER(VALUE(G888))), "NA",IF(VALUE(G888)&gt;1.8,"HIGH",IF(VALUE(G888)&lt;0,"LOW", "VALUE IN RANGE")))</f>
        <v>HIGH</v>
      </c>
    </row>
    <row r="889" spans="3:8" x14ac:dyDescent="0.25">
      <c r="C889" s="13"/>
      <c r="D889" s="4" t="s">
        <v>1527</v>
      </c>
      <c r="E889" s="1" t="s">
        <v>144</v>
      </c>
      <c r="F889" s="5">
        <v>46000</v>
      </c>
      <c r="G889" s="3">
        <f t="shared" si="885"/>
        <v>46000</v>
      </c>
      <c r="H889" s="14" t="str">
        <f t="shared" ref="H889" si="942">IF(NOT(ISNUMBER(VALUE(G889))), "NA",IF(VALUE(G889)&gt;12.6,"HIGH",IF(VALUE(G889)&lt;4,"LOW", "VALUE IN RANGE")))</f>
        <v>HIGH</v>
      </c>
    </row>
    <row r="890" spans="3:8" x14ac:dyDescent="0.25">
      <c r="C890" s="13"/>
      <c r="D890" s="4" t="s">
        <v>1527</v>
      </c>
      <c r="E890" s="4" t="s">
        <v>146</v>
      </c>
      <c r="F890" s="3" t="s">
        <v>635</v>
      </c>
      <c r="G890" s="3">
        <f t="shared" si="885"/>
        <v>7.57</v>
      </c>
      <c r="H890" s="14" t="str">
        <f t="shared" ref="H890" si="943">IF(NOT(ISNUMBER(VALUE(G890))), "NA",IF(VALUE(G890)&gt;8.5,"HIGH",IF(VALUE(G890)&lt;5.5,"LOW", "VALUE IN RANGE")))</f>
        <v>VALUE IN RANGE</v>
      </c>
    </row>
    <row r="891" spans="3:8" x14ac:dyDescent="0.25">
      <c r="C891" s="13"/>
      <c r="D891" s="4" t="s">
        <v>1527</v>
      </c>
      <c r="E891" s="1" t="s">
        <v>148</v>
      </c>
      <c r="F891" s="5">
        <v>82</v>
      </c>
      <c r="G891" s="3">
        <f t="shared" si="885"/>
        <v>82</v>
      </c>
      <c r="H891" s="14" t="str">
        <f t="shared" ref="H891" si="944">IF(NOT(ISNUMBER(VALUE(G891))), "NA",IF(VALUE(G891)&gt;190,"HIGH",IF(VALUE(G891)&lt;110,"LOW", "VALUE IN RANGE")))</f>
        <v>LOW</v>
      </c>
    </row>
    <row r="892" spans="3:8" x14ac:dyDescent="0.25">
      <c r="C892" s="13"/>
      <c r="D892" s="4" t="s">
        <v>1527</v>
      </c>
      <c r="E892" s="4" t="s">
        <v>150</v>
      </c>
      <c r="F892" s="3" t="s">
        <v>99</v>
      </c>
      <c r="G892" s="3">
        <f t="shared" si="885"/>
        <v>30.8</v>
      </c>
      <c r="H892" s="14" t="str">
        <f t="shared" ref="H892" si="945">IF(NOT(ISNUMBER(VALUE(G892))), "NA",IF(VALUE(G892)&gt;56,"HIGH",IF(VALUE(G892)&lt;39,"LOW", "VALUE IN RANGE")))</f>
        <v>LOW</v>
      </c>
    </row>
    <row r="893" spans="3:8" x14ac:dyDescent="0.25">
      <c r="C893" s="13"/>
      <c r="D893" s="4" t="s">
        <v>1527</v>
      </c>
      <c r="E893" s="1" t="s">
        <v>152</v>
      </c>
      <c r="F893" s="5" t="s">
        <v>637</v>
      </c>
      <c r="G893" s="3">
        <f t="shared" si="885"/>
        <v>40.799999999999997</v>
      </c>
      <c r="H893" s="14" t="str">
        <f t="shared" ref="H893" si="946">IF(NOT(ISNUMBER(VALUE(G893))), "NA",IF(VALUE(G893)&gt;72,"HIGH",IF(VALUE(G893)&lt;62,"LOW", "VALUE IN RANGE")))</f>
        <v>LOW</v>
      </c>
    </row>
    <row r="894" spans="3:8" x14ac:dyDescent="0.25">
      <c r="C894" s="13"/>
      <c r="D894" s="4" t="s">
        <v>1527</v>
      </c>
      <c r="E894" s="4" t="s">
        <v>154</v>
      </c>
      <c r="F894" s="3" t="s">
        <v>393</v>
      </c>
      <c r="G894" s="3">
        <f t="shared" si="885"/>
        <v>10.8</v>
      </c>
      <c r="H894" s="14" t="str">
        <f t="shared" ref="H894" si="947">IF(NOT(ISNUMBER(VALUE(G894))), "NA",IF(VALUE(G894)&gt;25,"HIGH",IF(VALUE(G894)&lt;20,"LOW", "VALUE IN RANGE")))</f>
        <v>LOW</v>
      </c>
    </row>
    <row r="895" spans="3:8" x14ac:dyDescent="0.25">
      <c r="C895" s="13"/>
      <c r="D895" s="4" t="s">
        <v>1527</v>
      </c>
      <c r="E895" s="1" t="s">
        <v>27</v>
      </c>
      <c r="F895" s="5">
        <v>266</v>
      </c>
      <c r="G895" s="3">
        <f t="shared" si="885"/>
        <v>266</v>
      </c>
      <c r="H895" s="14" t="str">
        <f t="shared" ref="H895" si="948">IF(NOT(ISNUMBER(VALUE(G895))), "NA",IF(VALUE(G895)&gt;380,"HIGH",IF(VALUE(G895)&lt;300,"LOW", "VALUE IN RANGE")))</f>
        <v>LOW</v>
      </c>
    </row>
    <row r="896" spans="3:8" x14ac:dyDescent="0.25">
      <c r="C896" s="13"/>
      <c r="D896" s="4" t="s">
        <v>1527</v>
      </c>
      <c r="E896" s="4" t="s">
        <v>157</v>
      </c>
      <c r="F896" s="3" t="s">
        <v>620</v>
      </c>
      <c r="G896" s="3">
        <f t="shared" si="885"/>
        <v>16.3</v>
      </c>
      <c r="H896" s="14" t="str">
        <f t="shared" ref="H896" si="949">IF(NOT(ISNUMBER(VALUE(G896))), "NA",IF(VALUE(G896)&gt;15.5,"HIGH",IF(VALUE(G896)&lt;11,"LOW", "VALUE IN RANGE")))</f>
        <v>HIGH</v>
      </c>
    </row>
    <row r="897" spans="3:8" x14ac:dyDescent="0.25">
      <c r="C897" s="13"/>
      <c r="D897" s="4" t="s">
        <v>1527</v>
      </c>
      <c r="E897" s="1" t="s">
        <v>159</v>
      </c>
      <c r="F897" s="5">
        <v>777</v>
      </c>
      <c r="G897" s="3">
        <f t="shared" si="885"/>
        <v>777</v>
      </c>
      <c r="H897" s="14" t="str">
        <f t="shared" ref="H897" si="950">IF(NOT(ISNUMBER(VALUE(G897))), "NA",IF(VALUE(G897)&gt;460,"HIGH",IF(VALUE(G897)&lt;117,"LOW", "VALUE IN RANGE")))</f>
        <v>HIGH</v>
      </c>
    </row>
    <row r="898" spans="3:8" x14ac:dyDescent="0.25">
      <c r="C898" s="13"/>
      <c r="D898" s="4" t="s">
        <v>1527</v>
      </c>
      <c r="E898" s="4" t="s">
        <v>161</v>
      </c>
      <c r="F898" s="3" t="s">
        <v>640</v>
      </c>
      <c r="G898" s="3">
        <f t="shared" si="885"/>
        <v>11</v>
      </c>
      <c r="H898" s="14" t="str">
        <f t="shared" ref="H898" si="951">IF(NOT(ISNUMBER(VALUE(G898))), "NA",IF(VALUE(G898)&gt;12,"HIGH",IF(VALUE(G898)&lt;7,"LOW", "VALUE IN RANGE")))</f>
        <v>VALUE IN RANGE</v>
      </c>
    </row>
    <row r="899" spans="3:8" x14ac:dyDescent="0.25">
      <c r="C899" s="13" t="str">
        <f t="shared" ref="C899" si="952">IF(D899=D914,D913,"falso")</f>
        <v>PATIENT_0057</v>
      </c>
      <c r="D899" s="4" t="s">
        <v>1528</v>
      </c>
      <c r="E899" s="1" t="s">
        <v>3</v>
      </c>
      <c r="F899" s="5" t="s">
        <v>641</v>
      </c>
      <c r="G899" s="3">
        <f t="shared" si="885"/>
        <v>0.6</v>
      </c>
      <c r="H899" s="14" t="str">
        <f t="shared" ref="H899" si="953">IF(NOT(ISNUMBER(VALUE(G899))), "NA",IF(VALUE(G899)&gt;17,"HIGH",IF(VALUE(G899)&lt;6,"LOW", "VALUE IN RANGE")))</f>
        <v>LOW</v>
      </c>
    </row>
    <row r="900" spans="3:8" x14ac:dyDescent="0.25">
      <c r="C900" s="13"/>
      <c r="D900" s="4" t="s">
        <v>1528</v>
      </c>
      <c r="E900" s="4" t="s">
        <v>5</v>
      </c>
      <c r="F900" s="3" t="s">
        <v>642</v>
      </c>
      <c r="G900" s="3">
        <f t="shared" ref="G900:G963" si="954">IFERROR(
   VALUE(
      SUBSTITUTE(
         CLEAN(
            TRIM(F900)
         ),
         ".",
         ","
      )
   ),
   ""
)</f>
        <v>54</v>
      </c>
      <c r="H900" s="14" t="str">
        <f t="shared" ref="H900" si="955">IF(NOT(ISNUMBER(VALUE(G900))), "NA",IF(VALUE(G900)&gt;30,"HIGH",IF(VALUE(G900)&lt;12,"LOW", "VALUE IN RANGE")))</f>
        <v>HIGH</v>
      </c>
    </row>
    <row r="901" spans="3:8" x14ac:dyDescent="0.25">
      <c r="C901" s="13"/>
      <c r="D901" s="4" t="s">
        <v>1528</v>
      </c>
      <c r="E901" s="1" t="s">
        <v>7</v>
      </c>
      <c r="F901" s="5" t="s">
        <v>138</v>
      </c>
      <c r="G901" s="3">
        <f t="shared" si="954"/>
        <v>6</v>
      </c>
      <c r="H901" s="14" t="str">
        <f t="shared" ref="H901" si="956">IF(NOT(ISNUMBER(VALUE(G901))), "NA",IF(VALUE(G901)&gt;9,"HIGH",IF(VALUE(G901)&lt;2,"LOW", "VALUE IN RANGE")))</f>
        <v>VALUE IN RANGE</v>
      </c>
    </row>
    <row r="902" spans="3:8" x14ac:dyDescent="0.25">
      <c r="C902" s="13"/>
      <c r="D902" s="4" t="s">
        <v>1528</v>
      </c>
      <c r="E902" s="4" t="s">
        <v>9</v>
      </c>
      <c r="F902" s="3" t="s">
        <v>91</v>
      </c>
      <c r="G902" s="3">
        <f t="shared" si="954"/>
        <v>40</v>
      </c>
      <c r="H902" s="14" t="str">
        <f t="shared" ref="H902" si="957">IF(NOT(ISNUMBER(VALUE(G902))), "NA",IF(VALUE(G902)&gt;83,"HIGH",IF(VALUE(G902)&lt;60,"LOW", "VALUE IN RANGE")))</f>
        <v>LOW</v>
      </c>
    </row>
    <row r="903" spans="3:8" x14ac:dyDescent="0.25">
      <c r="C903" s="13"/>
      <c r="D903" s="4" t="s">
        <v>1528</v>
      </c>
      <c r="E903" s="1" t="s">
        <v>11</v>
      </c>
      <c r="F903" s="5" t="s">
        <v>14</v>
      </c>
      <c r="G903" s="3">
        <f t="shared" si="954"/>
        <v>0.3</v>
      </c>
      <c r="H903" s="14" t="str">
        <f t="shared" ref="H903" si="958">IF(NOT(ISNUMBER(VALUE(G903))), "NA",IF(VALUE(G903)&gt;5.1,"HIGH",IF(VALUE(G903)&lt;0.8,"LOW", "VALUE IN RANGE")))</f>
        <v>LOW</v>
      </c>
    </row>
    <row r="904" spans="3:8" x14ac:dyDescent="0.25">
      <c r="C904" s="13"/>
      <c r="D904" s="4" t="s">
        <v>1528</v>
      </c>
      <c r="E904" s="4" t="s">
        <v>13</v>
      </c>
      <c r="F904" s="3" t="s">
        <v>39</v>
      </c>
      <c r="G904" s="3">
        <f t="shared" si="954"/>
        <v>0</v>
      </c>
      <c r="H904" s="14" t="str">
        <f t="shared" ref="H904" si="959">IF(NOT(ISNUMBER(VALUE(G904))), "NA",IF(VALUE(G904)&gt;1.8,"HIGH",IF(VALUE(G904)&lt;0,"LOW", "VALUE IN RANGE")))</f>
        <v>VALUE IN RANGE</v>
      </c>
    </row>
    <row r="905" spans="3:8" x14ac:dyDescent="0.25">
      <c r="C905" s="13"/>
      <c r="D905" s="4" t="s">
        <v>1528</v>
      </c>
      <c r="E905" s="1" t="s">
        <v>15</v>
      </c>
      <c r="F905" s="5" t="s">
        <v>14</v>
      </c>
      <c r="G905" s="3">
        <f t="shared" si="954"/>
        <v>0.3</v>
      </c>
      <c r="H905" s="14" t="str">
        <f t="shared" ref="H905" si="960">IF(NOT(ISNUMBER(VALUE(G905))), "NA",IF(VALUE(G905)&gt;12.6,"HIGH",IF(VALUE(G905)&lt;4,"LOW", "VALUE IN RANGE")))</f>
        <v>LOW</v>
      </c>
    </row>
    <row r="906" spans="3:8" x14ac:dyDescent="0.25">
      <c r="C906" s="13"/>
      <c r="D906" s="4" t="s">
        <v>1528</v>
      </c>
      <c r="E906" s="4" t="s">
        <v>17</v>
      </c>
      <c r="F906" s="3" t="s">
        <v>643</v>
      </c>
      <c r="G906" s="3">
        <f t="shared" si="954"/>
        <v>1.1399999999999999</v>
      </c>
      <c r="H906" s="14" t="str">
        <f t="shared" ref="H906" si="961">IF(NOT(ISNUMBER(VALUE(G906))), "NA",IF(VALUE(G906)&gt;8.5,"HIGH",IF(VALUE(G906)&lt;5.5,"LOW", "VALUE IN RANGE")))</f>
        <v>LOW</v>
      </c>
    </row>
    <row r="907" spans="3:8" x14ac:dyDescent="0.25">
      <c r="C907" s="13"/>
      <c r="D907" s="4" t="s">
        <v>1528</v>
      </c>
      <c r="E907" s="1" t="s">
        <v>19</v>
      </c>
      <c r="F907" s="5">
        <v>26</v>
      </c>
      <c r="G907" s="3">
        <f t="shared" si="954"/>
        <v>26</v>
      </c>
      <c r="H907" s="14" t="str">
        <f t="shared" ref="H907" si="962">IF(NOT(ISNUMBER(VALUE(G907))), "NA",IF(VALUE(G907)&gt;190,"HIGH",IF(VALUE(G907)&lt;110,"LOW", "VALUE IN RANGE")))</f>
        <v>LOW</v>
      </c>
    </row>
    <row r="908" spans="3:8" x14ac:dyDescent="0.25">
      <c r="C908" s="13"/>
      <c r="D908" s="4" t="s">
        <v>1528</v>
      </c>
      <c r="E908" s="4" t="s">
        <v>21</v>
      </c>
      <c r="F908" s="3" t="s">
        <v>645</v>
      </c>
      <c r="G908" s="3">
        <f t="shared" si="954"/>
        <v>7.5</v>
      </c>
      <c r="H908" s="14" t="str">
        <f t="shared" ref="H908" si="963">IF(NOT(ISNUMBER(VALUE(G908))), "NA",IF(VALUE(G908)&gt;56,"HIGH",IF(VALUE(G908)&lt;39,"LOW", "VALUE IN RANGE")))</f>
        <v>LOW</v>
      </c>
    </row>
    <row r="909" spans="3:8" x14ac:dyDescent="0.25">
      <c r="C909" s="13"/>
      <c r="D909" s="4" t="s">
        <v>1528</v>
      </c>
      <c r="E909" s="1" t="s">
        <v>23</v>
      </c>
      <c r="F909" s="5" t="s">
        <v>628</v>
      </c>
      <c r="G909" s="3">
        <f t="shared" si="954"/>
        <v>65.900000000000006</v>
      </c>
      <c r="H909" s="14" t="str">
        <f t="shared" ref="H909" si="964">IF(NOT(ISNUMBER(VALUE(G909))), "NA",IF(VALUE(G909)&gt;72,"HIGH",IF(VALUE(G909)&lt;62,"LOW", "VALUE IN RANGE")))</f>
        <v>VALUE IN RANGE</v>
      </c>
    </row>
    <row r="910" spans="3:8" x14ac:dyDescent="0.25">
      <c r="C910" s="13"/>
      <c r="D910" s="4" t="s">
        <v>1528</v>
      </c>
      <c r="E910" s="4" t="s">
        <v>25</v>
      </c>
      <c r="F910" s="3" t="s">
        <v>228</v>
      </c>
      <c r="G910" s="3">
        <f t="shared" si="954"/>
        <v>22.8</v>
      </c>
      <c r="H910" s="14" t="str">
        <f t="shared" ref="H910" si="965">IF(NOT(ISNUMBER(VALUE(G910))), "NA",IF(VALUE(G910)&gt;25,"HIGH",IF(VALUE(G910)&lt;20,"LOW", "VALUE IN RANGE")))</f>
        <v>VALUE IN RANGE</v>
      </c>
    </row>
    <row r="911" spans="3:8" x14ac:dyDescent="0.25">
      <c r="C911" s="13"/>
      <c r="D911" s="4" t="s">
        <v>1528</v>
      </c>
      <c r="E911" s="1" t="s">
        <v>27</v>
      </c>
      <c r="F911" s="5">
        <v>346</v>
      </c>
      <c r="G911" s="3">
        <f t="shared" si="954"/>
        <v>346</v>
      </c>
      <c r="H911" s="14" t="str">
        <f t="shared" ref="H911" si="966">IF(NOT(ISNUMBER(VALUE(G911))), "NA",IF(VALUE(G911)&gt;380,"HIGH",IF(VALUE(G911)&lt;300,"LOW", "VALUE IN RANGE")))</f>
        <v>VALUE IN RANGE</v>
      </c>
    </row>
    <row r="912" spans="3:8" x14ac:dyDescent="0.25">
      <c r="C912" s="13"/>
      <c r="D912" s="4" t="s">
        <v>1528</v>
      </c>
      <c r="E912" s="4" t="s">
        <v>29</v>
      </c>
      <c r="F912" s="3" t="s">
        <v>392</v>
      </c>
      <c r="G912" s="3">
        <f t="shared" si="954"/>
        <v>15.2</v>
      </c>
      <c r="H912" s="14" t="str">
        <f t="shared" ref="H912" si="967">IF(NOT(ISNUMBER(VALUE(G912))), "NA",IF(VALUE(G912)&gt;15.5,"HIGH",IF(VALUE(G912)&lt;11,"LOW", "VALUE IN RANGE")))</f>
        <v>VALUE IN RANGE</v>
      </c>
    </row>
    <row r="913" spans="3:8" x14ac:dyDescent="0.25">
      <c r="C913" s="13"/>
      <c r="D913" s="4" t="s">
        <v>1528</v>
      </c>
      <c r="E913" s="1" t="s">
        <v>31</v>
      </c>
      <c r="F913" s="5">
        <v>3</v>
      </c>
      <c r="G913" s="3">
        <f t="shared" si="954"/>
        <v>3</v>
      </c>
      <c r="H913" s="14" t="str">
        <f t="shared" ref="H913" si="968">IF(NOT(ISNUMBER(VALUE(G913))), "NA",IF(VALUE(G913)&gt;460,"HIGH",IF(VALUE(G913)&lt;117,"LOW", "VALUE IN RANGE")))</f>
        <v>LOW</v>
      </c>
    </row>
    <row r="914" spans="3:8" x14ac:dyDescent="0.25">
      <c r="C914" s="13"/>
      <c r="D914" s="4" t="s">
        <v>1528</v>
      </c>
      <c r="E914" s="4" t="s">
        <v>33</v>
      </c>
      <c r="F914" s="3" t="s">
        <v>45</v>
      </c>
      <c r="G914" s="3" t="str">
        <f t="shared" si="954"/>
        <v/>
      </c>
      <c r="H914" s="14" t="str">
        <f t="shared" ref="H914" si="969">IF(NOT(ISNUMBER(VALUE(G914))), "NA",IF(VALUE(G914)&gt;12,"HIGH",IF(VALUE(G914)&lt;7,"LOW", "VALUE IN RANGE")))</f>
        <v>NA</v>
      </c>
    </row>
    <row r="915" spans="3:8" x14ac:dyDescent="0.25">
      <c r="C915" s="13" t="str">
        <f t="shared" ref="C915" si="970">IF(D915=D930,D929,"falso")</f>
        <v>PATIENT_0058</v>
      </c>
      <c r="D915" s="4" t="s">
        <v>1529</v>
      </c>
      <c r="E915" s="1" t="s">
        <v>3</v>
      </c>
      <c r="F915" s="5" t="s">
        <v>648</v>
      </c>
      <c r="G915" s="3">
        <f t="shared" si="954"/>
        <v>6.3</v>
      </c>
      <c r="H915" s="14" t="str">
        <f t="shared" ref="H915" si="971">IF(NOT(ISNUMBER(VALUE(G915))), "NA",IF(VALUE(G915)&gt;17,"HIGH",IF(VALUE(G915)&lt;6,"LOW", "VALUE IN RANGE")))</f>
        <v>VALUE IN RANGE</v>
      </c>
    </row>
    <row r="916" spans="3:8" x14ac:dyDescent="0.25">
      <c r="C916" s="13"/>
      <c r="D916" s="4" t="s">
        <v>1529</v>
      </c>
      <c r="E916" s="4" t="s">
        <v>5</v>
      </c>
      <c r="F916" s="3" t="s">
        <v>649</v>
      </c>
      <c r="G916" s="3">
        <f t="shared" si="954"/>
        <v>10.3</v>
      </c>
      <c r="H916" s="14" t="str">
        <f t="shared" ref="H916" si="972">IF(NOT(ISNUMBER(VALUE(G916))), "NA",IF(VALUE(G916)&gt;30,"HIGH",IF(VALUE(G916)&lt;12,"LOW", "VALUE IN RANGE")))</f>
        <v>LOW</v>
      </c>
    </row>
    <row r="917" spans="3:8" x14ac:dyDescent="0.25">
      <c r="C917" s="13"/>
      <c r="D917" s="4" t="s">
        <v>1529</v>
      </c>
      <c r="E917" s="1" t="s">
        <v>7</v>
      </c>
      <c r="F917" s="5" t="s">
        <v>407</v>
      </c>
      <c r="G917" s="3">
        <f t="shared" si="954"/>
        <v>3.7</v>
      </c>
      <c r="H917" s="14" t="str">
        <f t="shared" ref="H917" si="973">IF(NOT(ISNUMBER(VALUE(G917))), "NA",IF(VALUE(G917)&gt;9,"HIGH",IF(VALUE(G917)&lt;2,"LOW", "VALUE IN RANGE")))</f>
        <v>VALUE IN RANGE</v>
      </c>
    </row>
    <row r="918" spans="3:8" x14ac:dyDescent="0.25">
      <c r="C918" s="13"/>
      <c r="D918" s="4" t="s">
        <v>1529</v>
      </c>
      <c r="E918" s="4" t="s">
        <v>9</v>
      </c>
      <c r="F918" s="3" t="s">
        <v>650</v>
      </c>
      <c r="G918" s="3">
        <f t="shared" si="954"/>
        <v>86</v>
      </c>
      <c r="H918" s="14" t="str">
        <f t="shared" ref="H918" si="974">IF(NOT(ISNUMBER(VALUE(G918))), "NA",IF(VALUE(G918)&gt;83,"HIGH",IF(VALUE(G918)&lt;60,"LOW", "VALUE IN RANGE")))</f>
        <v>HIGH</v>
      </c>
    </row>
    <row r="919" spans="3:8" x14ac:dyDescent="0.25">
      <c r="C919" s="13"/>
      <c r="D919" s="4" t="s">
        <v>1529</v>
      </c>
      <c r="E919" s="1" t="s">
        <v>11</v>
      </c>
      <c r="F919" s="5" t="s">
        <v>52</v>
      </c>
      <c r="G919" s="3">
        <f t="shared" si="954"/>
        <v>0.6</v>
      </c>
      <c r="H919" s="14" t="str">
        <f t="shared" ref="H919" si="975">IF(NOT(ISNUMBER(VALUE(G919))), "NA",IF(VALUE(G919)&gt;5.1,"HIGH",IF(VALUE(G919)&lt;0.8,"LOW", "VALUE IN RANGE")))</f>
        <v>LOW</v>
      </c>
    </row>
    <row r="920" spans="3:8" x14ac:dyDescent="0.25">
      <c r="C920" s="13"/>
      <c r="D920" s="4" t="s">
        <v>1529</v>
      </c>
      <c r="E920" s="4" t="s">
        <v>13</v>
      </c>
      <c r="F920" s="3" t="s">
        <v>51</v>
      </c>
      <c r="G920" s="3">
        <f t="shared" si="954"/>
        <v>0.2</v>
      </c>
      <c r="H920" s="14" t="str">
        <f t="shared" ref="H920" si="976">IF(NOT(ISNUMBER(VALUE(G920))), "NA",IF(VALUE(G920)&gt;1.8,"HIGH",IF(VALUE(G920)&lt;0,"LOW", "VALUE IN RANGE")))</f>
        <v>VALUE IN RANGE</v>
      </c>
    </row>
    <row r="921" spans="3:8" x14ac:dyDescent="0.25">
      <c r="C921" s="13"/>
      <c r="D921" s="4" t="s">
        <v>1529</v>
      </c>
      <c r="E921" s="1" t="s">
        <v>15</v>
      </c>
      <c r="F921" s="5">
        <v>5500</v>
      </c>
      <c r="G921" s="3">
        <f t="shared" si="954"/>
        <v>5500</v>
      </c>
      <c r="H921" s="14" t="str">
        <f t="shared" ref="H921" si="977">IF(NOT(ISNUMBER(VALUE(G921))), "NA",IF(VALUE(G921)&gt;12.6,"HIGH",IF(VALUE(G921)&lt;4,"LOW", "VALUE IN RANGE")))</f>
        <v>HIGH</v>
      </c>
    </row>
    <row r="922" spans="3:8" x14ac:dyDescent="0.25">
      <c r="C922" s="13"/>
      <c r="D922" s="4" t="s">
        <v>1529</v>
      </c>
      <c r="E922" s="4" t="s">
        <v>17</v>
      </c>
      <c r="F922" s="3" t="s">
        <v>652</v>
      </c>
      <c r="G922" s="3">
        <f t="shared" si="954"/>
        <v>7.05</v>
      </c>
      <c r="H922" s="14" t="str">
        <f t="shared" ref="H922" si="978">IF(NOT(ISNUMBER(VALUE(G922))), "NA",IF(VALUE(G922)&gt;8.5,"HIGH",IF(VALUE(G922)&lt;5.5,"LOW", "VALUE IN RANGE")))</f>
        <v>VALUE IN RANGE</v>
      </c>
    </row>
    <row r="923" spans="3:8" x14ac:dyDescent="0.25">
      <c r="C923" s="13"/>
      <c r="D923" s="4" t="s">
        <v>1529</v>
      </c>
      <c r="E923" s="1" t="s">
        <v>19</v>
      </c>
      <c r="F923" s="5">
        <v>155</v>
      </c>
      <c r="G923" s="3">
        <f t="shared" si="954"/>
        <v>155</v>
      </c>
      <c r="H923" s="14" t="str">
        <f t="shared" ref="H923" si="979">IF(NOT(ISNUMBER(VALUE(G923))), "NA",IF(VALUE(G923)&gt;190,"HIGH",IF(VALUE(G923)&lt;110,"LOW", "VALUE IN RANGE")))</f>
        <v>VALUE IN RANGE</v>
      </c>
    </row>
    <row r="924" spans="3:8" x14ac:dyDescent="0.25">
      <c r="C924" s="13"/>
      <c r="D924" s="4" t="s">
        <v>1529</v>
      </c>
      <c r="E924" s="4" t="s">
        <v>21</v>
      </c>
      <c r="F924" s="3" t="s">
        <v>653</v>
      </c>
      <c r="G924" s="3">
        <f t="shared" si="954"/>
        <v>49.7</v>
      </c>
      <c r="H924" s="14" t="str">
        <f t="shared" ref="H924" si="980">IF(NOT(ISNUMBER(VALUE(G924))), "NA",IF(VALUE(G924)&gt;56,"HIGH",IF(VALUE(G924)&lt;39,"LOW", "VALUE IN RANGE")))</f>
        <v>VALUE IN RANGE</v>
      </c>
    </row>
    <row r="925" spans="3:8" x14ac:dyDescent="0.25">
      <c r="C925" s="13"/>
      <c r="D925" s="4" t="s">
        <v>1529</v>
      </c>
      <c r="E925" s="1" t="s">
        <v>23</v>
      </c>
      <c r="F925" s="5" t="s">
        <v>654</v>
      </c>
      <c r="G925" s="3">
        <f t="shared" si="954"/>
        <v>70.599999999999994</v>
      </c>
      <c r="H925" s="14" t="str">
        <f t="shared" ref="H925" si="981">IF(NOT(ISNUMBER(VALUE(G925))), "NA",IF(VALUE(G925)&gt;72,"HIGH",IF(VALUE(G925)&lt;62,"LOW", "VALUE IN RANGE")))</f>
        <v>VALUE IN RANGE</v>
      </c>
    </row>
    <row r="926" spans="3:8" x14ac:dyDescent="0.25">
      <c r="C926" s="13"/>
      <c r="D926" s="4" t="s">
        <v>1529</v>
      </c>
      <c r="E926" s="4" t="s">
        <v>25</v>
      </c>
      <c r="F926" s="3" t="s">
        <v>655</v>
      </c>
      <c r="G926" s="3">
        <f t="shared" si="954"/>
        <v>21.9</v>
      </c>
      <c r="H926" s="14" t="str">
        <f t="shared" ref="H926" si="982">IF(NOT(ISNUMBER(VALUE(G926))), "NA",IF(VALUE(G926)&gt;25,"HIGH",IF(VALUE(G926)&lt;20,"LOW", "VALUE IN RANGE")))</f>
        <v>VALUE IN RANGE</v>
      </c>
    </row>
    <row r="927" spans="3:8" x14ac:dyDescent="0.25">
      <c r="C927" s="13"/>
      <c r="D927" s="4" t="s">
        <v>1529</v>
      </c>
      <c r="E927" s="1" t="s">
        <v>27</v>
      </c>
      <c r="F927" s="5">
        <v>311</v>
      </c>
      <c r="G927" s="3">
        <f t="shared" si="954"/>
        <v>311</v>
      </c>
      <c r="H927" s="14" t="str">
        <f t="shared" ref="H927" si="983">IF(NOT(ISNUMBER(VALUE(G927))), "NA",IF(VALUE(G927)&gt;380,"HIGH",IF(VALUE(G927)&lt;300,"LOW", "VALUE IN RANGE")))</f>
        <v>VALUE IN RANGE</v>
      </c>
    </row>
    <row r="928" spans="3:8" x14ac:dyDescent="0.25">
      <c r="C928" s="13"/>
      <c r="D928" s="4" t="s">
        <v>1529</v>
      </c>
      <c r="E928" s="4" t="s">
        <v>29</v>
      </c>
      <c r="F928" s="3" t="s">
        <v>657</v>
      </c>
      <c r="G928" s="3">
        <f t="shared" si="954"/>
        <v>11.4</v>
      </c>
      <c r="H928" s="14" t="str">
        <f t="shared" ref="H928" si="984">IF(NOT(ISNUMBER(VALUE(G928))), "NA",IF(VALUE(G928)&gt;15.5,"HIGH",IF(VALUE(G928)&lt;11,"LOW", "VALUE IN RANGE")))</f>
        <v>VALUE IN RANGE</v>
      </c>
    </row>
    <row r="929" spans="3:8" x14ac:dyDescent="0.25">
      <c r="C929" s="13"/>
      <c r="D929" s="4" t="s">
        <v>1529</v>
      </c>
      <c r="E929" s="1" t="s">
        <v>31</v>
      </c>
      <c r="F929" s="5">
        <v>268</v>
      </c>
      <c r="G929" s="3">
        <f t="shared" si="954"/>
        <v>268</v>
      </c>
      <c r="H929" s="14" t="str">
        <f t="shared" ref="H929" si="985">IF(NOT(ISNUMBER(VALUE(G929))), "NA",IF(VALUE(G929)&gt;460,"HIGH",IF(VALUE(G929)&lt;117,"LOW", "VALUE IN RANGE")))</f>
        <v>VALUE IN RANGE</v>
      </c>
    </row>
    <row r="930" spans="3:8" x14ac:dyDescent="0.25">
      <c r="C930" s="13"/>
      <c r="D930" s="4" t="s">
        <v>1529</v>
      </c>
      <c r="E930" s="4" t="s">
        <v>33</v>
      </c>
      <c r="F930" s="3" t="s">
        <v>428</v>
      </c>
      <c r="G930" s="3">
        <f t="shared" si="954"/>
        <v>8.3000000000000007</v>
      </c>
      <c r="H930" s="14" t="str">
        <f t="shared" ref="H930" si="986">IF(NOT(ISNUMBER(VALUE(G930))), "NA",IF(VALUE(G930)&gt;12,"HIGH",IF(VALUE(G930)&lt;7,"LOW", "VALUE IN RANGE")))</f>
        <v>VALUE IN RANGE</v>
      </c>
    </row>
    <row r="931" spans="3:8" x14ac:dyDescent="0.25">
      <c r="C931" s="13" t="str">
        <f t="shared" ref="C931" si="987">IF(D931=D946,D945,"falso")</f>
        <v>PATIENT_0059</v>
      </c>
      <c r="D931" s="4" t="s">
        <v>1530</v>
      </c>
      <c r="E931" s="1" t="s">
        <v>3</v>
      </c>
      <c r="F931" s="5" t="s">
        <v>179</v>
      </c>
      <c r="G931" s="3">
        <f t="shared" si="954"/>
        <v>8</v>
      </c>
      <c r="H931" s="14" t="str">
        <f t="shared" ref="H931" si="988">IF(NOT(ISNUMBER(VALUE(G931))), "NA",IF(VALUE(G931)&gt;17,"HIGH",IF(VALUE(G931)&lt;6,"LOW", "VALUE IN RANGE")))</f>
        <v>VALUE IN RANGE</v>
      </c>
    </row>
    <row r="932" spans="3:8" x14ac:dyDescent="0.25">
      <c r="C932" s="13"/>
      <c r="D932" s="4" t="s">
        <v>1530</v>
      </c>
      <c r="E932" s="4" t="s">
        <v>5</v>
      </c>
      <c r="F932" s="3" t="s">
        <v>658</v>
      </c>
      <c r="G932" s="3">
        <f t="shared" si="954"/>
        <v>12.1</v>
      </c>
      <c r="H932" s="14" t="str">
        <f t="shared" ref="H932" si="989">IF(NOT(ISNUMBER(VALUE(G932))), "NA",IF(VALUE(G932)&gt;30,"HIGH",IF(VALUE(G932)&lt;12,"LOW", "VALUE IN RANGE")))</f>
        <v>VALUE IN RANGE</v>
      </c>
    </row>
    <row r="933" spans="3:8" x14ac:dyDescent="0.25">
      <c r="C933" s="13"/>
      <c r="D933" s="4" t="s">
        <v>1530</v>
      </c>
      <c r="E933" s="1" t="s">
        <v>7</v>
      </c>
      <c r="F933" s="5" t="s">
        <v>352</v>
      </c>
      <c r="G933" s="3">
        <f t="shared" si="954"/>
        <v>4.9000000000000004</v>
      </c>
      <c r="H933" s="14" t="str">
        <f t="shared" ref="H933" si="990">IF(NOT(ISNUMBER(VALUE(G933))), "NA",IF(VALUE(G933)&gt;9,"HIGH",IF(VALUE(G933)&lt;2,"LOW", "VALUE IN RANGE")))</f>
        <v>VALUE IN RANGE</v>
      </c>
    </row>
    <row r="934" spans="3:8" x14ac:dyDescent="0.25">
      <c r="C934" s="13"/>
      <c r="D934" s="4" t="s">
        <v>1530</v>
      </c>
      <c r="E934" s="4" t="s">
        <v>9</v>
      </c>
      <c r="F934" s="3" t="s">
        <v>659</v>
      </c>
      <c r="G934" s="3">
        <f t="shared" si="954"/>
        <v>83</v>
      </c>
      <c r="H934" s="14" t="str">
        <f t="shared" ref="H934" si="991">IF(NOT(ISNUMBER(VALUE(G934))), "NA",IF(VALUE(G934)&gt;83,"HIGH",IF(VALUE(G934)&lt;60,"LOW", "VALUE IN RANGE")))</f>
        <v>VALUE IN RANGE</v>
      </c>
    </row>
    <row r="935" spans="3:8" x14ac:dyDescent="0.25">
      <c r="C935" s="13"/>
      <c r="D935" s="4" t="s">
        <v>1530</v>
      </c>
      <c r="E935" s="1" t="s">
        <v>11</v>
      </c>
      <c r="F935" s="5" t="s">
        <v>41</v>
      </c>
      <c r="G935" s="3">
        <f t="shared" si="954"/>
        <v>0.9</v>
      </c>
      <c r="H935" s="14" t="str">
        <f t="shared" ref="H935" si="992">IF(NOT(ISNUMBER(VALUE(G935))), "NA",IF(VALUE(G935)&gt;5.1,"HIGH",IF(VALUE(G935)&lt;0.8,"LOW", "VALUE IN RANGE")))</f>
        <v>VALUE IN RANGE</v>
      </c>
    </row>
    <row r="936" spans="3:8" x14ac:dyDescent="0.25">
      <c r="C936" s="13"/>
      <c r="D936" s="4" t="s">
        <v>1530</v>
      </c>
      <c r="E936" s="4" t="s">
        <v>13</v>
      </c>
      <c r="F936" s="3" t="s">
        <v>14</v>
      </c>
      <c r="G936" s="3">
        <f t="shared" si="954"/>
        <v>0.3</v>
      </c>
      <c r="H936" s="14" t="str">
        <f t="shared" ref="H936" si="993">IF(NOT(ISNUMBER(VALUE(G936))), "NA",IF(VALUE(G936)&gt;1.8,"HIGH",IF(VALUE(G936)&lt;0,"LOW", "VALUE IN RANGE")))</f>
        <v>VALUE IN RANGE</v>
      </c>
    </row>
    <row r="937" spans="3:8" x14ac:dyDescent="0.25">
      <c r="C937" s="13"/>
      <c r="D937" s="4" t="s">
        <v>1530</v>
      </c>
      <c r="E937" s="1" t="s">
        <v>15</v>
      </c>
      <c r="F937" s="5">
        <v>6800</v>
      </c>
      <c r="G937" s="3">
        <f t="shared" si="954"/>
        <v>6800</v>
      </c>
      <c r="H937" s="14" t="str">
        <f t="shared" ref="H937" si="994">IF(NOT(ISNUMBER(VALUE(G937))), "NA",IF(VALUE(G937)&gt;12.6,"HIGH",IF(VALUE(G937)&lt;4,"LOW", "VALUE IN RANGE")))</f>
        <v>HIGH</v>
      </c>
    </row>
    <row r="938" spans="3:8" x14ac:dyDescent="0.25">
      <c r="C938" s="13"/>
      <c r="D938" s="4" t="s">
        <v>1530</v>
      </c>
      <c r="E938" s="4" t="s">
        <v>17</v>
      </c>
      <c r="F938" s="3" t="s">
        <v>660</v>
      </c>
      <c r="G938" s="3">
        <f t="shared" si="954"/>
        <v>8.1</v>
      </c>
      <c r="H938" s="14" t="str">
        <f t="shared" ref="H938" si="995">IF(NOT(ISNUMBER(VALUE(G938))), "NA",IF(VALUE(G938)&gt;8.5,"HIGH",IF(VALUE(G938)&lt;5.5,"LOW", "VALUE IN RANGE")))</f>
        <v>VALUE IN RANGE</v>
      </c>
    </row>
    <row r="939" spans="3:8" x14ac:dyDescent="0.25">
      <c r="C939" s="13"/>
      <c r="D939" s="4" t="s">
        <v>1530</v>
      </c>
      <c r="E939" s="1" t="s">
        <v>19</v>
      </c>
      <c r="F939" s="5">
        <v>170</v>
      </c>
      <c r="G939" s="3">
        <f t="shared" si="954"/>
        <v>170</v>
      </c>
      <c r="H939" s="14" t="str">
        <f t="shared" ref="H939" si="996">IF(NOT(ISNUMBER(VALUE(G939))), "NA",IF(VALUE(G939)&gt;190,"HIGH",IF(VALUE(G939)&lt;110,"LOW", "VALUE IN RANGE")))</f>
        <v>VALUE IN RANGE</v>
      </c>
    </row>
    <row r="940" spans="3:8" x14ac:dyDescent="0.25">
      <c r="C940" s="13"/>
      <c r="D940" s="4" t="s">
        <v>1530</v>
      </c>
      <c r="E940" s="4" t="s">
        <v>21</v>
      </c>
      <c r="F940" s="3" t="s">
        <v>661</v>
      </c>
      <c r="G940" s="3">
        <f t="shared" si="954"/>
        <v>52.8</v>
      </c>
      <c r="H940" s="14" t="str">
        <f t="shared" ref="H940" si="997">IF(NOT(ISNUMBER(VALUE(G940))), "NA",IF(VALUE(G940)&gt;56,"HIGH",IF(VALUE(G940)&lt;39,"LOW", "VALUE IN RANGE")))</f>
        <v>VALUE IN RANGE</v>
      </c>
    </row>
    <row r="941" spans="3:8" x14ac:dyDescent="0.25">
      <c r="C941" s="13"/>
      <c r="D941" s="4" t="s">
        <v>1530</v>
      </c>
      <c r="E941" s="1" t="s">
        <v>23</v>
      </c>
      <c r="F941" s="5" t="s">
        <v>85</v>
      </c>
      <c r="G941" s="3">
        <f t="shared" si="954"/>
        <v>65.3</v>
      </c>
      <c r="H941" s="14" t="str">
        <f t="shared" ref="H941" si="998">IF(NOT(ISNUMBER(VALUE(G941))), "NA",IF(VALUE(G941)&gt;72,"HIGH",IF(VALUE(G941)&lt;62,"LOW", "VALUE IN RANGE")))</f>
        <v>VALUE IN RANGE</v>
      </c>
    </row>
    <row r="942" spans="3:8" x14ac:dyDescent="0.25">
      <c r="C942" s="13"/>
      <c r="D942" s="4" t="s">
        <v>1530</v>
      </c>
      <c r="E942" s="4" t="s">
        <v>25</v>
      </c>
      <c r="F942" s="3" t="s">
        <v>101</v>
      </c>
      <c r="G942" s="3">
        <f t="shared" si="954"/>
        <v>20.9</v>
      </c>
      <c r="H942" s="14" t="str">
        <f t="shared" ref="H942" si="999">IF(NOT(ISNUMBER(VALUE(G942))), "NA",IF(VALUE(G942)&gt;25,"HIGH",IF(VALUE(G942)&lt;20,"LOW", "VALUE IN RANGE")))</f>
        <v>VALUE IN RANGE</v>
      </c>
    </row>
    <row r="943" spans="3:8" x14ac:dyDescent="0.25">
      <c r="C943" s="13"/>
      <c r="D943" s="4" t="s">
        <v>1530</v>
      </c>
      <c r="E943" s="1" t="s">
        <v>27</v>
      </c>
      <c r="F943" s="5">
        <v>321</v>
      </c>
      <c r="G943" s="3">
        <f t="shared" si="954"/>
        <v>321</v>
      </c>
      <c r="H943" s="14" t="str">
        <f t="shared" ref="H943" si="1000">IF(NOT(ISNUMBER(VALUE(G943))), "NA",IF(VALUE(G943)&gt;380,"HIGH",IF(VALUE(G943)&lt;300,"LOW", "VALUE IN RANGE")))</f>
        <v>VALUE IN RANGE</v>
      </c>
    </row>
    <row r="944" spans="3:8" x14ac:dyDescent="0.25">
      <c r="C944" s="13"/>
      <c r="D944" s="4" t="s">
        <v>1530</v>
      </c>
      <c r="E944" s="4" t="s">
        <v>29</v>
      </c>
      <c r="F944" s="3" t="s">
        <v>103</v>
      </c>
      <c r="G944" s="3">
        <f t="shared" si="954"/>
        <v>12.9</v>
      </c>
      <c r="H944" s="14" t="str">
        <f t="shared" ref="H944" si="1001">IF(NOT(ISNUMBER(VALUE(G944))), "NA",IF(VALUE(G944)&gt;15.5,"HIGH",IF(VALUE(G944)&lt;11,"LOW", "VALUE IN RANGE")))</f>
        <v>VALUE IN RANGE</v>
      </c>
    </row>
    <row r="945" spans="3:8" x14ac:dyDescent="0.25">
      <c r="C945" s="13"/>
      <c r="D945" s="4" t="s">
        <v>1530</v>
      </c>
      <c r="E945" s="1" t="s">
        <v>31</v>
      </c>
      <c r="F945" s="5">
        <v>241</v>
      </c>
      <c r="G945" s="3">
        <f t="shared" si="954"/>
        <v>241</v>
      </c>
      <c r="H945" s="14" t="str">
        <f t="shared" ref="H945" si="1002">IF(NOT(ISNUMBER(VALUE(G945))), "NA",IF(VALUE(G945)&gt;460,"HIGH",IF(VALUE(G945)&lt;117,"LOW", "VALUE IN RANGE")))</f>
        <v>VALUE IN RANGE</v>
      </c>
    </row>
    <row r="946" spans="3:8" x14ac:dyDescent="0.25">
      <c r="C946" s="13"/>
      <c r="D946" s="4" t="s">
        <v>1530</v>
      </c>
      <c r="E946" s="4" t="s">
        <v>33</v>
      </c>
      <c r="F946" s="3" t="s">
        <v>34</v>
      </c>
      <c r="G946" s="3">
        <f t="shared" si="954"/>
        <v>8.8000000000000007</v>
      </c>
      <c r="H946" s="14" t="str">
        <f t="shared" ref="H946" si="1003">IF(NOT(ISNUMBER(VALUE(G946))), "NA",IF(VALUE(G946)&gt;12,"HIGH",IF(VALUE(G946)&lt;7,"LOW", "VALUE IN RANGE")))</f>
        <v>VALUE IN RANGE</v>
      </c>
    </row>
    <row r="947" spans="3:8" x14ac:dyDescent="0.25">
      <c r="C947" s="13" t="str">
        <f t="shared" ref="C947" si="1004">IF(D947=D962,D961,"falso")</f>
        <v>PATIENT_0060</v>
      </c>
      <c r="D947" s="4" t="s">
        <v>1531</v>
      </c>
      <c r="E947" s="1" t="s">
        <v>3</v>
      </c>
      <c r="F947" s="5" t="s">
        <v>430</v>
      </c>
      <c r="G947" s="3">
        <f t="shared" si="954"/>
        <v>13.1</v>
      </c>
      <c r="H947" s="14" t="str">
        <f t="shared" ref="H947" si="1005">IF(NOT(ISNUMBER(VALUE(G947))), "NA",IF(VALUE(G947)&gt;17,"HIGH",IF(VALUE(G947)&lt;6,"LOW", "VALUE IN RANGE")))</f>
        <v>VALUE IN RANGE</v>
      </c>
    </row>
    <row r="948" spans="3:8" x14ac:dyDescent="0.25">
      <c r="C948" s="13"/>
      <c r="D948" s="4" t="s">
        <v>1531</v>
      </c>
      <c r="E948" s="4" t="s">
        <v>5</v>
      </c>
      <c r="F948" s="3" t="s">
        <v>663</v>
      </c>
      <c r="G948" s="3">
        <f t="shared" si="954"/>
        <v>21.5</v>
      </c>
      <c r="H948" s="14" t="str">
        <f t="shared" ref="H948" si="1006">IF(NOT(ISNUMBER(VALUE(G948))), "NA",IF(VALUE(G948)&gt;30,"HIGH",IF(VALUE(G948)&lt;12,"LOW", "VALUE IN RANGE")))</f>
        <v>VALUE IN RANGE</v>
      </c>
    </row>
    <row r="949" spans="3:8" x14ac:dyDescent="0.25">
      <c r="C949" s="13"/>
      <c r="D949" s="4" t="s">
        <v>1531</v>
      </c>
      <c r="E949" s="1" t="s">
        <v>7</v>
      </c>
      <c r="F949" s="5" t="s">
        <v>631</v>
      </c>
      <c r="G949" s="3">
        <f t="shared" si="954"/>
        <v>5.6</v>
      </c>
      <c r="H949" s="14" t="str">
        <f t="shared" ref="H949" si="1007">IF(NOT(ISNUMBER(VALUE(G949))), "NA",IF(VALUE(G949)&gt;9,"HIGH",IF(VALUE(G949)&lt;2,"LOW", "VALUE IN RANGE")))</f>
        <v>VALUE IN RANGE</v>
      </c>
    </row>
    <row r="950" spans="3:8" x14ac:dyDescent="0.25">
      <c r="C950" s="13"/>
      <c r="D950" s="4" t="s">
        <v>1531</v>
      </c>
      <c r="E950" s="4" t="s">
        <v>9</v>
      </c>
      <c r="F950" s="3" t="s">
        <v>664</v>
      </c>
      <c r="G950" s="3">
        <f t="shared" si="954"/>
        <v>72.900000000000006</v>
      </c>
      <c r="H950" s="14" t="str">
        <f t="shared" ref="H950" si="1008">IF(NOT(ISNUMBER(VALUE(G950))), "NA",IF(VALUE(G950)&gt;83,"HIGH",IF(VALUE(G950)&lt;60,"LOW", "VALUE IN RANGE")))</f>
        <v>VALUE IN RANGE</v>
      </c>
    </row>
    <row r="951" spans="3:8" x14ac:dyDescent="0.25">
      <c r="C951" s="13"/>
      <c r="D951" s="4" t="s">
        <v>1531</v>
      </c>
      <c r="E951" s="1" t="s">
        <v>11</v>
      </c>
      <c r="F951" s="5">
        <v>2800</v>
      </c>
      <c r="G951" s="3">
        <f t="shared" si="954"/>
        <v>2800</v>
      </c>
      <c r="H951" s="14" t="str">
        <f t="shared" ref="H951" si="1009">IF(NOT(ISNUMBER(VALUE(G951))), "NA",IF(VALUE(G951)&gt;5.1,"HIGH",IF(VALUE(G951)&lt;0.8,"LOW", "VALUE IN RANGE")))</f>
        <v>HIGH</v>
      </c>
    </row>
    <row r="952" spans="3:8" x14ac:dyDescent="0.25">
      <c r="C952" s="13"/>
      <c r="D952" s="4" t="s">
        <v>1531</v>
      </c>
      <c r="E952" s="4" t="s">
        <v>13</v>
      </c>
      <c r="F952" s="3" t="s">
        <v>12</v>
      </c>
      <c r="G952" s="3">
        <f t="shared" si="954"/>
        <v>0.7</v>
      </c>
      <c r="H952" s="14" t="str">
        <f t="shared" ref="H952" si="1010">IF(NOT(ISNUMBER(VALUE(G952))), "NA",IF(VALUE(G952)&gt;1.8,"HIGH",IF(VALUE(G952)&lt;0,"LOW", "VALUE IN RANGE")))</f>
        <v>VALUE IN RANGE</v>
      </c>
    </row>
    <row r="953" spans="3:8" x14ac:dyDescent="0.25">
      <c r="C953" s="13"/>
      <c r="D953" s="4" t="s">
        <v>1531</v>
      </c>
      <c r="E953" s="1" t="s">
        <v>15</v>
      </c>
      <c r="F953" s="5">
        <v>9600</v>
      </c>
      <c r="G953" s="3">
        <f t="shared" si="954"/>
        <v>9600</v>
      </c>
      <c r="H953" s="14" t="str">
        <f t="shared" ref="H953" si="1011">IF(NOT(ISNUMBER(VALUE(G953))), "NA",IF(VALUE(G953)&gt;12.6,"HIGH",IF(VALUE(G953)&lt;4,"LOW", "VALUE IN RANGE")))</f>
        <v>HIGH</v>
      </c>
    </row>
    <row r="954" spans="3:8" x14ac:dyDescent="0.25">
      <c r="C954" s="13"/>
      <c r="D954" s="4" t="s">
        <v>1531</v>
      </c>
      <c r="E954" s="4" t="s">
        <v>17</v>
      </c>
      <c r="F954" s="3" t="s">
        <v>666</v>
      </c>
      <c r="G954" s="3">
        <f t="shared" si="954"/>
        <v>6.75</v>
      </c>
      <c r="H954" s="14" t="str">
        <f t="shared" ref="H954" si="1012">IF(NOT(ISNUMBER(VALUE(G954))), "NA",IF(VALUE(G954)&gt;8.5,"HIGH",IF(VALUE(G954)&lt;5.5,"LOW", "VALUE IN RANGE")))</f>
        <v>VALUE IN RANGE</v>
      </c>
    </row>
    <row r="955" spans="3:8" x14ac:dyDescent="0.25">
      <c r="C955" s="13"/>
      <c r="D955" s="4" t="s">
        <v>1531</v>
      </c>
      <c r="E955" s="1" t="s">
        <v>19</v>
      </c>
      <c r="F955" s="5">
        <v>147</v>
      </c>
      <c r="G955" s="3">
        <f t="shared" si="954"/>
        <v>147</v>
      </c>
      <c r="H955" s="14" t="str">
        <f t="shared" ref="H955" si="1013">IF(NOT(ISNUMBER(VALUE(G955))), "NA",IF(VALUE(G955)&gt;190,"HIGH",IF(VALUE(G955)&lt;110,"LOW", "VALUE IN RANGE")))</f>
        <v>VALUE IN RANGE</v>
      </c>
    </row>
    <row r="956" spans="3:8" x14ac:dyDescent="0.25">
      <c r="C956" s="13"/>
      <c r="D956" s="4" t="s">
        <v>1531</v>
      </c>
      <c r="E956" s="4" t="s">
        <v>21</v>
      </c>
      <c r="F956" s="3" t="s">
        <v>667</v>
      </c>
      <c r="G956" s="3">
        <f t="shared" si="954"/>
        <v>46.1</v>
      </c>
      <c r="H956" s="14" t="str">
        <f t="shared" ref="H956" si="1014">IF(NOT(ISNUMBER(VALUE(G956))), "NA",IF(VALUE(G956)&gt;56,"HIGH",IF(VALUE(G956)&lt;39,"LOW", "VALUE IN RANGE")))</f>
        <v>VALUE IN RANGE</v>
      </c>
    </row>
    <row r="957" spans="3:8" x14ac:dyDescent="0.25">
      <c r="C957" s="13"/>
      <c r="D957" s="4" t="s">
        <v>1531</v>
      </c>
      <c r="E957" s="1" t="s">
        <v>23</v>
      </c>
      <c r="F957" s="5" t="s">
        <v>668</v>
      </c>
      <c r="G957" s="3">
        <f t="shared" si="954"/>
        <v>68.400000000000006</v>
      </c>
      <c r="H957" s="14" t="str">
        <f t="shared" ref="H957" si="1015">IF(NOT(ISNUMBER(VALUE(G957))), "NA",IF(VALUE(G957)&gt;72,"HIGH",IF(VALUE(G957)&lt;62,"LOW", "VALUE IN RANGE")))</f>
        <v>VALUE IN RANGE</v>
      </c>
    </row>
    <row r="958" spans="3:8" x14ac:dyDescent="0.25">
      <c r="C958" s="13"/>
      <c r="D958" s="4" t="s">
        <v>1531</v>
      </c>
      <c r="E958" s="4" t="s">
        <v>25</v>
      </c>
      <c r="F958" s="3" t="s">
        <v>669</v>
      </c>
      <c r="G958" s="3">
        <f t="shared" si="954"/>
        <v>21.7</v>
      </c>
      <c r="H958" s="14" t="str">
        <f t="shared" ref="H958" si="1016">IF(NOT(ISNUMBER(VALUE(G958))), "NA",IF(VALUE(G958)&gt;25,"HIGH",IF(VALUE(G958)&lt;20,"LOW", "VALUE IN RANGE")))</f>
        <v>VALUE IN RANGE</v>
      </c>
    </row>
    <row r="959" spans="3:8" x14ac:dyDescent="0.25">
      <c r="C959" s="13"/>
      <c r="D959" s="4" t="s">
        <v>1531</v>
      </c>
      <c r="E959" s="1" t="s">
        <v>27</v>
      </c>
      <c r="F959" s="5">
        <v>318</v>
      </c>
      <c r="G959" s="3">
        <f t="shared" si="954"/>
        <v>318</v>
      </c>
      <c r="H959" s="14" t="str">
        <f t="shared" ref="H959" si="1017">IF(NOT(ISNUMBER(VALUE(G959))), "NA",IF(VALUE(G959)&gt;380,"HIGH",IF(VALUE(G959)&lt;300,"LOW", "VALUE IN RANGE")))</f>
        <v>VALUE IN RANGE</v>
      </c>
    </row>
    <row r="960" spans="3:8" x14ac:dyDescent="0.25">
      <c r="C960" s="13"/>
      <c r="D960" s="4" t="s">
        <v>1531</v>
      </c>
      <c r="E960" s="4" t="s">
        <v>29</v>
      </c>
      <c r="F960" s="3" t="s">
        <v>671</v>
      </c>
      <c r="G960" s="3">
        <f t="shared" si="954"/>
        <v>13.5</v>
      </c>
      <c r="H960" s="14" t="str">
        <f t="shared" ref="H960" si="1018">IF(NOT(ISNUMBER(VALUE(G960))), "NA",IF(VALUE(G960)&gt;15.5,"HIGH",IF(VALUE(G960)&lt;11,"LOW", "VALUE IN RANGE")))</f>
        <v>VALUE IN RANGE</v>
      </c>
    </row>
    <row r="961" spans="3:8" x14ac:dyDescent="0.25">
      <c r="C961" s="13"/>
      <c r="D961" s="4" t="s">
        <v>1531</v>
      </c>
      <c r="E961" s="1" t="s">
        <v>31</v>
      </c>
      <c r="F961" s="5">
        <v>187</v>
      </c>
      <c r="G961" s="3">
        <f t="shared" si="954"/>
        <v>187</v>
      </c>
      <c r="H961" s="14" t="str">
        <f t="shared" ref="H961" si="1019">IF(NOT(ISNUMBER(VALUE(G961))), "NA",IF(VALUE(G961)&gt;460,"HIGH",IF(VALUE(G961)&lt;117,"LOW", "VALUE IN RANGE")))</f>
        <v>VALUE IN RANGE</v>
      </c>
    </row>
    <row r="962" spans="3:8" x14ac:dyDescent="0.25">
      <c r="C962" s="13"/>
      <c r="D962" s="4" t="s">
        <v>1531</v>
      </c>
      <c r="E962" s="4" t="s">
        <v>33</v>
      </c>
      <c r="F962" s="3" t="s">
        <v>645</v>
      </c>
      <c r="G962" s="3">
        <f t="shared" si="954"/>
        <v>7.5</v>
      </c>
      <c r="H962" s="14" t="str">
        <f t="shared" ref="H962" si="1020">IF(NOT(ISNUMBER(VALUE(G962))), "NA",IF(VALUE(G962)&gt;12,"HIGH",IF(VALUE(G962)&lt;7,"LOW", "VALUE IN RANGE")))</f>
        <v>VALUE IN RANGE</v>
      </c>
    </row>
    <row r="963" spans="3:8" x14ac:dyDescent="0.25">
      <c r="C963" s="13" t="str">
        <f t="shared" ref="C963" si="1021">IF(D963=D978,D977,"falso")</f>
        <v>PATIENT_0061</v>
      </c>
      <c r="D963" s="4" t="s">
        <v>1532</v>
      </c>
      <c r="E963" s="1" t="s">
        <v>3</v>
      </c>
      <c r="F963" s="5" t="s">
        <v>169</v>
      </c>
      <c r="G963" s="3">
        <f t="shared" si="954"/>
        <v>7.3</v>
      </c>
      <c r="H963" s="14" t="str">
        <f t="shared" ref="H963" si="1022">IF(NOT(ISNUMBER(VALUE(G963))), "NA",IF(VALUE(G963)&gt;17,"HIGH",IF(VALUE(G963)&lt;6,"LOW", "VALUE IN RANGE")))</f>
        <v>VALUE IN RANGE</v>
      </c>
    </row>
    <row r="964" spans="3:8" x14ac:dyDescent="0.25">
      <c r="C964" s="13"/>
      <c r="D964" s="4" t="s">
        <v>1532</v>
      </c>
      <c r="E964" s="4" t="s">
        <v>5</v>
      </c>
      <c r="F964" s="3" t="s">
        <v>363</v>
      </c>
      <c r="G964" s="3">
        <f t="shared" ref="G964:G1027" si="1023">IFERROR(
   VALUE(
      SUBSTITUTE(
         CLEAN(
            TRIM(F964)
         ),
         ".",
         ","
      )
   ),
   ""
)</f>
        <v>13.6</v>
      </c>
      <c r="H964" s="14" t="str">
        <f t="shared" ref="H964" si="1024">IF(NOT(ISNUMBER(VALUE(G964))), "NA",IF(VALUE(G964)&gt;30,"HIGH",IF(VALUE(G964)&lt;12,"LOW", "VALUE IN RANGE")))</f>
        <v>VALUE IN RANGE</v>
      </c>
    </row>
    <row r="965" spans="3:8" x14ac:dyDescent="0.25">
      <c r="C965" s="13"/>
      <c r="D965" s="4" t="s">
        <v>1532</v>
      </c>
      <c r="E965" s="1" t="s">
        <v>7</v>
      </c>
      <c r="F965" s="5" t="s">
        <v>65</v>
      </c>
      <c r="G965" s="3">
        <f t="shared" si="1023"/>
        <v>5.0999999999999996</v>
      </c>
      <c r="H965" s="14" t="str">
        <f t="shared" ref="H965" si="1025">IF(NOT(ISNUMBER(VALUE(G965))), "NA",IF(VALUE(G965)&gt;9,"HIGH",IF(VALUE(G965)&lt;2,"LOW", "VALUE IN RANGE")))</f>
        <v>VALUE IN RANGE</v>
      </c>
    </row>
    <row r="966" spans="3:8" x14ac:dyDescent="0.25">
      <c r="C966" s="13"/>
      <c r="D966" s="4" t="s">
        <v>1532</v>
      </c>
      <c r="E966" s="4" t="s">
        <v>9</v>
      </c>
      <c r="F966" s="3" t="s">
        <v>672</v>
      </c>
      <c r="G966" s="3">
        <f t="shared" si="1023"/>
        <v>81.3</v>
      </c>
      <c r="H966" s="14" t="str">
        <f t="shared" ref="H966" si="1026">IF(NOT(ISNUMBER(VALUE(G966))), "NA",IF(VALUE(G966)&gt;83,"HIGH",IF(VALUE(G966)&lt;60,"LOW", "VALUE IN RANGE")))</f>
        <v>VALUE IN RANGE</v>
      </c>
    </row>
    <row r="967" spans="3:8" x14ac:dyDescent="0.25">
      <c r="C967" s="13"/>
      <c r="D967" s="4" t="s">
        <v>1532</v>
      </c>
      <c r="E967" s="1" t="s">
        <v>11</v>
      </c>
      <c r="F967" s="5" t="s">
        <v>41</v>
      </c>
      <c r="G967" s="3">
        <f t="shared" si="1023"/>
        <v>0.9</v>
      </c>
      <c r="H967" s="14" t="str">
        <f t="shared" ref="H967" si="1027">IF(NOT(ISNUMBER(VALUE(G967))), "NA",IF(VALUE(G967)&gt;5.1,"HIGH",IF(VALUE(G967)&lt;0.8,"LOW", "VALUE IN RANGE")))</f>
        <v>VALUE IN RANGE</v>
      </c>
    </row>
    <row r="968" spans="3:8" x14ac:dyDescent="0.25">
      <c r="C968" s="13"/>
      <c r="D968" s="4" t="s">
        <v>1532</v>
      </c>
      <c r="E968" s="4" t="s">
        <v>13</v>
      </c>
      <c r="F968" s="3" t="s">
        <v>14</v>
      </c>
      <c r="G968" s="3">
        <f t="shared" si="1023"/>
        <v>0.3</v>
      </c>
      <c r="H968" s="14" t="str">
        <f t="shared" ref="H968" si="1028">IF(NOT(ISNUMBER(VALUE(G968))), "NA",IF(VALUE(G968)&gt;1.8,"HIGH",IF(VALUE(G968)&lt;0,"LOW", "VALUE IN RANGE")))</f>
        <v>VALUE IN RANGE</v>
      </c>
    </row>
    <row r="969" spans="3:8" x14ac:dyDescent="0.25">
      <c r="C969" s="13"/>
      <c r="D969" s="4" t="s">
        <v>1532</v>
      </c>
      <c r="E969" s="1" t="s">
        <v>15</v>
      </c>
      <c r="F969" s="5">
        <v>6100</v>
      </c>
      <c r="G969" s="3">
        <f t="shared" si="1023"/>
        <v>6100</v>
      </c>
      <c r="H969" s="14" t="str">
        <f t="shared" ref="H969" si="1029">IF(NOT(ISNUMBER(VALUE(G969))), "NA",IF(VALUE(G969)&gt;12.6,"HIGH",IF(VALUE(G969)&lt;4,"LOW", "VALUE IN RANGE")))</f>
        <v>HIGH</v>
      </c>
    </row>
    <row r="970" spans="3:8" x14ac:dyDescent="0.25">
      <c r="C970" s="13"/>
      <c r="D970" s="4" t="s">
        <v>1532</v>
      </c>
      <c r="E970" s="4" t="s">
        <v>17</v>
      </c>
      <c r="F970" s="3" t="s">
        <v>673</v>
      </c>
      <c r="G970" s="3">
        <f t="shared" si="1023"/>
        <v>5.69</v>
      </c>
      <c r="H970" s="14" t="str">
        <f t="shared" ref="H970" si="1030">IF(NOT(ISNUMBER(VALUE(G970))), "NA",IF(VALUE(G970)&gt;8.5,"HIGH",IF(VALUE(G970)&lt;5.5,"LOW", "VALUE IN RANGE")))</f>
        <v>VALUE IN RANGE</v>
      </c>
    </row>
    <row r="971" spans="3:8" x14ac:dyDescent="0.25">
      <c r="C971" s="13"/>
      <c r="D971" s="4" t="s">
        <v>1532</v>
      </c>
      <c r="E971" s="1" t="s">
        <v>19</v>
      </c>
      <c r="F971" s="5">
        <v>129</v>
      </c>
      <c r="G971" s="3">
        <f t="shared" si="1023"/>
        <v>129</v>
      </c>
      <c r="H971" s="14" t="str">
        <f t="shared" ref="H971" si="1031">IF(NOT(ISNUMBER(VALUE(G971))), "NA",IF(VALUE(G971)&gt;190,"HIGH",IF(VALUE(G971)&lt;110,"LOW", "VALUE IN RANGE")))</f>
        <v>VALUE IN RANGE</v>
      </c>
    </row>
    <row r="972" spans="3:8" x14ac:dyDescent="0.25">
      <c r="C972" s="13"/>
      <c r="D972" s="4" t="s">
        <v>1532</v>
      </c>
      <c r="E972" s="4" t="s">
        <v>21</v>
      </c>
      <c r="F972" s="3" t="s">
        <v>675</v>
      </c>
      <c r="G972" s="3">
        <f t="shared" si="1023"/>
        <v>40.1</v>
      </c>
      <c r="H972" s="14" t="str">
        <f t="shared" ref="H972" si="1032">IF(NOT(ISNUMBER(VALUE(G972))), "NA",IF(VALUE(G972)&gt;56,"HIGH",IF(VALUE(G972)&lt;39,"LOW", "VALUE IN RANGE")))</f>
        <v>VALUE IN RANGE</v>
      </c>
    </row>
    <row r="973" spans="3:8" x14ac:dyDescent="0.25">
      <c r="C973" s="13"/>
      <c r="D973" s="4" t="s">
        <v>1532</v>
      </c>
      <c r="E973" s="1" t="s">
        <v>23</v>
      </c>
      <c r="F973" s="5" t="s">
        <v>654</v>
      </c>
      <c r="G973" s="3">
        <f t="shared" si="1023"/>
        <v>70.599999999999994</v>
      </c>
      <c r="H973" s="14" t="str">
        <f t="shared" ref="H973" si="1033">IF(NOT(ISNUMBER(VALUE(G973))), "NA",IF(VALUE(G973)&gt;72,"HIGH",IF(VALUE(G973)&lt;62,"LOW", "VALUE IN RANGE")))</f>
        <v>VALUE IN RANGE</v>
      </c>
    </row>
    <row r="974" spans="3:8" x14ac:dyDescent="0.25">
      <c r="C974" s="13"/>
      <c r="D974" s="4" t="s">
        <v>1532</v>
      </c>
      <c r="E974" s="4" t="s">
        <v>25</v>
      </c>
      <c r="F974" s="3" t="s">
        <v>173</v>
      </c>
      <c r="G974" s="3">
        <f t="shared" si="1023"/>
        <v>22.6</v>
      </c>
      <c r="H974" s="14" t="str">
        <f t="shared" ref="H974" si="1034">IF(NOT(ISNUMBER(VALUE(G974))), "NA",IF(VALUE(G974)&gt;25,"HIGH",IF(VALUE(G974)&lt;20,"LOW", "VALUE IN RANGE")))</f>
        <v>VALUE IN RANGE</v>
      </c>
    </row>
    <row r="975" spans="3:8" x14ac:dyDescent="0.25">
      <c r="C975" s="13"/>
      <c r="D975" s="4" t="s">
        <v>1532</v>
      </c>
      <c r="E975" s="1" t="s">
        <v>27</v>
      </c>
      <c r="F975" s="5">
        <v>321</v>
      </c>
      <c r="G975" s="3">
        <f t="shared" si="1023"/>
        <v>321</v>
      </c>
      <c r="H975" s="14" t="str">
        <f t="shared" ref="H975" si="1035">IF(NOT(ISNUMBER(VALUE(G975))), "NA",IF(VALUE(G975)&gt;380,"HIGH",IF(VALUE(G975)&lt;300,"LOW", "VALUE IN RANGE")))</f>
        <v>VALUE IN RANGE</v>
      </c>
    </row>
    <row r="976" spans="3:8" x14ac:dyDescent="0.25">
      <c r="C976" s="13"/>
      <c r="D976" s="4" t="s">
        <v>1532</v>
      </c>
      <c r="E976" s="4" t="s">
        <v>29</v>
      </c>
      <c r="F976" s="3" t="s">
        <v>30</v>
      </c>
      <c r="G976" s="3">
        <f t="shared" si="1023"/>
        <v>11.9</v>
      </c>
      <c r="H976" s="14" t="str">
        <f t="shared" ref="H976" si="1036">IF(NOT(ISNUMBER(VALUE(G976))), "NA",IF(VALUE(G976)&gt;15.5,"HIGH",IF(VALUE(G976)&lt;11,"LOW", "VALUE IN RANGE")))</f>
        <v>VALUE IN RANGE</v>
      </c>
    </row>
    <row r="977" spans="3:8" x14ac:dyDescent="0.25">
      <c r="C977" s="13"/>
      <c r="D977" s="4" t="s">
        <v>1532</v>
      </c>
      <c r="E977" s="1" t="s">
        <v>31</v>
      </c>
      <c r="F977" s="5">
        <v>196</v>
      </c>
      <c r="G977" s="3">
        <f t="shared" si="1023"/>
        <v>196</v>
      </c>
      <c r="H977" s="14" t="str">
        <f t="shared" ref="H977" si="1037">IF(NOT(ISNUMBER(VALUE(G977))), "NA",IF(VALUE(G977)&gt;460,"HIGH",IF(VALUE(G977)&lt;117,"LOW", "VALUE IN RANGE")))</f>
        <v>VALUE IN RANGE</v>
      </c>
    </row>
    <row r="978" spans="3:8" x14ac:dyDescent="0.25">
      <c r="C978" s="13"/>
      <c r="D978" s="4" t="s">
        <v>1532</v>
      </c>
      <c r="E978" s="4" t="s">
        <v>33</v>
      </c>
      <c r="F978" s="3" t="s">
        <v>241</v>
      </c>
      <c r="G978" s="3">
        <f t="shared" si="1023"/>
        <v>9.9</v>
      </c>
      <c r="H978" s="14" t="str">
        <f t="shared" ref="H978" si="1038">IF(NOT(ISNUMBER(VALUE(G978))), "NA",IF(VALUE(G978)&gt;12,"HIGH",IF(VALUE(G978)&lt;7,"LOW", "VALUE IN RANGE")))</f>
        <v>VALUE IN RANGE</v>
      </c>
    </row>
    <row r="979" spans="3:8" x14ac:dyDescent="0.25">
      <c r="C979" s="13" t="str">
        <f t="shared" ref="C979" si="1039">IF(D979=D994,D993,"falso")</f>
        <v>PATIENT_0062</v>
      </c>
      <c r="D979" s="4" t="s">
        <v>1533</v>
      </c>
      <c r="E979" s="1" t="s">
        <v>3</v>
      </c>
      <c r="F979" s="5" t="s">
        <v>219</v>
      </c>
      <c r="G979" s="3">
        <f t="shared" si="1023"/>
        <v>6.2</v>
      </c>
      <c r="H979" s="14" t="str">
        <f t="shared" ref="H979" si="1040">IF(NOT(ISNUMBER(VALUE(G979))), "NA",IF(VALUE(G979)&gt;17,"HIGH",IF(VALUE(G979)&lt;6,"LOW", "VALUE IN RANGE")))</f>
        <v>VALUE IN RANGE</v>
      </c>
    </row>
    <row r="980" spans="3:8" x14ac:dyDescent="0.25">
      <c r="C980" s="13"/>
      <c r="D980" s="4" t="s">
        <v>1533</v>
      </c>
      <c r="E980" s="4" t="s">
        <v>5</v>
      </c>
      <c r="F980" s="3" t="s">
        <v>135</v>
      </c>
      <c r="G980" s="3">
        <f t="shared" si="1023"/>
        <v>3.8</v>
      </c>
      <c r="H980" s="14" t="str">
        <f t="shared" ref="H980" si="1041">IF(NOT(ISNUMBER(VALUE(G980))), "NA",IF(VALUE(G980)&gt;30,"HIGH",IF(VALUE(G980)&lt;12,"LOW", "VALUE IN RANGE")))</f>
        <v>LOW</v>
      </c>
    </row>
    <row r="981" spans="3:8" x14ac:dyDescent="0.25">
      <c r="C981" s="13"/>
      <c r="D981" s="4" t="s">
        <v>1533</v>
      </c>
      <c r="E981" s="1" t="s">
        <v>7</v>
      </c>
      <c r="F981" s="5" t="s">
        <v>257</v>
      </c>
      <c r="G981" s="3">
        <f t="shared" si="1023"/>
        <v>5.2</v>
      </c>
      <c r="H981" s="14" t="str">
        <f t="shared" ref="H981" si="1042">IF(NOT(ISNUMBER(VALUE(G981))), "NA",IF(VALUE(G981)&gt;9,"HIGH",IF(VALUE(G981)&lt;2,"LOW", "VALUE IN RANGE")))</f>
        <v>VALUE IN RANGE</v>
      </c>
    </row>
    <row r="982" spans="3:8" x14ac:dyDescent="0.25">
      <c r="C982" s="13"/>
      <c r="D982" s="4" t="s">
        <v>1533</v>
      </c>
      <c r="E982" s="4" t="s">
        <v>9</v>
      </c>
      <c r="F982" s="3" t="s">
        <v>677</v>
      </c>
      <c r="G982" s="3">
        <f t="shared" si="1023"/>
        <v>91</v>
      </c>
      <c r="H982" s="14" t="str">
        <f t="shared" ref="H982" si="1043">IF(NOT(ISNUMBER(VALUE(G982))), "NA",IF(VALUE(G982)&gt;83,"HIGH",IF(VALUE(G982)&lt;60,"LOW", "VALUE IN RANGE")))</f>
        <v>HIGH</v>
      </c>
    </row>
    <row r="983" spans="3:8" x14ac:dyDescent="0.25">
      <c r="C983" s="13"/>
      <c r="D983" s="4" t="s">
        <v>1533</v>
      </c>
      <c r="E983" s="1" t="s">
        <v>11</v>
      </c>
      <c r="F983" s="5" t="s">
        <v>51</v>
      </c>
      <c r="G983" s="3">
        <f t="shared" si="1023"/>
        <v>0.2</v>
      </c>
      <c r="H983" s="14" t="str">
        <f t="shared" ref="H983" si="1044">IF(NOT(ISNUMBER(VALUE(G983))), "NA",IF(VALUE(G983)&gt;5.1,"HIGH",IF(VALUE(G983)&lt;0.8,"LOW", "VALUE IN RANGE")))</f>
        <v>LOW</v>
      </c>
    </row>
    <row r="984" spans="3:8" x14ac:dyDescent="0.25">
      <c r="C984" s="13"/>
      <c r="D984" s="4" t="s">
        <v>1533</v>
      </c>
      <c r="E984" s="4" t="s">
        <v>13</v>
      </c>
      <c r="F984" s="3" t="s">
        <v>14</v>
      </c>
      <c r="G984" s="3">
        <f t="shared" si="1023"/>
        <v>0.3</v>
      </c>
      <c r="H984" s="14" t="str">
        <f t="shared" ref="H984" si="1045">IF(NOT(ISNUMBER(VALUE(G984))), "NA",IF(VALUE(G984)&gt;1.8,"HIGH",IF(VALUE(G984)&lt;0,"LOW", "VALUE IN RANGE")))</f>
        <v>VALUE IN RANGE</v>
      </c>
    </row>
    <row r="985" spans="3:8" x14ac:dyDescent="0.25">
      <c r="C985" s="13"/>
      <c r="D985" s="4" t="s">
        <v>1533</v>
      </c>
      <c r="E985" s="1" t="s">
        <v>15</v>
      </c>
      <c r="F985" s="5">
        <v>5700</v>
      </c>
      <c r="G985" s="3">
        <f t="shared" si="1023"/>
        <v>5700</v>
      </c>
      <c r="H985" s="14" t="str">
        <f t="shared" ref="H985" si="1046">IF(NOT(ISNUMBER(VALUE(G985))), "NA",IF(VALUE(G985)&gt;12.6,"HIGH",IF(VALUE(G985)&lt;4,"LOW", "VALUE IN RANGE")))</f>
        <v>HIGH</v>
      </c>
    </row>
    <row r="986" spans="3:8" x14ac:dyDescent="0.25">
      <c r="C986" s="13"/>
      <c r="D986" s="4" t="s">
        <v>1533</v>
      </c>
      <c r="E986" s="4" t="s">
        <v>17</v>
      </c>
      <c r="F986" s="3" t="s">
        <v>679</v>
      </c>
      <c r="G986" s="3">
        <f t="shared" si="1023"/>
        <v>7.49</v>
      </c>
      <c r="H986" s="14" t="str">
        <f t="shared" ref="H986" si="1047">IF(NOT(ISNUMBER(VALUE(G986))), "NA",IF(VALUE(G986)&gt;8.5,"HIGH",IF(VALUE(G986)&lt;5.5,"LOW", "VALUE IN RANGE")))</f>
        <v>VALUE IN RANGE</v>
      </c>
    </row>
    <row r="987" spans="3:8" x14ac:dyDescent="0.25">
      <c r="C987" s="13"/>
      <c r="D987" s="4" t="s">
        <v>1533</v>
      </c>
      <c r="E987" s="1" t="s">
        <v>19</v>
      </c>
      <c r="F987" s="5">
        <v>176</v>
      </c>
      <c r="G987" s="3">
        <f t="shared" si="1023"/>
        <v>176</v>
      </c>
      <c r="H987" s="14" t="str">
        <f t="shared" ref="H987" si="1048">IF(NOT(ISNUMBER(VALUE(G987))), "NA",IF(VALUE(G987)&gt;190,"HIGH",IF(VALUE(G987)&lt;110,"LOW", "VALUE IN RANGE")))</f>
        <v>VALUE IN RANGE</v>
      </c>
    </row>
    <row r="988" spans="3:8" x14ac:dyDescent="0.25">
      <c r="C988" s="13"/>
      <c r="D988" s="4" t="s">
        <v>1533</v>
      </c>
      <c r="E988" s="4" t="s">
        <v>21</v>
      </c>
      <c r="F988" s="3" t="s">
        <v>610</v>
      </c>
      <c r="G988" s="3">
        <f t="shared" si="1023"/>
        <v>55.7</v>
      </c>
      <c r="H988" s="14" t="str">
        <f t="shared" ref="H988" si="1049">IF(NOT(ISNUMBER(VALUE(G988))), "NA",IF(VALUE(G988)&gt;56,"HIGH",IF(VALUE(G988)&lt;39,"LOW", "VALUE IN RANGE")))</f>
        <v>VALUE IN RANGE</v>
      </c>
    </row>
    <row r="989" spans="3:8" x14ac:dyDescent="0.25">
      <c r="C989" s="13"/>
      <c r="D989" s="4" t="s">
        <v>1533</v>
      </c>
      <c r="E989" s="1" t="s">
        <v>23</v>
      </c>
      <c r="F989" s="5" t="s">
        <v>681</v>
      </c>
      <c r="G989" s="3">
        <f t="shared" si="1023"/>
        <v>74.400000000000006</v>
      </c>
      <c r="H989" s="14" t="str">
        <f t="shared" ref="H989" si="1050">IF(NOT(ISNUMBER(VALUE(G989))), "NA",IF(VALUE(G989)&gt;72,"HIGH",IF(VALUE(G989)&lt;62,"LOW", "VALUE IN RANGE")))</f>
        <v>HIGH</v>
      </c>
    </row>
    <row r="990" spans="3:8" x14ac:dyDescent="0.25">
      <c r="C990" s="13"/>
      <c r="D990" s="4" t="s">
        <v>1533</v>
      </c>
      <c r="E990" s="4" t="s">
        <v>25</v>
      </c>
      <c r="F990" s="3" t="s">
        <v>682</v>
      </c>
      <c r="G990" s="3">
        <f t="shared" si="1023"/>
        <v>23.4</v>
      </c>
      <c r="H990" s="14" t="str">
        <f t="shared" ref="H990" si="1051">IF(NOT(ISNUMBER(VALUE(G990))), "NA",IF(VALUE(G990)&gt;25,"HIGH",IF(VALUE(G990)&lt;20,"LOW", "VALUE IN RANGE")))</f>
        <v>VALUE IN RANGE</v>
      </c>
    </row>
    <row r="991" spans="3:8" x14ac:dyDescent="0.25">
      <c r="C991" s="13"/>
      <c r="D991" s="4" t="s">
        <v>1533</v>
      </c>
      <c r="E991" s="1" t="s">
        <v>27</v>
      </c>
      <c r="F991" s="5">
        <v>315</v>
      </c>
      <c r="G991" s="3">
        <f t="shared" si="1023"/>
        <v>315</v>
      </c>
      <c r="H991" s="14" t="str">
        <f t="shared" ref="H991" si="1052">IF(NOT(ISNUMBER(VALUE(G991))), "NA",IF(VALUE(G991)&gt;380,"HIGH",IF(VALUE(G991)&lt;300,"LOW", "VALUE IN RANGE")))</f>
        <v>VALUE IN RANGE</v>
      </c>
    </row>
    <row r="992" spans="3:8" x14ac:dyDescent="0.25">
      <c r="C992" s="13"/>
      <c r="D992" s="4" t="s">
        <v>1533</v>
      </c>
      <c r="E992" s="4" t="s">
        <v>29</v>
      </c>
      <c r="F992" s="3" t="s">
        <v>117</v>
      </c>
      <c r="G992" s="3">
        <f t="shared" si="1023"/>
        <v>12.4</v>
      </c>
      <c r="H992" s="14" t="str">
        <f t="shared" ref="H992" si="1053">IF(NOT(ISNUMBER(VALUE(G992))), "NA",IF(VALUE(G992)&gt;15.5,"HIGH",IF(VALUE(G992)&lt;11,"LOW", "VALUE IN RANGE")))</f>
        <v>VALUE IN RANGE</v>
      </c>
    </row>
    <row r="993" spans="3:8" x14ac:dyDescent="0.25">
      <c r="C993" s="13"/>
      <c r="D993" s="4" t="s">
        <v>1533</v>
      </c>
      <c r="E993" s="1" t="s">
        <v>31</v>
      </c>
      <c r="F993" s="5">
        <v>163</v>
      </c>
      <c r="G993" s="3">
        <f t="shared" si="1023"/>
        <v>163</v>
      </c>
      <c r="H993" s="14" t="str">
        <f t="shared" ref="H993" si="1054">IF(NOT(ISNUMBER(VALUE(G993))), "NA",IF(VALUE(G993)&gt;460,"HIGH",IF(VALUE(G993)&lt;117,"LOW", "VALUE IN RANGE")))</f>
        <v>VALUE IN RANGE</v>
      </c>
    </row>
    <row r="994" spans="3:8" x14ac:dyDescent="0.25">
      <c r="C994" s="13"/>
      <c r="D994" s="4" t="s">
        <v>1533</v>
      </c>
      <c r="E994" s="4" t="s">
        <v>33</v>
      </c>
      <c r="F994" s="3" t="s">
        <v>90</v>
      </c>
      <c r="G994" s="3">
        <f t="shared" si="1023"/>
        <v>7.9</v>
      </c>
      <c r="H994" s="14" t="str">
        <f t="shared" ref="H994" si="1055">IF(NOT(ISNUMBER(VALUE(G994))), "NA",IF(VALUE(G994)&gt;12,"HIGH",IF(VALUE(G994)&lt;7,"LOW", "VALUE IN RANGE")))</f>
        <v>VALUE IN RANGE</v>
      </c>
    </row>
    <row r="995" spans="3:8" x14ac:dyDescent="0.25">
      <c r="C995" s="13" t="str">
        <f t="shared" ref="C995" si="1056">IF(D995=D1010,D1009,"falso")</f>
        <v>PATIENT_0063</v>
      </c>
      <c r="D995" s="4" t="s">
        <v>1534</v>
      </c>
      <c r="E995" s="1" t="s">
        <v>3</v>
      </c>
      <c r="F995" s="5" t="s">
        <v>587</v>
      </c>
      <c r="G995" s="3">
        <f t="shared" si="1023"/>
        <v>11.5</v>
      </c>
      <c r="H995" s="14" t="str">
        <f t="shared" ref="H995" si="1057">IF(NOT(ISNUMBER(VALUE(G995))), "NA",IF(VALUE(G995)&gt;17,"HIGH",IF(VALUE(G995)&lt;6,"LOW", "VALUE IN RANGE")))</f>
        <v>VALUE IN RANGE</v>
      </c>
    </row>
    <row r="996" spans="3:8" x14ac:dyDescent="0.25">
      <c r="C996" s="13"/>
      <c r="D996" s="4" t="s">
        <v>1534</v>
      </c>
      <c r="E996" s="4" t="s">
        <v>5</v>
      </c>
      <c r="F996" s="3" t="s">
        <v>587</v>
      </c>
      <c r="G996" s="3">
        <f t="shared" si="1023"/>
        <v>11.5</v>
      </c>
      <c r="H996" s="14" t="str">
        <f t="shared" ref="H996" si="1058">IF(NOT(ISNUMBER(VALUE(G996))), "NA",IF(VALUE(G996)&gt;30,"HIGH",IF(VALUE(G996)&lt;12,"LOW", "VALUE IN RANGE")))</f>
        <v>LOW</v>
      </c>
    </row>
    <row r="997" spans="3:8" x14ac:dyDescent="0.25">
      <c r="C997" s="13"/>
      <c r="D997" s="4" t="s">
        <v>1534</v>
      </c>
      <c r="E997" s="1" t="s">
        <v>7</v>
      </c>
      <c r="F997" s="5" t="s">
        <v>684</v>
      </c>
      <c r="G997" s="3">
        <f t="shared" si="1023"/>
        <v>3.2</v>
      </c>
      <c r="H997" s="14" t="str">
        <f t="shared" ref="H997" si="1059">IF(NOT(ISNUMBER(VALUE(G997))), "NA",IF(VALUE(G997)&gt;9,"HIGH",IF(VALUE(G997)&lt;2,"LOW", "VALUE IN RANGE")))</f>
        <v>VALUE IN RANGE</v>
      </c>
    </row>
    <row r="998" spans="3:8" x14ac:dyDescent="0.25">
      <c r="C998" s="13"/>
      <c r="D998" s="4" t="s">
        <v>1534</v>
      </c>
      <c r="E998" s="4" t="s">
        <v>9</v>
      </c>
      <c r="F998" s="3" t="s">
        <v>685</v>
      </c>
      <c r="G998" s="3">
        <f t="shared" si="1023"/>
        <v>85.3</v>
      </c>
      <c r="H998" s="14" t="str">
        <f t="shared" ref="H998" si="1060">IF(NOT(ISNUMBER(VALUE(G998))), "NA",IF(VALUE(G998)&gt;83,"HIGH",IF(VALUE(G998)&lt;60,"LOW", "VALUE IN RANGE")))</f>
        <v>HIGH</v>
      </c>
    </row>
    <row r="999" spans="3:8" x14ac:dyDescent="0.25">
      <c r="C999" s="13"/>
      <c r="D999" s="4" t="s">
        <v>1534</v>
      </c>
      <c r="E999" s="1" t="s">
        <v>11</v>
      </c>
      <c r="F999" s="5">
        <v>1300</v>
      </c>
      <c r="G999" s="3">
        <f t="shared" si="1023"/>
        <v>1300</v>
      </c>
      <c r="H999" s="14" t="str">
        <f t="shared" ref="H999" si="1061">IF(NOT(ISNUMBER(VALUE(G999))), "NA",IF(VALUE(G999)&gt;5.1,"HIGH",IF(VALUE(G999)&lt;0.8,"LOW", "VALUE IN RANGE")))</f>
        <v>HIGH</v>
      </c>
    </row>
    <row r="1000" spans="3:8" x14ac:dyDescent="0.25">
      <c r="C1000" s="13"/>
      <c r="D1000" s="4" t="s">
        <v>1534</v>
      </c>
      <c r="E1000" s="4" t="s">
        <v>13</v>
      </c>
      <c r="F1000" s="3" t="s">
        <v>14</v>
      </c>
      <c r="G1000" s="3">
        <f t="shared" si="1023"/>
        <v>0.3</v>
      </c>
      <c r="H1000" s="14" t="str">
        <f t="shared" ref="H1000" si="1062">IF(NOT(ISNUMBER(VALUE(G1000))), "NA",IF(VALUE(G1000)&gt;1.8,"HIGH",IF(VALUE(G1000)&lt;0,"LOW", "VALUE IN RANGE")))</f>
        <v>VALUE IN RANGE</v>
      </c>
    </row>
    <row r="1001" spans="3:8" x14ac:dyDescent="0.25">
      <c r="C1001" s="13"/>
      <c r="D1001" s="4" t="s">
        <v>1534</v>
      </c>
      <c r="E1001" s="1" t="s">
        <v>15</v>
      </c>
      <c r="F1001" s="5">
        <v>9900</v>
      </c>
      <c r="G1001" s="3">
        <f t="shared" si="1023"/>
        <v>9900</v>
      </c>
      <c r="H1001" s="14" t="str">
        <f t="shared" ref="H1001" si="1063">IF(NOT(ISNUMBER(VALUE(G1001))), "NA",IF(VALUE(G1001)&gt;12.6,"HIGH",IF(VALUE(G1001)&lt;4,"LOW", "VALUE IN RANGE")))</f>
        <v>HIGH</v>
      </c>
    </row>
    <row r="1002" spans="3:8" x14ac:dyDescent="0.25">
      <c r="C1002" s="13"/>
      <c r="D1002" s="4" t="s">
        <v>1534</v>
      </c>
      <c r="E1002" s="4" t="s">
        <v>17</v>
      </c>
      <c r="F1002" s="3" t="s">
        <v>648</v>
      </c>
      <c r="G1002" s="3">
        <f t="shared" si="1023"/>
        <v>6.3</v>
      </c>
      <c r="H1002" s="14" t="str">
        <f t="shared" ref="H1002" si="1064">IF(NOT(ISNUMBER(VALUE(G1002))), "NA",IF(VALUE(G1002)&gt;8.5,"HIGH",IF(VALUE(G1002)&lt;5.5,"LOW", "VALUE IN RANGE")))</f>
        <v>VALUE IN RANGE</v>
      </c>
    </row>
    <row r="1003" spans="3:8" x14ac:dyDescent="0.25">
      <c r="C1003" s="13"/>
      <c r="D1003" s="4" t="s">
        <v>1534</v>
      </c>
      <c r="E1003" s="1" t="s">
        <v>19</v>
      </c>
      <c r="F1003" s="5">
        <v>145</v>
      </c>
      <c r="G1003" s="3">
        <f t="shared" si="1023"/>
        <v>145</v>
      </c>
      <c r="H1003" s="14" t="str">
        <f t="shared" ref="H1003" si="1065">IF(NOT(ISNUMBER(VALUE(G1003))), "NA",IF(VALUE(G1003)&gt;190,"HIGH",IF(VALUE(G1003)&lt;110,"LOW", "VALUE IN RANGE")))</f>
        <v>VALUE IN RANGE</v>
      </c>
    </row>
    <row r="1004" spans="3:8" x14ac:dyDescent="0.25">
      <c r="C1004" s="13"/>
      <c r="D1004" s="4" t="s">
        <v>1534</v>
      </c>
      <c r="E1004" s="4" t="s">
        <v>21</v>
      </c>
      <c r="F1004" s="3" t="s">
        <v>688</v>
      </c>
      <c r="G1004" s="3">
        <f t="shared" si="1023"/>
        <v>42.7</v>
      </c>
      <c r="H1004" s="14" t="str">
        <f t="shared" ref="H1004" si="1066">IF(NOT(ISNUMBER(VALUE(G1004))), "NA",IF(VALUE(G1004)&gt;56,"HIGH",IF(VALUE(G1004)&lt;39,"LOW", "VALUE IN RANGE")))</f>
        <v>VALUE IN RANGE</v>
      </c>
    </row>
    <row r="1005" spans="3:8" x14ac:dyDescent="0.25">
      <c r="C1005" s="13"/>
      <c r="D1005" s="4" t="s">
        <v>1534</v>
      </c>
      <c r="E1005" s="1" t="s">
        <v>23</v>
      </c>
      <c r="F1005" s="5" t="s">
        <v>689</v>
      </c>
      <c r="G1005" s="3">
        <f t="shared" si="1023"/>
        <v>67.8</v>
      </c>
      <c r="H1005" s="14" t="str">
        <f t="shared" ref="H1005" si="1067">IF(NOT(ISNUMBER(VALUE(G1005))), "NA",IF(VALUE(G1005)&gt;72,"HIGH",IF(VALUE(G1005)&lt;62,"LOW", "VALUE IN RANGE")))</f>
        <v>VALUE IN RANGE</v>
      </c>
    </row>
    <row r="1006" spans="3:8" x14ac:dyDescent="0.25">
      <c r="C1006" s="13"/>
      <c r="D1006" s="4" t="s">
        <v>1534</v>
      </c>
      <c r="E1006" s="4" t="s">
        <v>25</v>
      </c>
      <c r="F1006" s="3" t="s">
        <v>524</v>
      </c>
      <c r="G1006" s="3">
        <f t="shared" si="1023"/>
        <v>23</v>
      </c>
      <c r="H1006" s="14" t="str">
        <f t="shared" ref="H1006" si="1068">IF(NOT(ISNUMBER(VALUE(G1006))), "NA",IF(VALUE(G1006)&gt;25,"HIGH",IF(VALUE(G1006)&lt;20,"LOW", "VALUE IN RANGE")))</f>
        <v>VALUE IN RANGE</v>
      </c>
    </row>
    <row r="1007" spans="3:8" x14ac:dyDescent="0.25">
      <c r="C1007" s="13"/>
      <c r="D1007" s="4" t="s">
        <v>1534</v>
      </c>
      <c r="E1007" s="1" t="s">
        <v>27</v>
      </c>
      <c r="F1007" s="5">
        <v>339</v>
      </c>
      <c r="G1007" s="3">
        <f t="shared" si="1023"/>
        <v>339</v>
      </c>
      <c r="H1007" s="14" t="str">
        <f t="shared" ref="H1007" si="1069">IF(NOT(ISNUMBER(VALUE(G1007))), "NA",IF(VALUE(G1007)&gt;380,"HIGH",IF(VALUE(G1007)&lt;300,"LOW", "VALUE IN RANGE")))</f>
        <v>VALUE IN RANGE</v>
      </c>
    </row>
    <row r="1008" spans="3:8" x14ac:dyDescent="0.25">
      <c r="C1008" s="13"/>
      <c r="D1008" s="4" t="s">
        <v>1534</v>
      </c>
      <c r="E1008" s="4" t="s">
        <v>29</v>
      </c>
      <c r="F1008" s="3" t="s">
        <v>117</v>
      </c>
      <c r="G1008" s="3">
        <f t="shared" si="1023"/>
        <v>12.4</v>
      </c>
      <c r="H1008" s="14" t="str">
        <f t="shared" ref="H1008" si="1070">IF(NOT(ISNUMBER(VALUE(G1008))), "NA",IF(VALUE(G1008)&gt;15.5,"HIGH",IF(VALUE(G1008)&lt;11,"LOW", "VALUE IN RANGE")))</f>
        <v>VALUE IN RANGE</v>
      </c>
    </row>
    <row r="1009" spans="3:8" x14ac:dyDescent="0.25">
      <c r="C1009" s="13"/>
      <c r="D1009" s="4" t="s">
        <v>1534</v>
      </c>
      <c r="E1009" s="1" t="s">
        <v>31</v>
      </c>
      <c r="F1009" s="5">
        <v>254</v>
      </c>
      <c r="G1009" s="3">
        <f t="shared" si="1023"/>
        <v>254</v>
      </c>
      <c r="H1009" s="14" t="str">
        <f t="shared" ref="H1009" si="1071">IF(NOT(ISNUMBER(VALUE(G1009))), "NA",IF(VALUE(G1009)&gt;460,"HIGH",IF(VALUE(G1009)&lt;117,"LOW", "VALUE IN RANGE")))</f>
        <v>VALUE IN RANGE</v>
      </c>
    </row>
    <row r="1010" spans="3:8" x14ac:dyDescent="0.25">
      <c r="C1010" s="13"/>
      <c r="D1010" s="4" t="s">
        <v>1534</v>
      </c>
      <c r="E1010" s="4" t="s">
        <v>33</v>
      </c>
      <c r="F1010" s="3" t="s">
        <v>645</v>
      </c>
      <c r="G1010" s="3">
        <f t="shared" si="1023"/>
        <v>7.5</v>
      </c>
      <c r="H1010" s="14" t="str">
        <f t="shared" ref="H1010" si="1072">IF(NOT(ISNUMBER(VALUE(G1010))), "NA",IF(VALUE(G1010)&gt;12,"HIGH",IF(VALUE(G1010)&lt;7,"LOW", "VALUE IN RANGE")))</f>
        <v>VALUE IN RANGE</v>
      </c>
    </row>
    <row r="1011" spans="3:8" ht="15" customHeight="1" x14ac:dyDescent="0.25">
      <c r="C1011" s="13" t="str">
        <f t="shared" ref="C1011" si="1073">IF(D1011=D1026,D1025,"falso")</f>
        <v>PATIENT_0064</v>
      </c>
      <c r="D1011" s="4" t="s">
        <v>1535</v>
      </c>
      <c r="E1011" s="1" t="s">
        <v>3</v>
      </c>
      <c r="F1011" s="5" t="s">
        <v>691</v>
      </c>
      <c r="G1011" s="3">
        <f t="shared" si="1023"/>
        <v>8.5</v>
      </c>
      <c r="H1011" s="14" t="str">
        <f t="shared" ref="H1011" si="1074">IF(NOT(ISNUMBER(VALUE(G1011))), "NA",IF(VALUE(G1011)&gt;17,"HIGH",IF(VALUE(G1011)&lt;6,"LOW", "VALUE IN RANGE")))</f>
        <v>VALUE IN RANGE</v>
      </c>
    </row>
    <row r="1012" spans="3:8" x14ac:dyDescent="0.25">
      <c r="C1012" s="13"/>
      <c r="D1012" s="4" t="s">
        <v>1535</v>
      </c>
      <c r="E1012" s="4" t="s">
        <v>5</v>
      </c>
      <c r="F1012" s="3" t="s">
        <v>692</v>
      </c>
      <c r="G1012" s="3">
        <f t="shared" si="1023"/>
        <v>13.2</v>
      </c>
      <c r="H1012" s="14" t="str">
        <f t="shared" ref="H1012" si="1075">IF(NOT(ISNUMBER(VALUE(G1012))), "NA",IF(VALUE(G1012)&gt;30,"HIGH",IF(VALUE(G1012)&lt;12,"LOW", "VALUE IN RANGE")))</f>
        <v>VALUE IN RANGE</v>
      </c>
    </row>
    <row r="1013" spans="3:8" x14ac:dyDescent="0.25">
      <c r="C1013" s="13"/>
      <c r="D1013" s="4" t="s">
        <v>1535</v>
      </c>
      <c r="E1013" s="1" t="s">
        <v>7</v>
      </c>
      <c r="F1013" s="5" t="s">
        <v>452</v>
      </c>
      <c r="G1013" s="3">
        <f t="shared" si="1023"/>
        <v>4.5</v>
      </c>
      <c r="H1013" s="14" t="str">
        <f t="shared" ref="H1013" si="1076">IF(NOT(ISNUMBER(VALUE(G1013))), "NA",IF(VALUE(G1013)&gt;9,"HIGH",IF(VALUE(G1013)&lt;2,"LOW", "VALUE IN RANGE")))</f>
        <v>VALUE IN RANGE</v>
      </c>
    </row>
    <row r="1014" spans="3:8" x14ac:dyDescent="0.25">
      <c r="C1014" s="13"/>
      <c r="D1014" s="4" t="s">
        <v>1535</v>
      </c>
      <c r="E1014" s="4" t="s">
        <v>9</v>
      </c>
      <c r="F1014" s="3" t="s">
        <v>693</v>
      </c>
      <c r="G1014" s="3">
        <f t="shared" si="1023"/>
        <v>82.3</v>
      </c>
      <c r="H1014" s="14" t="str">
        <f t="shared" ref="H1014" si="1077">IF(NOT(ISNUMBER(VALUE(G1014))), "NA",IF(VALUE(G1014)&gt;83,"HIGH",IF(VALUE(G1014)&lt;60,"LOW", "VALUE IN RANGE")))</f>
        <v>VALUE IN RANGE</v>
      </c>
    </row>
    <row r="1015" spans="3:8" x14ac:dyDescent="0.25">
      <c r="C1015" s="13"/>
      <c r="D1015" s="4" t="s">
        <v>1535</v>
      </c>
      <c r="E1015" s="1" t="s">
        <v>11</v>
      </c>
      <c r="F1015" s="5">
        <v>1100</v>
      </c>
      <c r="G1015" s="3">
        <f t="shared" si="1023"/>
        <v>1100</v>
      </c>
      <c r="H1015" s="14" t="str">
        <f t="shared" ref="H1015" si="1078">IF(NOT(ISNUMBER(VALUE(G1015))), "NA",IF(VALUE(G1015)&gt;5.1,"HIGH",IF(VALUE(G1015)&lt;0.8,"LOW", "VALUE IN RANGE")))</f>
        <v>HIGH</v>
      </c>
    </row>
    <row r="1016" spans="3:8" x14ac:dyDescent="0.25">
      <c r="C1016" s="13"/>
      <c r="D1016" s="4" t="s">
        <v>1535</v>
      </c>
      <c r="E1016" s="4" t="s">
        <v>13</v>
      </c>
      <c r="F1016" s="3" t="s">
        <v>14</v>
      </c>
      <c r="G1016" s="3">
        <f t="shared" si="1023"/>
        <v>0.3</v>
      </c>
      <c r="H1016" s="14" t="str">
        <f t="shared" ref="H1016" si="1079">IF(NOT(ISNUMBER(VALUE(G1016))), "NA",IF(VALUE(G1016)&gt;1.8,"HIGH",IF(VALUE(G1016)&lt;0,"LOW", "VALUE IN RANGE")))</f>
        <v>VALUE IN RANGE</v>
      </c>
    </row>
    <row r="1017" spans="3:8" x14ac:dyDescent="0.25">
      <c r="C1017" s="13"/>
      <c r="D1017" s="4" t="s">
        <v>1535</v>
      </c>
      <c r="E1017" s="1" t="s">
        <v>15</v>
      </c>
      <c r="F1017" s="5">
        <v>7100</v>
      </c>
      <c r="G1017" s="3">
        <f t="shared" si="1023"/>
        <v>7100</v>
      </c>
      <c r="H1017" s="14" t="str">
        <f t="shared" ref="H1017" si="1080">IF(NOT(ISNUMBER(VALUE(G1017))), "NA",IF(VALUE(G1017)&gt;12.6,"HIGH",IF(VALUE(G1017)&lt;4,"LOW", "VALUE IN RANGE")))</f>
        <v>HIGH</v>
      </c>
    </row>
    <row r="1018" spans="3:8" x14ac:dyDescent="0.25">
      <c r="C1018" s="13"/>
      <c r="D1018" s="4" t="s">
        <v>1535</v>
      </c>
      <c r="E1018" s="4" t="s">
        <v>17</v>
      </c>
      <c r="F1018" s="3" t="s">
        <v>695</v>
      </c>
      <c r="G1018" s="3">
        <f t="shared" si="1023"/>
        <v>5.49</v>
      </c>
      <c r="H1018" s="14" t="str">
        <f t="shared" ref="H1018" si="1081">IF(NOT(ISNUMBER(VALUE(G1018))), "NA",IF(VALUE(G1018)&gt;8.5,"HIGH",IF(VALUE(G1018)&lt;5.5,"LOW", "VALUE IN RANGE")))</f>
        <v>LOW</v>
      </c>
    </row>
    <row r="1019" spans="3:8" x14ac:dyDescent="0.25">
      <c r="C1019" s="13"/>
      <c r="D1019" s="4" t="s">
        <v>1535</v>
      </c>
      <c r="E1019" s="1" t="s">
        <v>19</v>
      </c>
      <c r="F1019" s="5">
        <v>125</v>
      </c>
      <c r="G1019" s="3">
        <f t="shared" si="1023"/>
        <v>125</v>
      </c>
      <c r="H1019" s="14" t="str">
        <f t="shared" ref="H1019" si="1082">IF(NOT(ISNUMBER(VALUE(G1019))), "NA",IF(VALUE(G1019)&gt;190,"HIGH",IF(VALUE(G1019)&lt;110,"LOW", "VALUE IN RANGE")))</f>
        <v>VALUE IN RANGE</v>
      </c>
    </row>
    <row r="1020" spans="3:8" x14ac:dyDescent="0.25">
      <c r="C1020" s="13"/>
      <c r="D1020" s="4" t="s">
        <v>1535</v>
      </c>
      <c r="E1020" s="4" t="s">
        <v>21</v>
      </c>
      <c r="F1020" s="3" t="s">
        <v>697</v>
      </c>
      <c r="G1020" s="3">
        <f t="shared" si="1023"/>
        <v>39.700000000000003</v>
      </c>
      <c r="H1020" s="14" t="str">
        <f t="shared" ref="H1020" si="1083">IF(NOT(ISNUMBER(VALUE(G1020))), "NA",IF(VALUE(G1020)&gt;56,"HIGH",IF(VALUE(G1020)&lt;39,"LOW", "VALUE IN RANGE")))</f>
        <v>VALUE IN RANGE</v>
      </c>
    </row>
    <row r="1021" spans="3:8" x14ac:dyDescent="0.25">
      <c r="C1021" s="13"/>
      <c r="D1021" s="4" t="s">
        <v>1535</v>
      </c>
      <c r="E1021" s="1" t="s">
        <v>23</v>
      </c>
      <c r="F1021" s="5" t="s">
        <v>698</v>
      </c>
      <c r="G1021" s="3">
        <f t="shared" si="1023"/>
        <v>72.400000000000006</v>
      </c>
      <c r="H1021" s="14" t="str">
        <f t="shared" ref="H1021" si="1084">IF(NOT(ISNUMBER(VALUE(G1021))), "NA",IF(VALUE(G1021)&gt;72,"HIGH",IF(VALUE(G1021)&lt;62,"LOW", "VALUE IN RANGE")))</f>
        <v>HIGH</v>
      </c>
    </row>
    <row r="1022" spans="3:8" x14ac:dyDescent="0.25">
      <c r="C1022" s="13"/>
      <c r="D1022" s="4" t="s">
        <v>1535</v>
      </c>
      <c r="E1022" s="4" t="s">
        <v>25</v>
      </c>
      <c r="F1022" s="3" t="s">
        <v>381</v>
      </c>
      <c r="G1022" s="3">
        <f t="shared" si="1023"/>
        <v>22.7</v>
      </c>
      <c r="H1022" s="14" t="str">
        <f t="shared" ref="H1022" si="1085">IF(NOT(ISNUMBER(VALUE(G1022))), "NA",IF(VALUE(G1022)&gt;25,"HIGH",IF(VALUE(G1022)&lt;20,"LOW", "VALUE IN RANGE")))</f>
        <v>VALUE IN RANGE</v>
      </c>
    </row>
    <row r="1023" spans="3:8" x14ac:dyDescent="0.25">
      <c r="C1023" s="13"/>
      <c r="D1023" s="4" t="s">
        <v>1535</v>
      </c>
      <c r="E1023" s="1" t="s">
        <v>27</v>
      </c>
      <c r="F1023" s="5">
        <v>314</v>
      </c>
      <c r="G1023" s="3">
        <f t="shared" si="1023"/>
        <v>314</v>
      </c>
      <c r="H1023" s="14" t="str">
        <f t="shared" ref="H1023" si="1086">IF(NOT(ISNUMBER(VALUE(G1023))), "NA",IF(VALUE(G1023)&gt;380,"HIGH",IF(VALUE(G1023)&lt;300,"LOW", "VALUE IN RANGE")))</f>
        <v>VALUE IN RANGE</v>
      </c>
    </row>
    <row r="1024" spans="3:8" x14ac:dyDescent="0.25">
      <c r="C1024" s="13"/>
      <c r="D1024" s="4" t="s">
        <v>1535</v>
      </c>
      <c r="E1024" s="4" t="s">
        <v>29</v>
      </c>
      <c r="F1024" s="3" t="s">
        <v>699</v>
      </c>
      <c r="G1024" s="3">
        <f t="shared" si="1023"/>
        <v>11.1</v>
      </c>
      <c r="H1024" s="14" t="str">
        <f t="shared" ref="H1024" si="1087">IF(NOT(ISNUMBER(VALUE(G1024))), "NA",IF(VALUE(G1024)&gt;15.5,"HIGH",IF(VALUE(G1024)&lt;11,"LOW", "VALUE IN RANGE")))</f>
        <v>VALUE IN RANGE</v>
      </c>
    </row>
    <row r="1025" spans="3:8" x14ac:dyDescent="0.25">
      <c r="C1025" s="13"/>
      <c r="D1025" s="4" t="s">
        <v>1535</v>
      </c>
      <c r="E1025" s="1" t="s">
        <v>31</v>
      </c>
      <c r="F1025" s="5">
        <v>177</v>
      </c>
      <c r="G1025" s="3">
        <f t="shared" si="1023"/>
        <v>177</v>
      </c>
      <c r="H1025" s="14" t="str">
        <f t="shared" ref="H1025" si="1088">IF(NOT(ISNUMBER(VALUE(G1025))), "NA",IF(VALUE(G1025)&gt;460,"HIGH",IF(VALUE(G1025)&lt;117,"LOW", "VALUE IN RANGE")))</f>
        <v>VALUE IN RANGE</v>
      </c>
    </row>
    <row r="1026" spans="3:8" x14ac:dyDescent="0.25">
      <c r="C1026" s="13"/>
      <c r="D1026" s="4" t="s">
        <v>1535</v>
      </c>
      <c r="E1026" s="4" t="s">
        <v>33</v>
      </c>
      <c r="F1026" s="3" t="s">
        <v>701</v>
      </c>
      <c r="G1026" s="3">
        <f t="shared" si="1023"/>
        <v>10.199999999999999</v>
      </c>
      <c r="H1026" s="14" t="str">
        <f t="shared" ref="H1026" si="1089">IF(NOT(ISNUMBER(VALUE(G1026))), "NA",IF(VALUE(G1026)&gt;12,"HIGH",IF(VALUE(G1026)&lt;7,"LOW", "VALUE IN RANGE")))</f>
        <v>VALUE IN RANGE</v>
      </c>
    </row>
    <row r="1027" spans="3:8" ht="15" customHeight="1" x14ac:dyDescent="0.25">
      <c r="C1027" s="13" t="str">
        <f t="shared" ref="C1027" si="1090">IF(D1027=D1042,D1041,"falso")</f>
        <v>PATIENT_0065</v>
      </c>
      <c r="D1027" s="4" t="s">
        <v>1536</v>
      </c>
      <c r="E1027" s="1" t="s">
        <v>134</v>
      </c>
      <c r="F1027" s="5" t="s">
        <v>702</v>
      </c>
      <c r="G1027" s="3">
        <f t="shared" si="1023"/>
        <v>17.8</v>
      </c>
      <c r="H1027" s="14" t="str">
        <f t="shared" ref="H1027" si="1091">IF(NOT(ISNUMBER(VALUE(G1027))), "NA",IF(VALUE(G1027)&gt;17,"HIGH",IF(VALUE(G1027)&lt;6,"LOW", "VALUE IN RANGE")))</f>
        <v>HIGH</v>
      </c>
    </row>
    <row r="1028" spans="3:8" x14ac:dyDescent="0.25">
      <c r="C1028" s="13"/>
      <c r="D1028" s="4" t="s">
        <v>1536</v>
      </c>
      <c r="E1028" s="4" t="s">
        <v>136</v>
      </c>
      <c r="F1028" s="3" t="s">
        <v>703</v>
      </c>
      <c r="G1028" s="3">
        <f t="shared" ref="G1028:G1091" si="1092">IFERROR(
   VALUE(
      SUBSTITUTE(
         CLEAN(
            TRIM(F1028)
         ),
         ".",
         ","
      )
   ),
   ""
)</f>
        <v>25.5</v>
      </c>
      <c r="H1028" s="14" t="str">
        <f t="shared" ref="H1028" si="1093">IF(NOT(ISNUMBER(VALUE(G1028))), "NA",IF(VALUE(G1028)&gt;30,"HIGH",IF(VALUE(G1028)&lt;12,"LOW", "VALUE IN RANGE")))</f>
        <v>VALUE IN RANGE</v>
      </c>
    </row>
    <row r="1029" spans="3:8" x14ac:dyDescent="0.25">
      <c r="C1029" s="13"/>
      <c r="D1029" s="4" t="s">
        <v>1536</v>
      </c>
      <c r="E1029" s="1" t="s">
        <v>7</v>
      </c>
      <c r="F1029" s="5" t="s">
        <v>106</v>
      </c>
      <c r="G1029" s="3">
        <f t="shared" si="1092"/>
        <v>6.5</v>
      </c>
      <c r="H1029" s="14" t="str">
        <f t="shared" ref="H1029" si="1094">IF(NOT(ISNUMBER(VALUE(G1029))), "NA",IF(VALUE(G1029)&gt;9,"HIGH",IF(VALUE(G1029)&lt;2,"LOW", "VALUE IN RANGE")))</f>
        <v>VALUE IN RANGE</v>
      </c>
    </row>
    <row r="1030" spans="3:8" x14ac:dyDescent="0.25">
      <c r="C1030" s="13"/>
      <c r="D1030" s="4" t="s">
        <v>1536</v>
      </c>
      <c r="E1030" s="4" t="s">
        <v>139</v>
      </c>
      <c r="F1030" s="3" t="s">
        <v>704</v>
      </c>
      <c r="G1030" s="3">
        <f t="shared" si="1092"/>
        <v>68</v>
      </c>
      <c r="H1030" s="14" t="str">
        <f t="shared" ref="H1030" si="1095">IF(NOT(ISNUMBER(VALUE(G1030))), "NA",IF(VALUE(G1030)&gt;83,"HIGH",IF(VALUE(G1030)&lt;60,"LOW", "VALUE IN RANGE")))</f>
        <v>VALUE IN RANGE</v>
      </c>
    </row>
    <row r="1031" spans="3:8" x14ac:dyDescent="0.25">
      <c r="C1031" s="13"/>
      <c r="D1031" s="4" t="s">
        <v>1536</v>
      </c>
      <c r="E1031" s="1" t="s">
        <v>141</v>
      </c>
      <c r="F1031" s="5">
        <v>4500</v>
      </c>
      <c r="G1031" s="3">
        <f t="shared" si="1092"/>
        <v>4500</v>
      </c>
      <c r="H1031" s="14" t="str">
        <f t="shared" ref="H1031" si="1096">IF(NOT(ISNUMBER(VALUE(G1031))), "NA",IF(VALUE(G1031)&gt;5.1,"HIGH",IF(VALUE(G1031)&lt;0.8,"LOW", "VALUE IN RANGE")))</f>
        <v>HIGH</v>
      </c>
    </row>
    <row r="1032" spans="3:8" x14ac:dyDescent="0.25">
      <c r="C1032" s="13"/>
      <c r="D1032" s="4" t="s">
        <v>1536</v>
      </c>
      <c r="E1032" s="4" t="s">
        <v>143</v>
      </c>
      <c r="F1032" s="3">
        <v>1100</v>
      </c>
      <c r="G1032" s="3">
        <f t="shared" si="1092"/>
        <v>1100</v>
      </c>
      <c r="H1032" s="14" t="str">
        <f t="shared" ref="H1032" si="1097">IF(NOT(ISNUMBER(VALUE(G1032))), "NA",IF(VALUE(G1032)&gt;1.8,"HIGH",IF(VALUE(G1032)&lt;0,"LOW", "VALUE IN RANGE")))</f>
        <v>HIGH</v>
      </c>
    </row>
    <row r="1033" spans="3:8" x14ac:dyDescent="0.25">
      <c r="C1033" s="13"/>
      <c r="D1033" s="4" t="s">
        <v>1536</v>
      </c>
      <c r="E1033" s="1" t="s">
        <v>144</v>
      </c>
      <c r="F1033" s="5">
        <v>12200</v>
      </c>
      <c r="G1033" s="3">
        <f t="shared" si="1092"/>
        <v>12200</v>
      </c>
      <c r="H1033" s="14" t="str">
        <f t="shared" ref="H1033" si="1098">IF(NOT(ISNUMBER(VALUE(G1033))), "NA",IF(VALUE(G1033)&gt;12.6,"HIGH",IF(VALUE(G1033)&lt;4,"LOW", "VALUE IN RANGE")))</f>
        <v>HIGH</v>
      </c>
    </row>
    <row r="1034" spans="3:8" x14ac:dyDescent="0.25">
      <c r="C1034" s="13"/>
      <c r="D1034" s="4" t="s">
        <v>1536</v>
      </c>
      <c r="E1034" s="4" t="s">
        <v>146</v>
      </c>
      <c r="F1034" s="3" t="s">
        <v>707</v>
      </c>
      <c r="G1034" s="3">
        <f t="shared" si="1092"/>
        <v>8.52</v>
      </c>
      <c r="H1034" s="14" t="str">
        <f t="shared" ref="H1034" si="1099">IF(NOT(ISNUMBER(VALUE(G1034))), "NA",IF(VALUE(G1034)&gt;8.5,"HIGH",IF(VALUE(G1034)&lt;5.5,"LOW", "VALUE IN RANGE")))</f>
        <v>HIGH</v>
      </c>
    </row>
    <row r="1035" spans="3:8" x14ac:dyDescent="0.25">
      <c r="C1035" s="13"/>
      <c r="D1035" s="4" t="s">
        <v>1536</v>
      </c>
      <c r="E1035" s="1" t="s">
        <v>148</v>
      </c>
      <c r="F1035" s="5">
        <v>117</v>
      </c>
      <c r="G1035" s="3">
        <f t="shared" si="1092"/>
        <v>117</v>
      </c>
      <c r="H1035" s="14" t="str">
        <f t="shared" ref="H1035" si="1100">IF(NOT(ISNUMBER(VALUE(G1035))), "NA",IF(VALUE(G1035)&gt;190,"HIGH",IF(VALUE(G1035)&lt;110,"LOW", "VALUE IN RANGE")))</f>
        <v>VALUE IN RANGE</v>
      </c>
    </row>
    <row r="1036" spans="3:8" x14ac:dyDescent="0.25">
      <c r="C1036" s="13"/>
      <c r="D1036" s="4" t="s">
        <v>1536</v>
      </c>
      <c r="E1036" s="4" t="s">
        <v>150</v>
      </c>
      <c r="F1036" s="3" t="s">
        <v>708</v>
      </c>
      <c r="G1036" s="3">
        <f t="shared" si="1092"/>
        <v>41.1</v>
      </c>
      <c r="H1036" s="14" t="str">
        <f t="shared" ref="H1036" si="1101">IF(NOT(ISNUMBER(VALUE(G1036))), "NA",IF(VALUE(G1036)&gt;56,"HIGH",IF(VALUE(G1036)&lt;39,"LOW", "VALUE IN RANGE")))</f>
        <v>VALUE IN RANGE</v>
      </c>
    </row>
    <row r="1037" spans="3:8" x14ac:dyDescent="0.25">
      <c r="C1037" s="13"/>
      <c r="D1037" s="4" t="s">
        <v>1536</v>
      </c>
      <c r="E1037" s="1" t="s">
        <v>152</v>
      </c>
      <c r="F1037" s="5" t="s">
        <v>709</v>
      </c>
      <c r="G1037" s="3">
        <f t="shared" si="1092"/>
        <v>48.3</v>
      </c>
      <c r="H1037" s="14" t="str">
        <f t="shared" ref="H1037" si="1102">IF(NOT(ISNUMBER(VALUE(G1037))), "NA",IF(VALUE(G1037)&gt;72,"HIGH",IF(VALUE(G1037)&lt;62,"LOW", "VALUE IN RANGE")))</f>
        <v>LOW</v>
      </c>
    </row>
    <row r="1038" spans="3:8" x14ac:dyDescent="0.25">
      <c r="C1038" s="13"/>
      <c r="D1038" s="4" t="s">
        <v>1536</v>
      </c>
      <c r="E1038" s="4" t="s">
        <v>154</v>
      </c>
      <c r="F1038" s="3" t="s">
        <v>327</v>
      </c>
      <c r="G1038" s="3">
        <f t="shared" si="1092"/>
        <v>13.7</v>
      </c>
      <c r="H1038" s="14" t="str">
        <f t="shared" ref="H1038" si="1103">IF(NOT(ISNUMBER(VALUE(G1038))), "NA",IF(VALUE(G1038)&gt;25,"HIGH",IF(VALUE(G1038)&lt;20,"LOW", "VALUE IN RANGE")))</f>
        <v>LOW</v>
      </c>
    </row>
    <row r="1039" spans="3:8" x14ac:dyDescent="0.25">
      <c r="C1039" s="13"/>
      <c r="D1039" s="4" t="s">
        <v>1536</v>
      </c>
      <c r="E1039" s="1" t="s">
        <v>27</v>
      </c>
      <c r="F1039" s="5">
        <v>284</v>
      </c>
      <c r="G1039" s="3">
        <f t="shared" si="1092"/>
        <v>284</v>
      </c>
      <c r="H1039" s="14" t="str">
        <f t="shared" ref="H1039" si="1104">IF(NOT(ISNUMBER(VALUE(G1039))), "NA",IF(VALUE(G1039)&gt;380,"HIGH",IF(VALUE(G1039)&lt;300,"LOW", "VALUE IN RANGE")))</f>
        <v>LOW</v>
      </c>
    </row>
    <row r="1040" spans="3:8" x14ac:dyDescent="0.25">
      <c r="C1040" s="13"/>
      <c r="D1040" s="4" t="s">
        <v>1536</v>
      </c>
      <c r="E1040" s="4" t="s">
        <v>157</v>
      </c>
      <c r="F1040" s="3" t="s">
        <v>710</v>
      </c>
      <c r="G1040" s="3">
        <f t="shared" si="1092"/>
        <v>15.5</v>
      </c>
      <c r="H1040" s="14" t="str">
        <f t="shared" ref="H1040" si="1105">IF(NOT(ISNUMBER(VALUE(G1040))), "NA",IF(VALUE(G1040)&gt;15.5,"HIGH",IF(VALUE(G1040)&lt;11,"LOW", "VALUE IN RANGE")))</f>
        <v>VALUE IN RANGE</v>
      </c>
    </row>
    <row r="1041" spans="3:8" x14ac:dyDescent="0.25">
      <c r="C1041" s="13"/>
      <c r="D1041" s="4" t="s">
        <v>1536</v>
      </c>
      <c r="E1041" s="1" t="s">
        <v>159</v>
      </c>
      <c r="F1041" s="5">
        <v>140</v>
      </c>
      <c r="G1041" s="3">
        <f t="shared" si="1092"/>
        <v>140</v>
      </c>
      <c r="H1041" s="14" t="str">
        <f t="shared" ref="H1041" si="1106">IF(NOT(ISNUMBER(VALUE(G1041))), "NA",IF(VALUE(G1041)&gt;460,"HIGH",IF(VALUE(G1041)&lt;117,"LOW", "VALUE IN RANGE")))</f>
        <v>VALUE IN RANGE</v>
      </c>
    </row>
    <row r="1042" spans="3:8" x14ac:dyDescent="0.25">
      <c r="C1042" s="13"/>
      <c r="D1042" s="4" t="s">
        <v>1536</v>
      </c>
      <c r="E1042" s="4" t="s">
        <v>161</v>
      </c>
      <c r="F1042" s="3" t="s">
        <v>307</v>
      </c>
      <c r="G1042" s="3">
        <f t="shared" si="1092"/>
        <v>10.6</v>
      </c>
      <c r="H1042" s="14" t="str">
        <f t="shared" ref="H1042" si="1107">IF(NOT(ISNUMBER(VALUE(G1042))), "NA",IF(VALUE(G1042)&gt;12,"HIGH",IF(VALUE(G1042)&lt;7,"LOW", "VALUE IN RANGE")))</f>
        <v>VALUE IN RANGE</v>
      </c>
    </row>
    <row r="1043" spans="3:8" ht="15" customHeight="1" x14ac:dyDescent="0.25">
      <c r="C1043" s="13" t="str">
        <f t="shared" ref="C1043" si="1108">IF(D1043=D1058,D1057,"falso")</f>
        <v>PATIENT_0066</v>
      </c>
      <c r="D1043" s="4" t="s">
        <v>1537</v>
      </c>
      <c r="E1043" s="1" t="s">
        <v>134</v>
      </c>
      <c r="F1043" s="5" t="s">
        <v>712</v>
      </c>
      <c r="G1043" s="3">
        <f t="shared" si="1092"/>
        <v>12.6</v>
      </c>
      <c r="H1043" s="14" t="str">
        <f t="shared" ref="H1043" si="1109">IF(NOT(ISNUMBER(VALUE(G1043))), "NA",IF(VALUE(G1043)&gt;17,"HIGH",IF(VALUE(G1043)&lt;6,"LOW", "VALUE IN RANGE")))</f>
        <v>VALUE IN RANGE</v>
      </c>
    </row>
    <row r="1044" spans="3:8" x14ac:dyDescent="0.25">
      <c r="C1044" s="13"/>
      <c r="D1044" s="4" t="s">
        <v>1537</v>
      </c>
      <c r="E1044" s="4" t="s">
        <v>136</v>
      </c>
      <c r="F1044" s="3" t="s">
        <v>713</v>
      </c>
      <c r="G1044" s="3">
        <f t="shared" si="1092"/>
        <v>12.8</v>
      </c>
      <c r="H1044" s="14" t="str">
        <f t="shared" ref="H1044" si="1110">IF(NOT(ISNUMBER(VALUE(G1044))), "NA",IF(VALUE(G1044)&gt;30,"HIGH",IF(VALUE(G1044)&lt;12,"LOW", "VALUE IN RANGE")))</f>
        <v>VALUE IN RANGE</v>
      </c>
    </row>
    <row r="1045" spans="3:8" x14ac:dyDescent="0.25">
      <c r="C1045" s="13"/>
      <c r="D1045" s="4" t="s">
        <v>1537</v>
      </c>
      <c r="E1045" s="1" t="s">
        <v>7</v>
      </c>
      <c r="F1045" s="5" t="s">
        <v>106</v>
      </c>
      <c r="G1045" s="3">
        <f t="shared" si="1092"/>
        <v>6.5</v>
      </c>
      <c r="H1045" s="14" t="str">
        <f t="shared" ref="H1045" si="1111">IF(NOT(ISNUMBER(VALUE(G1045))), "NA",IF(VALUE(G1045)&gt;9,"HIGH",IF(VALUE(G1045)&lt;2,"LOW", "VALUE IN RANGE")))</f>
        <v>VALUE IN RANGE</v>
      </c>
    </row>
    <row r="1046" spans="3:8" x14ac:dyDescent="0.25">
      <c r="C1046" s="13"/>
      <c r="D1046" s="4" t="s">
        <v>1537</v>
      </c>
      <c r="E1046" s="4" t="s">
        <v>139</v>
      </c>
      <c r="F1046" s="3" t="s">
        <v>408</v>
      </c>
      <c r="G1046" s="3">
        <f t="shared" si="1092"/>
        <v>80.7</v>
      </c>
      <c r="H1046" s="14" t="str">
        <f t="shared" ref="H1046" si="1112">IF(NOT(ISNUMBER(VALUE(G1046))), "NA",IF(VALUE(G1046)&gt;83,"HIGH",IF(VALUE(G1046)&lt;60,"LOW", "VALUE IN RANGE")))</f>
        <v>VALUE IN RANGE</v>
      </c>
    </row>
    <row r="1047" spans="3:8" x14ac:dyDescent="0.25">
      <c r="C1047" s="13"/>
      <c r="D1047" s="4" t="s">
        <v>1537</v>
      </c>
      <c r="E1047" s="1" t="s">
        <v>141</v>
      </c>
      <c r="F1047" s="5">
        <v>1600</v>
      </c>
      <c r="G1047" s="3">
        <f t="shared" si="1092"/>
        <v>1600</v>
      </c>
      <c r="H1047" s="14" t="str">
        <f t="shared" ref="H1047" si="1113">IF(NOT(ISNUMBER(VALUE(G1047))), "NA",IF(VALUE(G1047)&gt;5.1,"HIGH",IF(VALUE(G1047)&lt;0.8,"LOW", "VALUE IN RANGE")))</f>
        <v>HIGH</v>
      </c>
    </row>
    <row r="1048" spans="3:8" x14ac:dyDescent="0.25">
      <c r="C1048" s="13"/>
      <c r="D1048" s="4" t="s">
        <v>1537</v>
      </c>
      <c r="E1048" s="4" t="s">
        <v>143</v>
      </c>
      <c r="F1048" s="3" t="s">
        <v>476</v>
      </c>
      <c r="G1048" s="3">
        <f t="shared" si="1092"/>
        <v>0.8</v>
      </c>
      <c r="H1048" s="14" t="str">
        <f t="shared" ref="H1048" si="1114">IF(NOT(ISNUMBER(VALUE(G1048))), "NA",IF(VALUE(G1048)&gt;1.8,"HIGH",IF(VALUE(G1048)&lt;0,"LOW", "VALUE IN RANGE")))</f>
        <v>VALUE IN RANGE</v>
      </c>
    </row>
    <row r="1049" spans="3:8" x14ac:dyDescent="0.25">
      <c r="C1049" s="13"/>
      <c r="D1049" s="4" t="s">
        <v>1537</v>
      </c>
      <c r="E1049" s="1" t="s">
        <v>144</v>
      </c>
      <c r="F1049" s="5">
        <v>10200</v>
      </c>
      <c r="G1049" s="3">
        <f t="shared" si="1092"/>
        <v>10200</v>
      </c>
      <c r="H1049" s="14" t="str">
        <f t="shared" ref="H1049" si="1115">IF(NOT(ISNUMBER(VALUE(G1049))), "NA",IF(VALUE(G1049)&gt;12.6,"HIGH",IF(VALUE(G1049)&lt;4,"LOW", "VALUE IN RANGE")))</f>
        <v>HIGH</v>
      </c>
    </row>
    <row r="1050" spans="3:8" x14ac:dyDescent="0.25">
      <c r="C1050" s="13"/>
      <c r="D1050" s="4" t="s">
        <v>1537</v>
      </c>
      <c r="E1050" s="4" t="s">
        <v>146</v>
      </c>
      <c r="F1050" s="3" t="s">
        <v>715</v>
      </c>
      <c r="G1050" s="3">
        <f t="shared" si="1092"/>
        <v>8.9600000000000009</v>
      </c>
      <c r="H1050" s="14" t="str">
        <f t="shared" ref="H1050" si="1116">IF(NOT(ISNUMBER(VALUE(G1050))), "NA",IF(VALUE(G1050)&gt;8.5,"HIGH",IF(VALUE(G1050)&lt;5.5,"LOW", "VALUE IN RANGE")))</f>
        <v>HIGH</v>
      </c>
    </row>
    <row r="1051" spans="3:8" x14ac:dyDescent="0.25">
      <c r="C1051" s="13"/>
      <c r="D1051" s="4" t="s">
        <v>1537</v>
      </c>
      <c r="E1051" s="1" t="s">
        <v>148</v>
      </c>
      <c r="F1051" s="5">
        <v>119</v>
      </c>
      <c r="G1051" s="3">
        <f t="shared" si="1092"/>
        <v>119</v>
      </c>
      <c r="H1051" s="14" t="str">
        <f t="shared" ref="H1051" si="1117">IF(NOT(ISNUMBER(VALUE(G1051))), "NA",IF(VALUE(G1051)&gt;190,"HIGH",IF(VALUE(G1051)&lt;110,"LOW", "VALUE IN RANGE")))</f>
        <v>VALUE IN RANGE</v>
      </c>
    </row>
    <row r="1052" spans="3:8" x14ac:dyDescent="0.25">
      <c r="C1052" s="13"/>
      <c r="D1052" s="4" t="s">
        <v>1537</v>
      </c>
      <c r="E1052" s="4" t="s">
        <v>150</v>
      </c>
      <c r="F1052" s="3" t="s">
        <v>84</v>
      </c>
      <c r="G1052" s="3">
        <f t="shared" si="1092"/>
        <v>42.2</v>
      </c>
      <c r="H1052" s="14" t="str">
        <f t="shared" ref="H1052" si="1118">IF(NOT(ISNUMBER(VALUE(G1052))), "NA",IF(VALUE(G1052)&gt;56,"HIGH",IF(VALUE(G1052)&lt;39,"LOW", "VALUE IN RANGE")))</f>
        <v>VALUE IN RANGE</v>
      </c>
    </row>
    <row r="1053" spans="3:8" x14ac:dyDescent="0.25">
      <c r="C1053" s="13"/>
      <c r="D1053" s="4" t="s">
        <v>1537</v>
      </c>
      <c r="E1053" s="1" t="s">
        <v>152</v>
      </c>
      <c r="F1053" s="5" t="s">
        <v>717</v>
      </c>
      <c r="G1053" s="3">
        <f t="shared" si="1092"/>
        <v>47.2</v>
      </c>
      <c r="H1053" s="14" t="str">
        <f t="shared" ref="H1053" si="1119">IF(NOT(ISNUMBER(VALUE(G1053))), "NA",IF(VALUE(G1053)&gt;72,"HIGH",IF(VALUE(G1053)&lt;62,"LOW", "VALUE IN RANGE")))</f>
        <v>LOW</v>
      </c>
    </row>
    <row r="1054" spans="3:8" x14ac:dyDescent="0.25">
      <c r="C1054" s="13"/>
      <c r="D1054" s="4" t="s">
        <v>1537</v>
      </c>
      <c r="E1054" s="4" t="s">
        <v>154</v>
      </c>
      <c r="F1054" s="3" t="s">
        <v>371</v>
      </c>
      <c r="G1054" s="3">
        <f t="shared" si="1092"/>
        <v>13.2</v>
      </c>
      <c r="H1054" s="14" t="str">
        <f t="shared" ref="H1054" si="1120">IF(NOT(ISNUMBER(VALUE(G1054))), "NA",IF(VALUE(G1054)&gt;25,"HIGH",IF(VALUE(G1054)&lt;20,"LOW", "VALUE IN RANGE")))</f>
        <v>LOW</v>
      </c>
    </row>
    <row r="1055" spans="3:8" x14ac:dyDescent="0.25">
      <c r="C1055" s="13"/>
      <c r="D1055" s="4" t="s">
        <v>1537</v>
      </c>
      <c r="E1055" s="1" t="s">
        <v>27</v>
      </c>
      <c r="F1055" s="5">
        <v>281</v>
      </c>
      <c r="G1055" s="3">
        <f t="shared" si="1092"/>
        <v>281</v>
      </c>
      <c r="H1055" s="14" t="str">
        <f t="shared" ref="H1055" si="1121">IF(NOT(ISNUMBER(VALUE(G1055))), "NA",IF(VALUE(G1055)&gt;380,"HIGH",IF(VALUE(G1055)&lt;300,"LOW", "VALUE IN RANGE")))</f>
        <v>LOW</v>
      </c>
    </row>
    <row r="1056" spans="3:8" x14ac:dyDescent="0.25">
      <c r="C1056" s="13"/>
      <c r="D1056" s="4" t="s">
        <v>1537</v>
      </c>
      <c r="E1056" s="4" t="s">
        <v>157</v>
      </c>
      <c r="F1056" s="3" t="s">
        <v>200</v>
      </c>
      <c r="G1056" s="3">
        <f t="shared" si="1092"/>
        <v>15</v>
      </c>
      <c r="H1056" s="14" t="str">
        <f t="shared" ref="H1056" si="1122">IF(NOT(ISNUMBER(VALUE(G1056))), "NA",IF(VALUE(G1056)&gt;15.5,"HIGH",IF(VALUE(G1056)&lt;11,"LOW", "VALUE IN RANGE")))</f>
        <v>VALUE IN RANGE</v>
      </c>
    </row>
    <row r="1057" spans="3:8" x14ac:dyDescent="0.25">
      <c r="C1057" s="13"/>
      <c r="D1057" s="4" t="s">
        <v>1537</v>
      </c>
      <c r="E1057" s="1" t="s">
        <v>159</v>
      </c>
      <c r="F1057" s="5">
        <v>150</v>
      </c>
      <c r="G1057" s="3">
        <f t="shared" si="1092"/>
        <v>150</v>
      </c>
      <c r="H1057" s="14" t="str">
        <f t="shared" ref="H1057" si="1123">IF(NOT(ISNUMBER(VALUE(G1057))), "NA",IF(VALUE(G1057)&gt;460,"HIGH",IF(VALUE(G1057)&lt;117,"LOW", "VALUE IN RANGE")))</f>
        <v>VALUE IN RANGE</v>
      </c>
    </row>
    <row r="1058" spans="3:8" x14ac:dyDescent="0.25">
      <c r="C1058" s="13"/>
      <c r="D1058" s="4" t="s">
        <v>1537</v>
      </c>
      <c r="E1058" s="4" t="s">
        <v>161</v>
      </c>
      <c r="F1058" s="3" t="s">
        <v>718</v>
      </c>
      <c r="G1058" s="3">
        <f t="shared" si="1092"/>
        <v>11.2</v>
      </c>
      <c r="H1058" s="14" t="str">
        <f t="shared" ref="H1058" si="1124">IF(NOT(ISNUMBER(VALUE(G1058))), "NA",IF(VALUE(G1058)&gt;12,"HIGH",IF(VALUE(G1058)&lt;7,"LOW", "VALUE IN RANGE")))</f>
        <v>VALUE IN RANGE</v>
      </c>
    </row>
    <row r="1059" spans="3:8" ht="15" customHeight="1" x14ac:dyDescent="0.25">
      <c r="C1059" s="13" t="str">
        <f t="shared" ref="C1059" si="1125">IF(D1059=D1074,D1073,"falso")</f>
        <v>PATIENT_0067</v>
      </c>
      <c r="D1059" s="4" t="s">
        <v>1538</v>
      </c>
      <c r="E1059" s="1" t="s">
        <v>3</v>
      </c>
      <c r="F1059" s="5" t="s">
        <v>294</v>
      </c>
      <c r="G1059" s="3">
        <f t="shared" si="1092"/>
        <v>8.6999999999999993</v>
      </c>
      <c r="H1059" s="14" t="str">
        <f t="shared" ref="H1059" si="1126">IF(NOT(ISNUMBER(VALUE(G1059))), "NA",IF(VALUE(G1059)&gt;17,"HIGH",IF(VALUE(G1059)&lt;6,"LOW", "VALUE IN RANGE")))</f>
        <v>VALUE IN RANGE</v>
      </c>
    </row>
    <row r="1060" spans="3:8" x14ac:dyDescent="0.25">
      <c r="C1060" s="13"/>
      <c r="D1060" s="4" t="s">
        <v>1538</v>
      </c>
      <c r="E1060" s="4" t="s">
        <v>5</v>
      </c>
      <c r="F1060" s="3" t="s">
        <v>658</v>
      </c>
      <c r="G1060" s="3">
        <f t="shared" si="1092"/>
        <v>12.1</v>
      </c>
      <c r="H1060" s="14" t="str">
        <f t="shared" ref="H1060" si="1127">IF(NOT(ISNUMBER(VALUE(G1060))), "NA",IF(VALUE(G1060)&gt;30,"HIGH",IF(VALUE(G1060)&lt;12,"LOW", "VALUE IN RANGE")))</f>
        <v>VALUE IN RANGE</v>
      </c>
    </row>
    <row r="1061" spans="3:8" x14ac:dyDescent="0.25">
      <c r="C1061" s="13"/>
      <c r="D1061" s="4" t="s">
        <v>1538</v>
      </c>
      <c r="E1061" s="1" t="s">
        <v>7</v>
      </c>
      <c r="F1061" s="5" t="s">
        <v>719</v>
      </c>
      <c r="G1061" s="3">
        <f t="shared" si="1092"/>
        <v>8.1999999999999993</v>
      </c>
      <c r="H1061" s="14" t="str">
        <f t="shared" ref="H1061" si="1128">IF(NOT(ISNUMBER(VALUE(G1061))), "NA",IF(VALUE(G1061)&gt;9,"HIGH",IF(VALUE(G1061)&lt;2,"LOW", "VALUE IN RANGE")))</f>
        <v>VALUE IN RANGE</v>
      </c>
    </row>
    <row r="1062" spans="3:8" x14ac:dyDescent="0.25">
      <c r="C1062" s="13"/>
      <c r="D1062" s="4" t="s">
        <v>1538</v>
      </c>
      <c r="E1062" s="4" t="s">
        <v>9</v>
      </c>
      <c r="F1062" s="3" t="s">
        <v>720</v>
      </c>
      <c r="G1062" s="3">
        <f t="shared" si="1092"/>
        <v>79.7</v>
      </c>
      <c r="H1062" s="14" t="str">
        <f t="shared" ref="H1062" si="1129">IF(NOT(ISNUMBER(VALUE(G1062))), "NA",IF(VALUE(G1062)&gt;83,"HIGH",IF(VALUE(G1062)&lt;60,"LOW", "VALUE IN RANGE")))</f>
        <v>VALUE IN RANGE</v>
      </c>
    </row>
    <row r="1063" spans="3:8" x14ac:dyDescent="0.25">
      <c r="C1063" s="13"/>
      <c r="D1063" s="4" t="s">
        <v>1538</v>
      </c>
      <c r="E1063" s="1" t="s">
        <v>11</v>
      </c>
      <c r="F1063" s="5">
        <v>1000</v>
      </c>
      <c r="G1063" s="3">
        <f t="shared" si="1092"/>
        <v>1000</v>
      </c>
      <c r="H1063" s="14" t="str">
        <f t="shared" ref="H1063" si="1130">IF(NOT(ISNUMBER(VALUE(G1063))), "NA",IF(VALUE(G1063)&gt;5.1,"HIGH",IF(VALUE(G1063)&lt;0.8,"LOW", "VALUE IN RANGE")))</f>
        <v>HIGH</v>
      </c>
    </row>
    <row r="1064" spans="3:8" x14ac:dyDescent="0.25">
      <c r="C1064" s="13"/>
      <c r="D1064" s="4" t="s">
        <v>1538</v>
      </c>
      <c r="E1064" s="4" t="s">
        <v>13</v>
      </c>
      <c r="F1064" s="3" t="s">
        <v>12</v>
      </c>
      <c r="G1064" s="3">
        <f t="shared" si="1092"/>
        <v>0.7</v>
      </c>
      <c r="H1064" s="14" t="str">
        <f t="shared" ref="H1064" si="1131">IF(NOT(ISNUMBER(VALUE(G1064))), "NA",IF(VALUE(G1064)&gt;1.8,"HIGH",IF(VALUE(G1064)&lt;0,"LOW", "VALUE IN RANGE")))</f>
        <v>VALUE IN RANGE</v>
      </c>
    </row>
    <row r="1065" spans="3:8" x14ac:dyDescent="0.25">
      <c r="C1065" s="13"/>
      <c r="D1065" s="4" t="s">
        <v>1538</v>
      </c>
      <c r="E1065" s="1" t="s">
        <v>15</v>
      </c>
      <c r="F1065" s="5">
        <v>7000</v>
      </c>
      <c r="G1065" s="3">
        <f t="shared" si="1092"/>
        <v>7000</v>
      </c>
      <c r="H1065" s="14" t="str">
        <f t="shared" ref="H1065" si="1132">IF(NOT(ISNUMBER(VALUE(G1065))), "NA",IF(VALUE(G1065)&gt;12.6,"HIGH",IF(VALUE(G1065)&lt;4,"LOW", "VALUE IN RANGE")))</f>
        <v>HIGH</v>
      </c>
    </row>
    <row r="1066" spans="3:8" x14ac:dyDescent="0.25">
      <c r="C1066" s="13"/>
      <c r="D1066" s="4" t="s">
        <v>1538</v>
      </c>
      <c r="E1066" s="4" t="s">
        <v>17</v>
      </c>
      <c r="F1066" s="3" t="s">
        <v>722</v>
      </c>
      <c r="G1066" s="3">
        <f t="shared" si="1092"/>
        <v>8.65</v>
      </c>
      <c r="H1066" s="14" t="str">
        <f t="shared" ref="H1066" si="1133">IF(NOT(ISNUMBER(VALUE(G1066))), "NA",IF(VALUE(G1066)&gt;8.5,"HIGH",IF(VALUE(G1066)&lt;5.5,"LOW", "VALUE IN RANGE")))</f>
        <v>HIGH</v>
      </c>
    </row>
    <row r="1067" spans="3:8" x14ac:dyDescent="0.25">
      <c r="C1067" s="13"/>
      <c r="D1067" s="4" t="s">
        <v>1538</v>
      </c>
      <c r="E1067" s="1" t="s">
        <v>19</v>
      </c>
      <c r="F1067" s="5">
        <v>114</v>
      </c>
      <c r="G1067" s="3">
        <f t="shared" si="1092"/>
        <v>114</v>
      </c>
      <c r="H1067" s="14" t="str">
        <f t="shared" ref="H1067" si="1134">IF(NOT(ISNUMBER(VALUE(G1067))), "NA",IF(VALUE(G1067)&gt;190,"HIGH",IF(VALUE(G1067)&lt;110,"LOW", "VALUE IN RANGE")))</f>
        <v>VALUE IN RANGE</v>
      </c>
    </row>
    <row r="1068" spans="3:8" x14ac:dyDescent="0.25">
      <c r="C1068" s="13"/>
      <c r="D1068" s="4" t="s">
        <v>1538</v>
      </c>
      <c r="E1068" s="4" t="s">
        <v>21</v>
      </c>
      <c r="F1068" s="3" t="s">
        <v>723</v>
      </c>
      <c r="G1068" s="3">
        <f t="shared" si="1092"/>
        <v>37.299999999999997</v>
      </c>
      <c r="H1068" s="14" t="str">
        <f t="shared" ref="H1068" si="1135">IF(NOT(ISNUMBER(VALUE(G1068))), "NA",IF(VALUE(G1068)&gt;56,"HIGH",IF(VALUE(G1068)&lt;39,"LOW", "VALUE IN RANGE")))</f>
        <v>LOW</v>
      </c>
    </row>
    <row r="1069" spans="3:8" x14ac:dyDescent="0.25">
      <c r="C1069" s="13"/>
      <c r="D1069" s="4" t="s">
        <v>1538</v>
      </c>
      <c r="E1069" s="1" t="s">
        <v>23</v>
      </c>
      <c r="F1069" s="5" t="s">
        <v>619</v>
      </c>
      <c r="G1069" s="3">
        <f t="shared" si="1092"/>
        <v>43.2</v>
      </c>
      <c r="H1069" s="14" t="str">
        <f t="shared" ref="H1069" si="1136">IF(NOT(ISNUMBER(VALUE(G1069))), "NA",IF(VALUE(G1069)&gt;72,"HIGH",IF(VALUE(G1069)&lt;62,"LOW", "VALUE IN RANGE")))</f>
        <v>LOW</v>
      </c>
    </row>
    <row r="1070" spans="3:8" x14ac:dyDescent="0.25">
      <c r="C1070" s="13"/>
      <c r="D1070" s="4" t="s">
        <v>1538</v>
      </c>
      <c r="E1070" s="4" t="s">
        <v>25</v>
      </c>
      <c r="F1070" s="3" t="s">
        <v>471</v>
      </c>
      <c r="G1070" s="3">
        <f t="shared" si="1092"/>
        <v>13.1</v>
      </c>
      <c r="H1070" s="14" t="str">
        <f t="shared" ref="H1070" si="1137">IF(NOT(ISNUMBER(VALUE(G1070))), "NA",IF(VALUE(G1070)&gt;25,"HIGH",IF(VALUE(G1070)&lt;20,"LOW", "VALUE IN RANGE")))</f>
        <v>LOW</v>
      </c>
    </row>
    <row r="1071" spans="3:8" x14ac:dyDescent="0.25">
      <c r="C1071" s="13"/>
      <c r="D1071" s="4" t="s">
        <v>1538</v>
      </c>
      <c r="E1071" s="1" t="s">
        <v>27</v>
      </c>
      <c r="F1071" s="5">
        <v>305</v>
      </c>
      <c r="G1071" s="3">
        <f t="shared" si="1092"/>
        <v>305</v>
      </c>
      <c r="H1071" s="14" t="str">
        <f t="shared" ref="H1071" si="1138">IF(NOT(ISNUMBER(VALUE(G1071))), "NA",IF(VALUE(G1071)&gt;380,"HIGH",IF(VALUE(G1071)&lt;300,"LOW", "VALUE IN RANGE")))</f>
        <v>VALUE IN RANGE</v>
      </c>
    </row>
    <row r="1072" spans="3:8" x14ac:dyDescent="0.25">
      <c r="C1072" s="13"/>
      <c r="D1072" s="4" t="s">
        <v>1538</v>
      </c>
      <c r="E1072" s="4" t="s">
        <v>29</v>
      </c>
      <c r="F1072" s="3" t="s">
        <v>482</v>
      </c>
      <c r="G1072" s="3">
        <f t="shared" si="1092"/>
        <v>14.9</v>
      </c>
      <c r="H1072" s="14" t="str">
        <f t="shared" ref="H1072" si="1139">IF(NOT(ISNUMBER(VALUE(G1072))), "NA",IF(VALUE(G1072)&gt;15.5,"HIGH",IF(VALUE(G1072)&lt;11,"LOW", "VALUE IN RANGE")))</f>
        <v>VALUE IN RANGE</v>
      </c>
    </row>
    <row r="1073" spans="3:8" x14ac:dyDescent="0.25">
      <c r="C1073" s="13"/>
      <c r="D1073" s="4" t="s">
        <v>1538</v>
      </c>
      <c r="E1073" s="1" t="s">
        <v>31</v>
      </c>
      <c r="F1073" s="5">
        <v>303</v>
      </c>
      <c r="G1073" s="3">
        <f t="shared" si="1092"/>
        <v>303</v>
      </c>
      <c r="H1073" s="14" t="str">
        <f t="shared" ref="H1073" si="1140">IF(NOT(ISNUMBER(VALUE(G1073))), "NA",IF(VALUE(G1073)&gt;460,"HIGH",IF(VALUE(G1073)&lt;117,"LOW", "VALUE IN RANGE")))</f>
        <v>VALUE IN RANGE</v>
      </c>
    </row>
    <row r="1074" spans="3:8" x14ac:dyDescent="0.25">
      <c r="C1074" s="13"/>
      <c r="D1074" s="4" t="s">
        <v>1538</v>
      </c>
      <c r="E1074" s="4" t="s">
        <v>33</v>
      </c>
      <c r="F1074" s="3" t="s">
        <v>75</v>
      </c>
      <c r="G1074" s="3">
        <f t="shared" si="1092"/>
        <v>7.6</v>
      </c>
      <c r="H1074" s="14" t="str">
        <f t="shared" ref="H1074" si="1141">IF(NOT(ISNUMBER(VALUE(G1074))), "NA",IF(VALUE(G1074)&gt;12,"HIGH",IF(VALUE(G1074)&lt;7,"LOW", "VALUE IN RANGE")))</f>
        <v>VALUE IN RANGE</v>
      </c>
    </row>
    <row r="1075" spans="3:8" ht="15" customHeight="1" x14ac:dyDescent="0.25">
      <c r="C1075" s="13" t="str">
        <f t="shared" ref="C1075" si="1142">IF(D1075=D1090,D1089,"falso")</f>
        <v>PATIENT_0068</v>
      </c>
      <c r="D1075" s="4" t="s">
        <v>1539</v>
      </c>
      <c r="E1075" s="1" t="s">
        <v>3</v>
      </c>
      <c r="F1075" s="5" t="s">
        <v>726</v>
      </c>
      <c r="G1075" s="3">
        <f t="shared" si="1092"/>
        <v>7.9</v>
      </c>
      <c r="H1075" s="14" t="str">
        <f t="shared" ref="H1075" si="1143">IF(NOT(ISNUMBER(VALUE(G1075))), "NA",IF(VALUE(G1075)&gt;17,"HIGH",IF(VALUE(G1075)&lt;6,"LOW", "VALUE IN RANGE")))</f>
        <v>VALUE IN RANGE</v>
      </c>
    </row>
    <row r="1076" spans="3:8" x14ac:dyDescent="0.25">
      <c r="C1076" s="13"/>
      <c r="D1076" s="4" t="s">
        <v>1539</v>
      </c>
      <c r="E1076" s="4" t="s">
        <v>5</v>
      </c>
      <c r="F1076" s="3" t="s">
        <v>727</v>
      </c>
      <c r="G1076" s="3">
        <f t="shared" si="1092"/>
        <v>13.7</v>
      </c>
      <c r="H1076" s="14" t="str">
        <f t="shared" ref="H1076" si="1144">IF(NOT(ISNUMBER(VALUE(G1076))), "NA",IF(VALUE(G1076)&gt;30,"HIGH",IF(VALUE(G1076)&lt;12,"LOW", "VALUE IN RANGE")))</f>
        <v>VALUE IN RANGE</v>
      </c>
    </row>
    <row r="1077" spans="3:8" x14ac:dyDescent="0.25">
      <c r="C1077" s="13"/>
      <c r="D1077" s="4" t="s">
        <v>1539</v>
      </c>
      <c r="E1077" s="1" t="s">
        <v>7</v>
      </c>
      <c r="F1077" s="5" t="s">
        <v>282</v>
      </c>
      <c r="G1077" s="3">
        <f t="shared" si="1092"/>
        <v>6.4</v>
      </c>
      <c r="H1077" s="14" t="str">
        <f t="shared" ref="H1077" si="1145">IF(NOT(ISNUMBER(VALUE(G1077))), "NA",IF(VALUE(G1077)&gt;9,"HIGH",IF(VALUE(G1077)&lt;2,"LOW", "VALUE IN RANGE")))</f>
        <v>VALUE IN RANGE</v>
      </c>
    </row>
    <row r="1078" spans="3:8" x14ac:dyDescent="0.25">
      <c r="C1078" s="13"/>
      <c r="D1078" s="4" t="s">
        <v>1539</v>
      </c>
      <c r="E1078" s="4" t="s">
        <v>9</v>
      </c>
      <c r="F1078" s="3" t="s">
        <v>728</v>
      </c>
      <c r="G1078" s="3">
        <f t="shared" si="1092"/>
        <v>79.900000000000006</v>
      </c>
      <c r="H1078" s="14" t="str">
        <f t="shared" ref="H1078" si="1146">IF(NOT(ISNUMBER(VALUE(G1078))), "NA",IF(VALUE(G1078)&gt;83,"HIGH",IF(VALUE(G1078)&lt;60,"LOW", "VALUE IN RANGE")))</f>
        <v>VALUE IN RANGE</v>
      </c>
    </row>
    <row r="1079" spans="3:8" x14ac:dyDescent="0.25">
      <c r="C1079" s="13"/>
      <c r="D1079" s="4" t="s">
        <v>1539</v>
      </c>
      <c r="E1079" s="1" t="s">
        <v>11</v>
      </c>
      <c r="F1079" s="5">
        <v>1000</v>
      </c>
      <c r="G1079" s="3">
        <f t="shared" si="1092"/>
        <v>1000</v>
      </c>
      <c r="H1079" s="14" t="str">
        <f t="shared" ref="H1079" si="1147">IF(NOT(ISNUMBER(VALUE(G1079))), "NA",IF(VALUE(G1079)&gt;5.1,"HIGH",IF(VALUE(G1079)&lt;0.8,"LOW", "VALUE IN RANGE")))</f>
        <v>HIGH</v>
      </c>
    </row>
    <row r="1080" spans="3:8" x14ac:dyDescent="0.25">
      <c r="C1080" s="13"/>
      <c r="D1080" s="4" t="s">
        <v>1539</v>
      </c>
      <c r="E1080" s="4" t="s">
        <v>13</v>
      </c>
      <c r="F1080" s="3" t="s">
        <v>109</v>
      </c>
      <c r="G1080" s="3">
        <f t="shared" si="1092"/>
        <v>0.5</v>
      </c>
      <c r="H1080" s="14" t="str">
        <f t="shared" ref="H1080" si="1148">IF(NOT(ISNUMBER(VALUE(G1080))), "NA",IF(VALUE(G1080)&gt;1.8,"HIGH",IF(VALUE(G1080)&lt;0,"LOW", "VALUE IN RANGE")))</f>
        <v>VALUE IN RANGE</v>
      </c>
    </row>
    <row r="1081" spans="3:8" x14ac:dyDescent="0.25">
      <c r="C1081" s="13"/>
      <c r="D1081" s="4" t="s">
        <v>1539</v>
      </c>
      <c r="E1081" s="1" t="s">
        <v>15</v>
      </c>
      <c r="F1081" s="5">
        <v>6400</v>
      </c>
      <c r="G1081" s="3">
        <f t="shared" si="1092"/>
        <v>6400</v>
      </c>
      <c r="H1081" s="14" t="str">
        <f t="shared" ref="H1081" si="1149">IF(NOT(ISNUMBER(VALUE(G1081))), "NA",IF(VALUE(G1081)&gt;12.6,"HIGH",IF(VALUE(G1081)&lt;4,"LOW", "VALUE IN RANGE")))</f>
        <v>HIGH</v>
      </c>
    </row>
    <row r="1082" spans="3:8" x14ac:dyDescent="0.25">
      <c r="C1082" s="13"/>
      <c r="D1082" s="4" t="s">
        <v>1539</v>
      </c>
      <c r="E1082" s="4" t="s">
        <v>17</v>
      </c>
      <c r="F1082" s="3" t="s">
        <v>729</v>
      </c>
      <c r="G1082" s="3">
        <f t="shared" si="1092"/>
        <v>6.77</v>
      </c>
      <c r="H1082" s="14" t="str">
        <f t="shared" ref="H1082" si="1150">IF(NOT(ISNUMBER(VALUE(G1082))), "NA",IF(VALUE(G1082)&gt;8.5,"HIGH",IF(VALUE(G1082)&lt;5.5,"LOW", "VALUE IN RANGE")))</f>
        <v>VALUE IN RANGE</v>
      </c>
    </row>
    <row r="1083" spans="3:8" x14ac:dyDescent="0.25">
      <c r="C1083" s="13"/>
      <c r="D1083" s="4" t="s">
        <v>1539</v>
      </c>
      <c r="E1083" s="1" t="s">
        <v>19</v>
      </c>
      <c r="F1083" s="5">
        <v>150</v>
      </c>
      <c r="G1083" s="3">
        <f t="shared" si="1092"/>
        <v>150</v>
      </c>
      <c r="H1083" s="14" t="str">
        <f t="shared" ref="H1083" si="1151">IF(NOT(ISNUMBER(VALUE(G1083))), "NA",IF(VALUE(G1083)&gt;190,"HIGH",IF(VALUE(G1083)&lt;110,"LOW", "VALUE IN RANGE")))</f>
        <v>VALUE IN RANGE</v>
      </c>
    </row>
    <row r="1084" spans="3:8" x14ac:dyDescent="0.25">
      <c r="C1084" s="13"/>
      <c r="D1084" s="4" t="s">
        <v>1539</v>
      </c>
      <c r="E1084" s="4" t="s">
        <v>21</v>
      </c>
      <c r="F1084" s="3" t="s">
        <v>468</v>
      </c>
      <c r="G1084" s="3">
        <f t="shared" si="1092"/>
        <v>45.9</v>
      </c>
      <c r="H1084" s="14" t="str">
        <f t="shared" ref="H1084" si="1152">IF(NOT(ISNUMBER(VALUE(G1084))), "NA",IF(VALUE(G1084)&gt;56,"HIGH",IF(VALUE(G1084)&lt;39,"LOW", "VALUE IN RANGE")))</f>
        <v>VALUE IN RANGE</v>
      </c>
    </row>
    <row r="1085" spans="3:8" x14ac:dyDescent="0.25">
      <c r="C1085" s="13"/>
      <c r="D1085" s="4" t="s">
        <v>1539</v>
      </c>
      <c r="E1085" s="1" t="s">
        <v>23</v>
      </c>
      <c r="F1085" s="5" t="s">
        <v>689</v>
      </c>
      <c r="G1085" s="3">
        <f t="shared" si="1092"/>
        <v>67.8</v>
      </c>
      <c r="H1085" s="14" t="str">
        <f t="shared" ref="H1085" si="1153">IF(NOT(ISNUMBER(VALUE(G1085))), "NA",IF(VALUE(G1085)&gt;72,"HIGH",IF(VALUE(G1085)&lt;62,"LOW", "VALUE IN RANGE")))</f>
        <v>VALUE IN RANGE</v>
      </c>
    </row>
    <row r="1086" spans="3:8" x14ac:dyDescent="0.25">
      <c r="C1086" s="13"/>
      <c r="D1086" s="4" t="s">
        <v>1539</v>
      </c>
      <c r="E1086" s="4" t="s">
        <v>25</v>
      </c>
      <c r="F1086" s="3" t="s">
        <v>26</v>
      </c>
      <c r="G1086" s="3">
        <f t="shared" si="1092"/>
        <v>22.1</v>
      </c>
      <c r="H1086" s="14" t="str">
        <f t="shared" ref="H1086" si="1154">IF(NOT(ISNUMBER(VALUE(G1086))), "NA",IF(VALUE(G1086)&gt;25,"HIGH",IF(VALUE(G1086)&lt;20,"LOW", "VALUE IN RANGE")))</f>
        <v>VALUE IN RANGE</v>
      </c>
    </row>
    <row r="1087" spans="3:8" x14ac:dyDescent="0.25">
      <c r="C1087" s="13"/>
      <c r="D1087" s="4" t="s">
        <v>1539</v>
      </c>
      <c r="E1087" s="1" t="s">
        <v>27</v>
      </c>
      <c r="F1087" s="5">
        <v>326</v>
      </c>
      <c r="G1087" s="3">
        <f t="shared" si="1092"/>
        <v>326</v>
      </c>
      <c r="H1087" s="14" t="str">
        <f t="shared" ref="H1087" si="1155">IF(NOT(ISNUMBER(VALUE(G1087))), "NA",IF(VALUE(G1087)&gt;380,"HIGH",IF(VALUE(G1087)&lt;300,"LOW", "VALUE IN RANGE")))</f>
        <v>VALUE IN RANGE</v>
      </c>
    </row>
    <row r="1088" spans="3:8" x14ac:dyDescent="0.25">
      <c r="C1088" s="13"/>
      <c r="D1088" s="4" t="s">
        <v>1539</v>
      </c>
      <c r="E1088" s="4" t="s">
        <v>29</v>
      </c>
      <c r="F1088" s="3" t="s">
        <v>117</v>
      </c>
      <c r="G1088" s="3">
        <f t="shared" si="1092"/>
        <v>12.4</v>
      </c>
      <c r="H1088" s="14" t="str">
        <f t="shared" ref="H1088" si="1156">IF(NOT(ISNUMBER(VALUE(G1088))), "NA",IF(VALUE(G1088)&gt;15.5,"HIGH",IF(VALUE(G1088)&lt;11,"LOW", "VALUE IN RANGE")))</f>
        <v>VALUE IN RANGE</v>
      </c>
    </row>
    <row r="1089" spans="3:8" x14ac:dyDescent="0.25">
      <c r="C1089" s="13"/>
      <c r="D1089" s="4" t="s">
        <v>1539</v>
      </c>
      <c r="E1089" s="1" t="s">
        <v>31</v>
      </c>
      <c r="F1089" s="5">
        <v>251</v>
      </c>
      <c r="G1089" s="3">
        <f t="shared" si="1092"/>
        <v>251</v>
      </c>
      <c r="H1089" s="14" t="str">
        <f t="shared" ref="H1089" si="1157">IF(NOT(ISNUMBER(VALUE(G1089))), "NA",IF(VALUE(G1089)&gt;460,"HIGH",IF(VALUE(G1089)&lt;117,"LOW", "VALUE IN RANGE")))</f>
        <v>VALUE IN RANGE</v>
      </c>
    </row>
    <row r="1090" spans="3:8" x14ac:dyDescent="0.25">
      <c r="C1090" s="13"/>
      <c r="D1090" s="4" t="s">
        <v>1539</v>
      </c>
      <c r="E1090" s="4" t="s">
        <v>33</v>
      </c>
      <c r="F1090" s="3" t="s">
        <v>34</v>
      </c>
      <c r="G1090" s="3">
        <f t="shared" si="1092"/>
        <v>8.8000000000000007</v>
      </c>
      <c r="H1090" s="14" t="str">
        <f t="shared" ref="H1090" si="1158">IF(NOT(ISNUMBER(VALUE(G1090))), "NA",IF(VALUE(G1090)&gt;12,"HIGH",IF(VALUE(G1090)&lt;7,"LOW", "VALUE IN RANGE")))</f>
        <v>VALUE IN RANGE</v>
      </c>
    </row>
    <row r="1091" spans="3:8" ht="15" customHeight="1" x14ac:dyDescent="0.25">
      <c r="C1091" s="13" t="str">
        <f t="shared" ref="C1091" si="1159">IF(D1091=D1106,D1105,"falso")</f>
        <v>PATIENT_0069</v>
      </c>
      <c r="D1091" s="4" t="s">
        <v>1540</v>
      </c>
      <c r="E1091" s="1" t="s">
        <v>3</v>
      </c>
      <c r="F1091" s="5" t="s">
        <v>517</v>
      </c>
      <c r="G1091" s="3">
        <f t="shared" si="1092"/>
        <v>5.8</v>
      </c>
      <c r="H1091" s="14" t="str">
        <f t="shared" ref="H1091" si="1160">IF(NOT(ISNUMBER(VALUE(G1091))), "NA",IF(VALUE(G1091)&gt;17,"HIGH",IF(VALUE(G1091)&lt;6,"LOW", "VALUE IN RANGE")))</f>
        <v>LOW</v>
      </c>
    </row>
    <row r="1092" spans="3:8" x14ac:dyDescent="0.25">
      <c r="C1092" s="13"/>
      <c r="D1092" s="4" t="s">
        <v>1540</v>
      </c>
      <c r="E1092" s="4" t="s">
        <v>5</v>
      </c>
      <c r="F1092" s="3" t="s">
        <v>244</v>
      </c>
      <c r="G1092" s="3">
        <f t="shared" ref="G1092:G1155" si="1161">IFERROR(
   VALUE(
      SUBSTITUTE(
         CLEAN(
            TRIM(F1092)
         ),
         ".",
         ","
      )
   ),
   ""
)</f>
        <v>3</v>
      </c>
      <c r="H1092" s="14" t="str">
        <f t="shared" ref="H1092" si="1162">IF(NOT(ISNUMBER(VALUE(G1092))), "NA",IF(VALUE(G1092)&gt;30,"HIGH",IF(VALUE(G1092)&lt;12,"LOW", "VALUE IN RANGE")))</f>
        <v>LOW</v>
      </c>
    </row>
    <row r="1093" spans="3:8" x14ac:dyDescent="0.25">
      <c r="C1093" s="13"/>
      <c r="D1093" s="4" t="s">
        <v>1540</v>
      </c>
      <c r="E1093" s="1" t="s">
        <v>7</v>
      </c>
      <c r="F1093" s="5" t="s">
        <v>268</v>
      </c>
      <c r="G1093" s="3">
        <f t="shared" si="1161"/>
        <v>6.1</v>
      </c>
      <c r="H1093" s="14" t="str">
        <f t="shared" ref="H1093" si="1163">IF(NOT(ISNUMBER(VALUE(G1093))), "NA",IF(VALUE(G1093)&gt;9,"HIGH",IF(VALUE(G1093)&lt;2,"LOW", "VALUE IN RANGE")))</f>
        <v>VALUE IN RANGE</v>
      </c>
    </row>
    <row r="1094" spans="3:8" x14ac:dyDescent="0.25">
      <c r="C1094" s="13"/>
      <c r="D1094" s="4" t="s">
        <v>1540</v>
      </c>
      <c r="E1094" s="4" t="s">
        <v>9</v>
      </c>
      <c r="F1094" s="3" t="s">
        <v>269</v>
      </c>
      <c r="G1094" s="3">
        <f t="shared" si="1161"/>
        <v>90.9</v>
      </c>
      <c r="H1094" s="14" t="str">
        <f t="shared" ref="H1094" si="1164">IF(NOT(ISNUMBER(VALUE(G1094))), "NA",IF(VALUE(G1094)&gt;83,"HIGH",IF(VALUE(G1094)&lt;60,"LOW", "VALUE IN RANGE")))</f>
        <v>HIGH</v>
      </c>
    </row>
    <row r="1095" spans="3:8" x14ac:dyDescent="0.25">
      <c r="C1095" s="13"/>
      <c r="D1095" s="4" t="s">
        <v>1540</v>
      </c>
      <c r="E1095" s="1" t="s">
        <v>11</v>
      </c>
      <c r="F1095" s="5" t="s">
        <v>40</v>
      </c>
      <c r="G1095" s="3">
        <f t="shared" si="1161"/>
        <v>0.1</v>
      </c>
      <c r="H1095" s="14" t="str">
        <f t="shared" ref="H1095" si="1165">IF(NOT(ISNUMBER(VALUE(G1095))), "NA",IF(VALUE(G1095)&gt;5.1,"HIGH",IF(VALUE(G1095)&lt;0.8,"LOW", "VALUE IN RANGE")))</f>
        <v>LOW</v>
      </c>
    </row>
    <row r="1096" spans="3:8" x14ac:dyDescent="0.25">
      <c r="C1096" s="13"/>
      <c r="D1096" s="4" t="s">
        <v>1540</v>
      </c>
      <c r="E1096" s="4" t="s">
        <v>13</v>
      </c>
      <c r="F1096" s="3" t="s">
        <v>14</v>
      </c>
      <c r="G1096" s="3">
        <f t="shared" si="1161"/>
        <v>0.3</v>
      </c>
      <c r="H1096" s="14" t="str">
        <f t="shared" ref="H1096" si="1166">IF(NOT(ISNUMBER(VALUE(G1096))), "NA",IF(VALUE(G1096)&gt;1.8,"HIGH",IF(VALUE(G1096)&lt;0,"LOW", "VALUE IN RANGE")))</f>
        <v>VALUE IN RANGE</v>
      </c>
    </row>
    <row r="1097" spans="3:8" x14ac:dyDescent="0.25">
      <c r="C1097" s="13"/>
      <c r="D1097" s="4" t="s">
        <v>1540</v>
      </c>
      <c r="E1097" s="1" t="s">
        <v>15</v>
      </c>
      <c r="F1097" s="5">
        <v>5400</v>
      </c>
      <c r="G1097" s="3">
        <f t="shared" si="1161"/>
        <v>5400</v>
      </c>
      <c r="H1097" s="14" t="str">
        <f t="shared" ref="H1097" si="1167">IF(NOT(ISNUMBER(VALUE(G1097))), "NA",IF(VALUE(G1097)&gt;12.6,"HIGH",IF(VALUE(G1097)&lt;4,"LOW", "VALUE IN RANGE")))</f>
        <v>HIGH</v>
      </c>
    </row>
    <row r="1098" spans="3:8" x14ac:dyDescent="0.25">
      <c r="C1098" s="13"/>
      <c r="D1098" s="4" t="s">
        <v>1540</v>
      </c>
      <c r="E1098" s="4" t="s">
        <v>17</v>
      </c>
      <c r="F1098" s="3" t="s">
        <v>732</v>
      </c>
      <c r="G1098" s="3">
        <f t="shared" si="1161"/>
        <v>5.47</v>
      </c>
      <c r="H1098" s="14" t="str">
        <f t="shared" ref="H1098" si="1168">IF(NOT(ISNUMBER(VALUE(G1098))), "NA",IF(VALUE(G1098)&gt;8.5,"HIGH",IF(VALUE(G1098)&lt;5.5,"LOW", "VALUE IN RANGE")))</f>
        <v>LOW</v>
      </c>
    </row>
    <row r="1099" spans="3:8" x14ac:dyDescent="0.25">
      <c r="C1099" s="13"/>
      <c r="D1099" s="4" t="s">
        <v>1540</v>
      </c>
      <c r="E1099" s="1" t="s">
        <v>19</v>
      </c>
      <c r="F1099" s="5">
        <v>132</v>
      </c>
      <c r="G1099" s="3">
        <f t="shared" si="1161"/>
        <v>132</v>
      </c>
      <c r="H1099" s="14" t="str">
        <f t="shared" ref="H1099" si="1169">IF(NOT(ISNUMBER(VALUE(G1099))), "NA",IF(VALUE(G1099)&gt;190,"HIGH",IF(VALUE(G1099)&lt;110,"LOW", "VALUE IN RANGE")))</f>
        <v>VALUE IN RANGE</v>
      </c>
    </row>
    <row r="1100" spans="3:8" x14ac:dyDescent="0.25">
      <c r="C1100" s="13"/>
      <c r="D1100" s="4" t="s">
        <v>1540</v>
      </c>
      <c r="E1100" s="4" t="s">
        <v>21</v>
      </c>
      <c r="F1100" s="3" t="s">
        <v>734</v>
      </c>
      <c r="G1100" s="3">
        <f t="shared" si="1161"/>
        <v>40.5</v>
      </c>
      <c r="H1100" s="14" t="str">
        <f t="shared" ref="H1100" si="1170">IF(NOT(ISNUMBER(VALUE(G1100))), "NA",IF(VALUE(G1100)&gt;56,"HIGH",IF(VALUE(G1100)&lt;39,"LOW", "VALUE IN RANGE")))</f>
        <v>VALUE IN RANGE</v>
      </c>
    </row>
    <row r="1101" spans="3:8" x14ac:dyDescent="0.25">
      <c r="C1101" s="13"/>
      <c r="D1101" s="4" t="s">
        <v>1540</v>
      </c>
      <c r="E1101" s="1" t="s">
        <v>23</v>
      </c>
      <c r="F1101" s="5" t="s">
        <v>735</v>
      </c>
      <c r="G1101" s="3">
        <f t="shared" si="1161"/>
        <v>74.2</v>
      </c>
      <c r="H1101" s="14" t="str">
        <f t="shared" ref="H1101" si="1171">IF(NOT(ISNUMBER(VALUE(G1101))), "NA",IF(VALUE(G1101)&gt;72,"HIGH",IF(VALUE(G1101)&lt;62,"LOW", "VALUE IN RANGE")))</f>
        <v>HIGH</v>
      </c>
    </row>
    <row r="1102" spans="3:8" x14ac:dyDescent="0.25">
      <c r="C1102" s="13"/>
      <c r="D1102" s="4" t="s">
        <v>1540</v>
      </c>
      <c r="E1102" s="4" t="s">
        <v>25</v>
      </c>
      <c r="F1102" s="3" t="s">
        <v>736</v>
      </c>
      <c r="G1102" s="3">
        <f t="shared" si="1161"/>
        <v>24.1</v>
      </c>
      <c r="H1102" s="14" t="str">
        <f t="shared" ref="H1102" si="1172">IF(NOT(ISNUMBER(VALUE(G1102))), "NA",IF(VALUE(G1102)&gt;25,"HIGH",IF(VALUE(G1102)&lt;20,"LOW", "VALUE IN RANGE")))</f>
        <v>VALUE IN RANGE</v>
      </c>
    </row>
    <row r="1103" spans="3:8" x14ac:dyDescent="0.25">
      <c r="C1103" s="13"/>
      <c r="D1103" s="4" t="s">
        <v>1540</v>
      </c>
      <c r="E1103" s="1" t="s">
        <v>27</v>
      </c>
      <c r="F1103" s="5">
        <v>325</v>
      </c>
      <c r="G1103" s="3">
        <f t="shared" si="1161"/>
        <v>325</v>
      </c>
      <c r="H1103" s="14" t="str">
        <f t="shared" ref="H1103" si="1173">IF(NOT(ISNUMBER(VALUE(G1103))), "NA",IF(VALUE(G1103)&gt;380,"HIGH",IF(VALUE(G1103)&lt;300,"LOW", "VALUE IN RANGE")))</f>
        <v>VALUE IN RANGE</v>
      </c>
    </row>
    <row r="1104" spans="3:8" x14ac:dyDescent="0.25">
      <c r="C1104" s="13"/>
      <c r="D1104" s="4" t="s">
        <v>1540</v>
      </c>
      <c r="E1104" s="4" t="s">
        <v>29</v>
      </c>
      <c r="F1104" s="3" t="s">
        <v>30</v>
      </c>
      <c r="G1104" s="3">
        <f t="shared" si="1161"/>
        <v>11.9</v>
      </c>
      <c r="H1104" s="14" t="str">
        <f t="shared" ref="H1104" si="1174">IF(NOT(ISNUMBER(VALUE(G1104))), "NA",IF(VALUE(G1104)&gt;15.5,"HIGH",IF(VALUE(G1104)&lt;11,"LOW", "VALUE IN RANGE")))</f>
        <v>VALUE IN RANGE</v>
      </c>
    </row>
    <row r="1105" spans="3:8" x14ac:dyDescent="0.25">
      <c r="C1105" s="13"/>
      <c r="D1105" s="4" t="s">
        <v>1540</v>
      </c>
      <c r="E1105" s="1" t="s">
        <v>31</v>
      </c>
      <c r="F1105" s="5">
        <v>288</v>
      </c>
      <c r="G1105" s="3">
        <f t="shared" si="1161"/>
        <v>288</v>
      </c>
      <c r="H1105" s="14" t="str">
        <f t="shared" ref="H1105" si="1175">IF(NOT(ISNUMBER(VALUE(G1105))), "NA",IF(VALUE(G1105)&gt;460,"HIGH",IF(VALUE(G1105)&lt;117,"LOW", "VALUE IN RANGE")))</f>
        <v>VALUE IN RANGE</v>
      </c>
    </row>
    <row r="1106" spans="3:8" x14ac:dyDescent="0.25">
      <c r="C1106" s="13"/>
      <c r="D1106" s="4" t="s">
        <v>1540</v>
      </c>
      <c r="E1106" s="4" t="s">
        <v>33</v>
      </c>
      <c r="F1106" s="3" t="s">
        <v>266</v>
      </c>
      <c r="G1106" s="3">
        <f t="shared" si="1161"/>
        <v>8.1</v>
      </c>
      <c r="H1106" s="14" t="str">
        <f t="shared" ref="H1106" si="1176">IF(NOT(ISNUMBER(VALUE(G1106))), "NA",IF(VALUE(G1106)&gt;12,"HIGH",IF(VALUE(G1106)&lt;7,"LOW", "VALUE IN RANGE")))</f>
        <v>VALUE IN RANGE</v>
      </c>
    </row>
    <row r="1107" spans="3:8" ht="15" customHeight="1" x14ac:dyDescent="0.25">
      <c r="C1107" s="13" t="str">
        <f t="shared" ref="C1107" si="1177">IF(D1107=D1122,D1121,"falso")</f>
        <v>PATIENT_0070</v>
      </c>
      <c r="D1107" s="4" t="s">
        <v>1541</v>
      </c>
      <c r="E1107" s="1" t="s">
        <v>134</v>
      </c>
      <c r="F1107" s="5" t="s">
        <v>648</v>
      </c>
      <c r="G1107" s="3">
        <f t="shared" si="1161"/>
        <v>6.3</v>
      </c>
      <c r="H1107" s="14" t="str">
        <f t="shared" ref="H1107" si="1178">IF(NOT(ISNUMBER(VALUE(G1107))), "NA",IF(VALUE(G1107)&gt;17,"HIGH",IF(VALUE(G1107)&lt;6,"LOW", "VALUE IN RANGE")))</f>
        <v>VALUE IN RANGE</v>
      </c>
    </row>
    <row r="1108" spans="3:8" x14ac:dyDescent="0.25">
      <c r="C1108" s="13"/>
      <c r="D1108" s="4" t="s">
        <v>1541</v>
      </c>
      <c r="E1108" s="4" t="s">
        <v>136</v>
      </c>
      <c r="F1108" s="3" t="s">
        <v>738</v>
      </c>
      <c r="G1108" s="3">
        <f t="shared" si="1161"/>
        <v>24.1</v>
      </c>
      <c r="H1108" s="14" t="str">
        <f t="shared" ref="H1108" si="1179">IF(NOT(ISNUMBER(VALUE(G1108))), "NA",IF(VALUE(G1108)&gt;30,"HIGH",IF(VALUE(G1108)&lt;12,"LOW", "VALUE IN RANGE")))</f>
        <v>VALUE IN RANGE</v>
      </c>
    </row>
    <row r="1109" spans="3:8" x14ac:dyDescent="0.25">
      <c r="C1109" s="13"/>
      <c r="D1109" s="4" t="s">
        <v>1541</v>
      </c>
      <c r="E1109" s="1" t="s">
        <v>7</v>
      </c>
      <c r="F1109" s="5" t="s">
        <v>138</v>
      </c>
      <c r="G1109" s="3">
        <f t="shared" si="1161"/>
        <v>6</v>
      </c>
      <c r="H1109" s="14" t="str">
        <f t="shared" ref="H1109" si="1180">IF(NOT(ISNUMBER(VALUE(G1109))), "NA",IF(VALUE(G1109)&gt;9,"HIGH",IF(VALUE(G1109)&lt;2,"LOW", "VALUE IN RANGE")))</f>
        <v>VALUE IN RANGE</v>
      </c>
    </row>
    <row r="1110" spans="3:8" x14ac:dyDescent="0.25">
      <c r="C1110" s="13"/>
      <c r="D1110" s="4" t="s">
        <v>1541</v>
      </c>
      <c r="E1110" s="4" t="s">
        <v>139</v>
      </c>
      <c r="F1110" s="3" t="s">
        <v>739</v>
      </c>
      <c r="G1110" s="3">
        <f t="shared" si="1161"/>
        <v>69.900000000000006</v>
      </c>
      <c r="H1110" s="14" t="str">
        <f t="shared" ref="H1110" si="1181">IF(NOT(ISNUMBER(VALUE(G1110))), "NA",IF(VALUE(G1110)&gt;83,"HIGH",IF(VALUE(G1110)&lt;60,"LOW", "VALUE IN RANGE")))</f>
        <v>VALUE IN RANGE</v>
      </c>
    </row>
    <row r="1111" spans="3:8" x14ac:dyDescent="0.25">
      <c r="C1111" s="13"/>
      <c r="D1111" s="4" t="s">
        <v>1541</v>
      </c>
      <c r="E1111" s="1" t="s">
        <v>141</v>
      </c>
      <c r="F1111" s="5">
        <v>1500</v>
      </c>
      <c r="G1111" s="3">
        <f t="shared" si="1161"/>
        <v>1500</v>
      </c>
      <c r="H1111" s="14" t="str">
        <f t="shared" ref="H1111" si="1182">IF(NOT(ISNUMBER(VALUE(G1111))), "NA",IF(VALUE(G1111)&gt;5.1,"HIGH",IF(VALUE(G1111)&lt;0.8,"LOW", "VALUE IN RANGE")))</f>
        <v>HIGH</v>
      </c>
    </row>
    <row r="1112" spans="3:8" x14ac:dyDescent="0.25">
      <c r="C1112" s="13"/>
      <c r="D1112" s="4" t="s">
        <v>1541</v>
      </c>
      <c r="E1112" s="4" t="s">
        <v>143</v>
      </c>
      <c r="F1112" s="3" t="s">
        <v>14</v>
      </c>
      <c r="G1112" s="3">
        <f t="shared" si="1161"/>
        <v>0.3</v>
      </c>
      <c r="H1112" s="14" t="str">
        <f t="shared" ref="H1112" si="1183">IF(NOT(ISNUMBER(VALUE(G1112))), "NA",IF(VALUE(G1112)&gt;1.8,"HIGH",IF(VALUE(G1112)&lt;0,"LOW", "VALUE IN RANGE")))</f>
        <v>VALUE IN RANGE</v>
      </c>
    </row>
    <row r="1113" spans="3:8" x14ac:dyDescent="0.25">
      <c r="C1113" s="13"/>
      <c r="D1113" s="4" t="s">
        <v>1541</v>
      </c>
      <c r="E1113" s="1" t="s">
        <v>144</v>
      </c>
      <c r="F1113" s="5">
        <v>4500</v>
      </c>
      <c r="G1113" s="3">
        <f t="shared" si="1161"/>
        <v>4500</v>
      </c>
      <c r="H1113" s="14" t="str">
        <f t="shared" ref="H1113" si="1184">IF(NOT(ISNUMBER(VALUE(G1113))), "NA",IF(VALUE(G1113)&gt;12.6,"HIGH",IF(VALUE(G1113)&lt;4,"LOW", "VALUE IN RANGE")))</f>
        <v>HIGH</v>
      </c>
    </row>
    <row r="1114" spans="3:8" x14ac:dyDescent="0.25">
      <c r="C1114" s="13"/>
      <c r="D1114" s="4" t="s">
        <v>1541</v>
      </c>
      <c r="E1114" s="4" t="s">
        <v>146</v>
      </c>
      <c r="F1114" s="3" t="s">
        <v>740</v>
      </c>
      <c r="G1114" s="3">
        <f t="shared" si="1161"/>
        <v>10.82</v>
      </c>
      <c r="H1114" s="14" t="str">
        <f t="shared" ref="H1114" si="1185">IF(NOT(ISNUMBER(VALUE(G1114))), "NA",IF(VALUE(G1114)&gt;8.5,"HIGH",IF(VALUE(G1114)&lt;5.5,"LOW", "VALUE IN RANGE")))</f>
        <v>HIGH</v>
      </c>
    </row>
    <row r="1115" spans="3:8" x14ac:dyDescent="0.25">
      <c r="C1115" s="13"/>
      <c r="D1115" s="4" t="s">
        <v>1541</v>
      </c>
      <c r="E1115" s="1" t="s">
        <v>148</v>
      </c>
      <c r="F1115" s="5">
        <v>145</v>
      </c>
      <c r="G1115" s="3">
        <f t="shared" si="1161"/>
        <v>145</v>
      </c>
      <c r="H1115" s="14" t="str">
        <f t="shared" ref="H1115" si="1186">IF(NOT(ISNUMBER(VALUE(G1115))), "NA",IF(VALUE(G1115)&gt;190,"HIGH",IF(VALUE(G1115)&lt;110,"LOW", "VALUE IN RANGE")))</f>
        <v>VALUE IN RANGE</v>
      </c>
    </row>
    <row r="1116" spans="3:8" x14ac:dyDescent="0.25">
      <c r="C1116" s="13"/>
      <c r="D1116" s="4" t="s">
        <v>1541</v>
      </c>
      <c r="E1116" s="4" t="s">
        <v>150</v>
      </c>
      <c r="F1116" s="3" t="s">
        <v>741</v>
      </c>
      <c r="G1116" s="3">
        <f t="shared" si="1161"/>
        <v>52</v>
      </c>
      <c r="H1116" s="14" t="str">
        <f t="shared" ref="H1116" si="1187">IF(NOT(ISNUMBER(VALUE(G1116))), "NA",IF(VALUE(G1116)&gt;56,"HIGH",IF(VALUE(G1116)&lt;39,"LOW", "VALUE IN RANGE")))</f>
        <v>VALUE IN RANGE</v>
      </c>
    </row>
    <row r="1117" spans="3:8" x14ac:dyDescent="0.25">
      <c r="C1117" s="13"/>
      <c r="D1117" s="4" t="s">
        <v>1541</v>
      </c>
      <c r="E1117" s="1" t="s">
        <v>152</v>
      </c>
      <c r="F1117" s="5" t="s">
        <v>742</v>
      </c>
      <c r="G1117" s="3">
        <f t="shared" si="1161"/>
        <v>48.1</v>
      </c>
      <c r="H1117" s="14" t="str">
        <f t="shared" ref="H1117" si="1188">IF(NOT(ISNUMBER(VALUE(G1117))), "NA",IF(VALUE(G1117)&gt;72,"HIGH",IF(VALUE(G1117)&lt;62,"LOW", "VALUE IN RANGE")))</f>
        <v>LOW</v>
      </c>
    </row>
    <row r="1118" spans="3:8" x14ac:dyDescent="0.25">
      <c r="C1118" s="13"/>
      <c r="D1118" s="4" t="s">
        <v>1541</v>
      </c>
      <c r="E1118" s="4" t="s">
        <v>154</v>
      </c>
      <c r="F1118" s="3" t="s">
        <v>317</v>
      </c>
      <c r="G1118" s="3">
        <f t="shared" si="1161"/>
        <v>13.4</v>
      </c>
      <c r="H1118" s="14" t="str">
        <f t="shared" ref="H1118" si="1189">IF(NOT(ISNUMBER(VALUE(G1118))), "NA",IF(VALUE(G1118)&gt;25,"HIGH",IF(VALUE(G1118)&lt;20,"LOW", "VALUE IN RANGE")))</f>
        <v>LOW</v>
      </c>
    </row>
    <row r="1119" spans="3:8" x14ac:dyDescent="0.25">
      <c r="C1119" s="13"/>
      <c r="D1119" s="4" t="s">
        <v>1541</v>
      </c>
      <c r="E1119" s="1" t="s">
        <v>27</v>
      </c>
      <c r="F1119" s="5">
        <v>278</v>
      </c>
      <c r="G1119" s="3">
        <f t="shared" si="1161"/>
        <v>278</v>
      </c>
      <c r="H1119" s="14" t="str">
        <f t="shared" ref="H1119" si="1190">IF(NOT(ISNUMBER(VALUE(G1119))), "NA",IF(VALUE(G1119)&gt;380,"HIGH",IF(VALUE(G1119)&lt;300,"LOW", "VALUE IN RANGE")))</f>
        <v>LOW</v>
      </c>
    </row>
    <row r="1120" spans="3:8" x14ac:dyDescent="0.25">
      <c r="C1120" s="13"/>
      <c r="D1120" s="4" t="s">
        <v>1541</v>
      </c>
      <c r="E1120" s="4" t="s">
        <v>157</v>
      </c>
      <c r="F1120" s="3" t="s">
        <v>744</v>
      </c>
      <c r="G1120" s="3">
        <f t="shared" si="1161"/>
        <v>16.399999999999999</v>
      </c>
      <c r="H1120" s="14" t="str">
        <f t="shared" ref="H1120" si="1191">IF(NOT(ISNUMBER(VALUE(G1120))), "NA",IF(VALUE(G1120)&gt;15.5,"HIGH",IF(VALUE(G1120)&lt;11,"LOW", "VALUE IN RANGE")))</f>
        <v>HIGH</v>
      </c>
    </row>
    <row r="1121" spans="3:8" x14ac:dyDescent="0.25">
      <c r="C1121" s="13"/>
      <c r="D1121" s="4" t="s">
        <v>1541</v>
      </c>
      <c r="E1121" s="1" t="s">
        <v>159</v>
      </c>
      <c r="F1121" s="5">
        <v>253</v>
      </c>
      <c r="G1121" s="3">
        <f t="shared" si="1161"/>
        <v>253</v>
      </c>
      <c r="H1121" s="14" t="str">
        <f t="shared" ref="H1121" si="1192">IF(NOT(ISNUMBER(VALUE(G1121))), "NA",IF(VALUE(G1121)&gt;460,"HIGH",IF(VALUE(G1121)&lt;117,"LOW", "VALUE IN RANGE")))</f>
        <v>VALUE IN RANGE</v>
      </c>
    </row>
    <row r="1122" spans="3:8" x14ac:dyDescent="0.25">
      <c r="C1122" s="13"/>
      <c r="D1122" s="4" t="s">
        <v>1541</v>
      </c>
      <c r="E1122" s="4" t="s">
        <v>161</v>
      </c>
      <c r="F1122" s="3" t="s">
        <v>292</v>
      </c>
      <c r="G1122" s="3">
        <f t="shared" si="1161"/>
        <v>11.7</v>
      </c>
      <c r="H1122" s="14" t="str">
        <f t="shared" ref="H1122" si="1193">IF(NOT(ISNUMBER(VALUE(G1122))), "NA",IF(VALUE(G1122)&gt;12,"HIGH",IF(VALUE(G1122)&lt;7,"LOW", "VALUE IN RANGE")))</f>
        <v>VALUE IN RANGE</v>
      </c>
    </row>
    <row r="1123" spans="3:8" ht="15" customHeight="1" x14ac:dyDescent="0.25">
      <c r="C1123" s="13" t="str">
        <f t="shared" ref="C1123" si="1194">IF(D1123=D1138,D1137,"falso")</f>
        <v>PATIENT_0071</v>
      </c>
      <c r="D1123" s="4" t="s">
        <v>1542</v>
      </c>
      <c r="E1123" s="1" t="s">
        <v>3</v>
      </c>
      <c r="F1123" s="5" t="s">
        <v>746</v>
      </c>
      <c r="G1123" s="3">
        <f t="shared" si="1161"/>
        <v>11</v>
      </c>
      <c r="H1123" s="14" t="str">
        <f t="shared" ref="H1123" si="1195">IF(NOT(ISNUMBER(VALUE(G1123))), "NA",IF(VALUE(G1123)&gt;17,"HIGH",IF(VALUE(G1123)&lt;6,"LOW", "VALUE IN RANGE")))</f>
        <v>VALUE IN RANGE</v>
      </c>
    </row>
    <row r="1124" spans="3:8" x14ac:dyDescent="0.25">
      <c r="C1124" s="13"/>
      <c r="D1124" s="4" t="s">
        <v>1542</v>
      </c>
      <c r="E1124" s="4" t="s">
        <v>5</v>
      </c>
      <c r="F1124" s="3" t="s">
        <v>587</v>
      </c>
      <c r="G1124" s="3">
        <f t="shared" si="1161"/>
        <v>11.5</v>
      </c>
      <c r="H1124" s="14" t="str">
        <f t="shared" ref="H1124" si="1196">IF(NOT(ISNUMBER(VALUE(G1124))), "NA",IF(VALUE(G1124)&gt;30,"HIGH",IF(VALUE(G1124)&lt;12,"LOW", "VALUE IN RANGE")))</f>
        <v>LOW</v>
      </c>
    </row>
    <row r="1125" spans="3:8" x14ac:dyDescent="0.25">
      <c r="C1125" s="13"/>
      <c r="D1125" s="4" t="s">
        <v>1542</v>
      </c>
      <c r="E1125" s="1" t="s">
        <v>7</v>
      </c>
      <c r="F1125" s="5" t="s">
        <v>747</v>
      </c>
      <c r="G1125" s="3">
        <f t="shared" si="1161"/>
        <v>3.9</v>
      </c>
      <c r="H1125" s="14" t="str">
        <f t="shared" ref="H1125" si="1197">IF(NOT(ISNUMBER(VALUE(G1125))), "NA",IF(VALUE(G1125)&gt;9,"HIGH",IF(VALUE(G1125)&lt;2,"LOW", "VALUE IN RANGE")))</f>
        <v>VALUE IN RANGE</v>
      </c>
    </row>
    <row r="1126" spans="3:8" x14ac:dyDescent="0.25">
      <c r="C1126" s="13"/>
      <c r="D1126" s="4" t="s">
        <v>1542</v>
      </c>
      <c r="E1126" s="4" t="s">
        <v>9</v>
      </c>
      <c r="F1126" s="3" t="s">
        <v>748</v>
      </c>
      <c r="G1126" s="3">
        <f t="shared" si="1161"/>
        <v>84.6</v>
      </c>
      <c r="H1126" s="14" t="str">
        <f t="shared" ref="H1126" si="1198">IF(NOT(ISNUMBER(VALUE(G1126))), "NA",IF(VALUE(G1126)&gt;83,"HIGH",IF(VALUE(G1126)&lt;60,"LOW", "VALUE IN RANGE")))</f>
        <v>HIGH</v>
      </c>
    </row>
    <row r="1127" spans="3:8" x14ac:dyDescent="0.25">
      <c r="C1127" s="13"/>
      <c r="D1127" s="4" t="s">
        <v>1542</v>
      </c>
      <c r="E1127" s="1" t="s">
        <v>11</v>
      </c>
      <c r="F1127" s="5">
        <v>1200</v>
      </c>
      <c r="G1127" s="3">
        <f t="shared" si="1161"/>
        <v>1200</v>
      </c>
      <c r="H1127" s="14" t="str">
        <f t="shared" ref="H1127" si="1199">IF(NOT(ISNUMBER(VALUE(G1127))), "NA",IF(VALUE(G1127)&gt;5.1,"HIGH",IF(VALUE(G1127)&lt;0.8,"LOW", "VALUE IN RANGE")))</f>
        <v>HIGH</v>
      </c>
    </row>
    <row r="1128" spans="3:8" x14ac:dyDescent="0.25">
      <c r="C1128" s="13"/>
      <c r="D1128" s="4" t="s">
        <v>1542</v>
      </c>
      <c r="E1128" s="4" t="s">
        <v>13</v>
      </c>
      <c r="F1128" s="3" t="s">
        <v>167</v>
      </c>
      <c r="G1128" s="3">
        <f t="shared" si="1161"/>
        <v>0.4</v>
      </c>
      <c r="H1128" s="14" t="str">
        <f t="shared" ref="H1128" si="1200">IF(NOT(ISNUMBER(VALUE(G1128))), "NA",IF(VALUE(G1128)&gt;1.8,"HIGH",IF(VALUE(G1128)&lt;0,"LOW", "VALUE IN RANGE")))</f>
        <v>VALUE IN RANGE</v>
      </c>
    </row>
    <row r="1129" spans="3:8" x14ac:dyDescent="0.25">
      <c r="C1129" s="13"/>
      <c r="D1129" s="4" t="s">
        <v>1542</v>
      </c>
      <c r="E1129" s="1" t="s">
        <v>15</v>
      </c>
      <c r="F1129" s="5">
        <v>9400</v>
      </c>
      <c r="G1129" s="3">
        <f t="shared" si="1161"/>
        <v>9400</v>
      </c>
      <c r="H1129" s="14" t="str">
        <f t="shared" ref="H1129" si="1201">IF(NOT(ISNUMBER(VALUE(G1129))), "NA",IF(VALUE(G1129)&gt;12.6,"HIGH",IF(VALUE(G1129)&lt;4,"LOW", "VALUE IN RANGE")))</f>
        <v>HIGH</v>
      </c>
    </row>
    <row r="1130" spans="3:8" x14ac:dyDescent="0.25">
      <c r="C1130" s="13"/>
      <c r="D1130" s="4" t="s">
        <v>1542</v>
      </c>
      <c r="E1130" s="4" t="s">
        <v>17</v>
      </c>
      <c r="F1130" s="3" t="s">
        <v>750</v>
      </c>
      <c r="G1130" s="3">
        <f t="shared" si="1161"/>
        <v>7.2</v>
      </c>
      <c r="H1130" s="14" t="str">
        <f t="shared" ref="H1130" si="1202">IF(NOT(ISNUMBER(VALUE(G1130))), "NA",IF(VALUE(G1130)&gt;8.5,"HIGH",IF(VALUE(G1130)&lt;5.5,"LOW", "VALUE IN RANGE")))</f>
        <v>VALUE IN RANGE</v>
      </c>
    </row>
    <row r="1131" spans="3:8" x14ac:dyDescent="0.25">
      <c r="C1131" s="13"/>
      <c r="D1131" s="4" t="s">
        <v>1542</v>
      </c>
      <c r="E1131" s="1" t="s">
        <v>19</v>
      </c>
      <c r="F1131" s="5">
        <v>159</v>
      </c>
      <c r="G1131" s="3">
        <f t="shared" si="1161"/>
        <v>159</v>
      </c>
      <c r="H1131" s="14" t="str">
        <f t="shared" ref="H1131" si="1203">IF(NOT(ISNUMBER(VALUE(G1131))), "NA",IF(VALUE(G1131)&gt;190,"HIGH",IF(VALUE(G1131)&lt;110,"LOW", "VALUE IN RANGE")))</f>
        <v>VALUE IN RANGE</v>
      </c>
    </row>
    <row r="1132" spans="3:8" x14ac:dyDescent="0.25">
      <c r="C1132" s="13"/>
      <c r="D1132" s="4" t="s">
        <v>1542</v>
      </c>
      <c r="E1132" s="4" t="s">
        <v>21</v>
      </c>
      <c r="F1132" s="3" t="s">
        <v>752</v>
      </c>
      <c r="G1132" s="3">
        <f t="shared" si="1161"/>
        <v>48.6</v>
      </c>
      <c r="H1132" s="14" t="str">
        <f t="shared" ref="H1132" si="1204">IF(NOT(ISNUMBER(VALUE(G1132))), "NA",IF(VALUE(G1132)&gt;56,"HIGH",IF(VALUE(G1132)&lt;39,"LOW", "VALUE IN RANGE")))</f>
        <v>VALUE IN RANGE</v>
      </c>
    </row>
    <row r="1133" spans="3:8" x14ac:dyDescent="0.25">
      <c r="C1133" s="13"/>
      <c r="D1133" s="4" t="s">
        <v>1542</v>
      </c>
      <c r="E1133" s="1" t="s">
        <v>23</v>
      </c>
      <c r="F1133" s="5" t="s">
        <v>469</v>
      </c>
      <c r="G1133" s="3">
        <f t="shared" si="1161"/>
        <v>67.5</v>
      </c>
      <c r="H1133" s="14" t="str">
        <f t="shared" ref="H1133" si="1205">IF(NOT(ISNUMBER(VALUE(G1133))), "NA",IF(VALUE(G1133)&gt;72,"HIGH",IF(VALUE(G1133)&lt;62,"LOW", "VALUE IN RANGE")))</f>
        <v>VALUE IN RANGE</v>
      </c>
    </row>
    <row r="1134" spans="3:8" x14ac:dyDescent="0.25">
      <c r="C1134" s="13"/>
      <c r="D1134" s="4" t="s">
        <v>1542</v>
      </c>
      <c r="E1134" s="4" t="s">
        <v>25</v>
      </c>
      <c r="F1134" s="3" t="s">
        <v>753</v>
      </c>
      <c r="G1134" s="3">
        <f t="shared" si="1161"/>
        <v>22</v>
      </c>
      <c r="H1134" s="14" t="str">
        <f t="shared" ref="H1134" si="1206">IF(NOT(ISNUMBER(VALUE(G1134))), "NA",IF(VALUE(G1134)&gt;25,"HIGH",IF(VALUE(G1134)&lt;20,"LOW", "VALUE IN RANGE")))</f>
        <v>VALUE IN RANGE</v>
      </c>
    </row>
    <row r="1135" spans="3:8" x14ac:dyDescent="0.25">
      <c r="C1135" s="13"/>
      <c r="D1135" s="4" t="s">
        <v>1542</v>
      </c>
      <c r="E1135" s="1" t="s">
        <v>27</v>
      </c>
      <c r="F1135" s="5">
        <v>327</v>
      </c>
      <c r="G1135" s="3">
        <f t="shared" si="1161"/>
        <v>327</v>
      </c>
      <c r="H1135" s="14" t="str">
        <f t="shared" ref="H1135" si="1207">IF(NOT(ISNUMBER(VALUE(G1135))), "NA",IF(VALUE(G1135)&gt;380,"HIGH",IF(VALUE(G1135)&lt;300,"LOW", "VALUE IN RANGE")))</f>
        <v>VALUE IN RANGE</v>
      </c>
    </row>
    <row r="1136" spans="3:8" x14ac:dyDescent="0.25">
      <c r="C1136" s="13"/>
      <c r="D1136" s="4" t="s">
        <v>1542</v>
      </c>
      <c r="E1136" s="4" t="s">
        <v>29</v>
      </c>
      <c r="F1136" s="3" t="s">
        <v>327</v>
      </c>
      <c r="G1136" s="3">
        <f t="shared" si="1161"/>
        <v>13.7</v>
      </c>
      <c r="H1136" s="14" t="str">
        <f t="shared" ref="H1136" si="1208">IF(NOT(ISNUMBER(VALUE(G1136))), "NA",IF(VALUE(G1136)&gt;15.5,"HIGH",IF(VALUE(G1136)&lt;11,"LOW", "VALUE IN RANGE")))</f>
        <v>VALUE IN RANGE</v>
      </c>
    </row>
    <row r="1137" spans="3:8" x14ac:dyDescent="0.25">
      <c r="C1137" s="13"/>
      <c r="D1137" s="4" t="s">
        <v>1542</v>
      </c>
      <c r="E1137" s="1" t="s">
        <v>31</v>
      </c>
      <c r="F1137" s="5">
        <v>261</v>
      </c>
      <c r="G1137" s="3">
        <f t="shared" si="1161"/>
        <v>261</v>
      </c>
      <c r="H1137" s="14" t="str">
        <f t="shared" ref="H1137" si="1209">IF(NOT(ISNUMBER(VALUE(G1137))), "NA",IF(VALUE(G1137)&gt;460,"HIGH",IF(VALUE(G1137)&lt;117,"LOW", "VALUE IN RANGE")))</f>
        <v>VALUE IN RANGE</v>
      </c>
    </row>
    <row r="1138" spans="3:8" x14ac:dyDescent="0.25">
      <c r="C1138" s="13"/>
      <c r="D1138" s="4" t="s">
        <v>1542</v>
      </c>
      <c r="E1138" s="4" t="s">
        <v>33</v>
      </c>
      <c r="F1138" s="3" t="s">
        <v>266</v>
      </c>
      <c r="G1138" s="3">
        <f t="shared" si="1161"/>
        <v>8.1</v>
      </c>
      <c r="H1138" s="14" t="str">
        <f t="shared" ref="H1138" si="1210">IF(NOT(ISNUMBER(VALUE(G1138))), "NA",IF(VALUE(G1138)&gt;12,"HIGH",IF(VALUE(G1138)&lt;7,"LOW", "VALUE IN RANGE")))</f>
        <v>VALUE IN RANGE</v>
      </c>
    </row>
    <row r="1139" spans="3:8" ht="15" customHeight="1" x14ac:dyDescent="0.25">
      <c r="C1139" s="13" t="str">
        <f t="shared" ref="C1139" si="1211">IF(D1139=D1154,D1153,"falso")</f>
        <v>PATIENT_0072</v>
      </c>
      <c r="D1139" s="4" t="s">
        <v>1543</v>
      </c>
      <c r="E1139" s="1" t="s">
        <v>3</v>
      </c>
      <c r="F1139" s="5" t="s">
        <v>755</v>
      </c>
      <c r="G1139" s="3">
        <f t="shared" si="1161"/>
        <v>3.6</v>
      </c>
      <c r="H1139" s="14" t="str">
        <f t="shared" ref="H1139" si="1212">IF(NOT(ISNUMBER(VALUE(G1139))), "NA",IF(VALUE(G1139)&gt;17,"HIGH",IF(VALUE(G1139)&lt;6,"LOW", "VALUE IN RANGE")))</f>
        <v>LOW</v>
      </c>
    </row>
    <row r="1140" spans="3:8" x14ac:dyDescent="0.25">
      <c r="C1140" s="13"/>
      <c r="D1140" s="4" t="s">
        <v>1543</v>
      </c>
      <c r="E1140" s="4" t="s">
        <v>5</v>
      </c>
      <c r="F1140" s="3" t="s">
        <v>756</v>
      </c>
      <c r="G1140" s="3">
        <f t="shared" si="1161"/>
        <v>39.700000000000003</v>
      </c>
      <c r="H1140" s="14" t="str">
        <f t="shared" ref="H1140" si="1213">IF(NOT(ISNUMBER(VALUE(G1140))), "NA",IF(VALUE(G1140)&gt;30,"HIGH",IF(VALUE(G1140)&lt;12,"LOW", "VALUE IN RANGE")))</f>
        <v>HIGH</v>
      </c>
    </row>
    <row r="1141" spans="3:8" x14ac:dyDescent="0.25">
      <c r="C1141" s="13"/>
      <c r="D1141" s="4" t="s">
        <v>1543</v>
      </c>
      <c r="E1141" s="1" t="s">
        <v>7</v>
      </c>
      <c r="F1141" s="5" t="s">
        <v>757</v>
      </c>
      <c r="G1141" s="3">
        <f t="shared" si="1161"/>
        <v>6.7</v>
      </c>
      <c r="H1141" s="14" t="str">
        <f t="shared" ref="H1141" si="1214">IF(NOT(ISNUMBER(VALUE(G1141))), "NA",IF(VALUE(G1141)&gt;9,"HIGH",IF(VALUE(G1141)&lt;2,"LOW", "VALUE IN RANGE")))</f>
        <v>VALUE IN RANGE</v>
      </c>
    </row>
    <row r="1142" spans="3:8" x14ac:dyDescent="0.25">
      <c r="C1142" s="13"/>
      <c r="D1142" s="4" t="s">
        <v>1543</v>
      </c>
      <c r="E1142" s="4" t="s">
        <v>9</v>
      </c>
      <c r="F1142" s="3" t="s">
        <v>758</v>
      </c>
      <c r="G1142" s="3">
        <f t="shared" si="1161"/>
        <v>53.6</v>
      </c>
      <c r="H1142" s="14" t="str">
        <f t="shared" ref="H1142" si="1215">IF(NOT(ISNUMBER(VALUE(G1142))), "NA",IF(VALUE(G1142)&gt;83,"HIGH",IF(VALUE(G1142)&lt;60,"LOW", "VALUE IN RANGE")))</f>
        <v>LOW</v>
      </c>
    </row>
    <row r="1143" spans="3:8" x14ac:dyDescent="0.25">
      <c r="C1143" s="13"/>
      <c r="D1143" s="4" t="s">
        <v>1543</v>
      </c>
      <c r="E1143" s="1" t="s">
        <v>11</v>
      </c>
      <c r="F1143" s="5">
        <v>1400</v>
      </c>
      <c r="G1143" s="3">
        <f t="shared" si="1161"/>
        <v>1400</v>
      </c>
      <c r="H1143" s="14" t="str">
        <f t="shared" ref="H1143" si="1216">IF(NOT(ISNUMBER(VALUE(G1143))), "NA",IF(VALUE(G1143)&gt;5.1,"HIGH",IF(VALUE(G1143)&lt;0.8,"LOW", "VALUE IN RANGE")))</f>
        <v>HIGH</v>
      </c>
    </row>
    <row r="1144" spans="3:8" x14ac:dyDescent="0.25">
      <c r="C1144" s="13"/>
      <c r="D1144" s="4" t="s">
        <v>1543</v>
      </c>
      <c r="E1144" s="4" t="s">
        <v>13</v>
      </c>
      <c r="F1144" s="3" t="s">
        <v>51</v>
      </c>
      <c r="G1144" s="3">
        <f t="shared" si="1161"/>
        <v>0.2</v>
      </c>
      <c r="H1144" s="14" t="str">
        <f t="shared" ref="H1144" si="1217">IF(NOT(ISNUMBER(VALUE(G1144))), "NA",IF(VALUE(G1144)&gt;1.8,"HIGH",IF(VALUE(G1144)&lt;0,"LOW", "VALUE IN RANGE")))</f>
        <v>VALUE IN RANGE</v>
      </c>
    </row>
    <row r="1145" spans="3:8" x14ac:dyDescent="0.25">
      <c r="C1145" s="13"/>
      <c r="D1145" s="4" t="s">
        <v>1543</v>
      </c>
      <c r="E1145" s="1" t="s">
        <v>15</v>
      </c>
      <c r="F1145" s="5">
        <v>2000</v>
      </c>
      <c r="G1145" s="3">
        <f t="shared" si="1161"/>
        <v>2000</v>
      </c>
      <c r="H1145" s="14" t="str">
        <f t="shared" ref="H1145" si="1218">IF(NOT(ISNUMBER(VALUE(G1145))), "NA",IF(VALUE(G1145)&gt;12.6,"HIGH",IF(VALUE(G1145)&lt;4,"LOW", "VALUE IN RANGE")))</f>
        <v>HIGH</v>
      </c>
    </row>
    <row r="1146" spans="3:8" x14ac:dyDescent="0.25">
      <c r="C1146" s="13"/>
      <c r="D1146" s="4" t="s">
        <v>1543</v>
      </c>
      <c r="E1146" s="4" t="s">
        <v>17</v>
      </c>
      <c r="F1146" s="3" t="s">
        <v>605</v>
      </c>
      <c r="G1146" s="3">
        <f t="shared" si="1161"/>
        <v>9.9</v>
      </c>
      <c r="H1146" s="14" t="str">
        <f t="shared" ref="H1146" si="1219">IF(NOT(ISNUMBER(VALUE(G1146))), "NA",IF(VALUE(G1146)&gt;8.5,"HIGH",IF(VALUE(G1146)&lt;5.5,"LOW", "VALUE IN RANGE")))</f>
        <v>HIGH</v>
      </c>
    </row>
    <row r="1147" spans="3:8" x14ac:dyDescent="0.25">
      <c r="C1147" s="13"/>
      <c r="D1147" s="4" t="s">
        <v>1543</v>
      </c>
      <c r="E1147" s="1" t="s">
        <v>19</v>
      </c>
      <c r="F1147" s="5">
        <v>130</v>
      </c>
      <c r="G1147" s="3">
        <f t="shared" si="1161"/>
        <v>130</v>
      </c>
      <c r="H1147" s="14" t="str">
        <f t="shared" ref="H1147" si="1220">IF(NOT(ISNUMBER(VALUE(G1147))), "NA",IF(VALUE(G1147)&gt;190,"HIGH",IF(VALUE(G1147)&lt;110,"LOW", "VALUE IN RANGE")))</f>
        <v>VALUE IN RANGE</v>
      </c>
    </row>
    <row r="1148" spans="3:8" x14ac:dyDescent="0.25">
      <c r="C1148" s="13"/>
      <c r="D1148" s="4" t="s">
        <v>1543</v>
      </c>
      <c r="E1148" s="4" t="s">
        <v>21</v>
      </c>
      <c r="F1148" s="3" t="s">
        <v>759</v>
      </c>
      <c r="G1148" s="3">
        <f t="shared" si="1161"/>
        <v>45</v>
      </c>
      <c r="H1148" s="14" t="str">
        <f t="shared" ref="H1148" si="1221">IF(NOT(ISNUMBER(VALUE(G1148))), "NA",IF(VALUE(G1148)&gt;56,"HIGH",IF(VALUE(G1148)&lt;39,"LOW", "VALUE IN RANGE")))</f>
        <v>VALUE IN RANGE</v>
      </c>
    </row>
    <row r="1149" spans="3:8" x14ac:dyDescent="0.25">
      <c r="C1149" s="13"/>
      <c r="D1149" s="4" t="s">
        <v>1543</v>
      </c>
      <c r="E1149" s="1" t="s">
        <v>23</v>
      </c>
      <c r="F1149" s="5" t="s">
        <v>357</v>
      </c>
      <c r="G1149" s="3">
        <f t="shared" si="1161"/>
        <v>45.5</v>
      </c>
      <c r="H1149" s="14" t="str">
        <f t="shared" ref="H1149" si="1222">IF(NOT(ISNUMBER(VALUE(G1149))), "NA",IF(VALUE(G1149)&gt;72,"HIGH",IF(VALUE(G1149)&lt;62,"LOW", "VALUE IN RANGE")))</f>
        <v>LOW</v>
      </c>
    </row>
    <row r="1150" spans="3:8" x14ac:dyDescent="0.25">
      <c r="C1150" s="13"/>
      <c r="D1150" s="4" t="s">
        <v>1543</v>
      </c>
      <c r="E1150" s="4" t="s">
        <v>25</v>
      </c>
      <c r="F1150" s="3" t="s">
        <v>471</v>
      </c>
      <c r="G1150" s="3">
        <f t="shared" si="1161"/>
        <v>13.1</v>
      </c>
      <c r="H1150" s="14" t="str">
        <f t="shared" ref="H1150" si="1223">IF(NOT(ISNUMBER(VALUE(G1150))), "NA",IF(VALUE(G1150)&gt;25,"HIGH",IF(VALUE(G1150)&lt;20,"LOW", "VALUE IN RANGE")))</f>
        <v>LOW</v>
      </c>
    </row>
    <row r="1151" spans="3:8" x14ac:dyDescent="0.25">
      <c r="C1151" s="13"/>
      <c r="D1151" s="4" t="s">
        <v>1543</v>
      </c>
      <c r="E1151" s="1" t="s">
        <v>27</v>
      </c>
      <c r="F1151" s="5">
        <v>288</v>
      </c>
      <c r="G1151" s="3">
        <f t="shared" si="1161"/>
        <v>288</v>
      </c>
      <c r="H1151" s="14" t="str">
        <f t="shared" ref="H1151" si="1224">IF(NOT(ISNUMBER(VALUE(G1151))), "NA",IF(VALUE(G1151)&gt;380,"HIGH",IF(VALUE(G1151)&lt;300,"LOW", "VALUE IN RANGE")))</f>
        <v>LOW</v>
      </c>
    </row>
    <row r="1152" spans="3:8" x14ac:dyDescent="0.25">
      <c r="C1152" s="13"/>
      <c r="D1152" s="4" t="s">
        <v>1543</v>
      </c>
      <c r="E1152" s="4" t="s">
        <v>29</v>
      </c>
      <c r="F1152" s="3" t="s">
        <v>239</v>
      </c>
      <c r="G1152" s="3">
        <f t="shared" si="1161"/>
        <v>15.9</v>
      </c>
      <c r="H1152" s="14" t="str">
        <f t="shared" ref="H1152" si="1225">IF(NOT(ISNUMBER(VALUE(G1152))), "NA",IF(VALUE(G1152)&gt;15.5,"HIGH",IF(VALUE(G1152)&lt;11,"LOW", "VALUE IN RANGE")))</f>
        <v>HIGH</v>
      </c>
    </row>
    <row r="1153" spans="3:8" x14ac:dyDescent="0.25">
      <c r="C1153" s="13"/>
      <c r="D1153" s="4" t="s">
        <v>1543</v>
      </c>
      <c r="E1153" s="1" t="s">
        <v>31</v>
      </c>
      <c r="F1153" s="5">
        <v>225</v>
      </c>
      <c r="G1153" s="3">
        <f t="shared" si="1161"/>
        <v>225</v>
      </c>
      <c r="H1153" s="14" t="str">
        <f t="shared" ref="H1153" si="1226">IF(NOT(ISNUMBER(VALUE(G1153))), "NA",IF(VALUE(G1153)&gt;460,"HIGH",IF(VALUE(G1153)&lt;117,"LOW", "VALUE IN RANGE")))</f>
        <v>VALUE IN RANGE</v>
      </c>
    </row>
    <row r="1154" spans="3:8" x14ac:dyDescent="0.25">
      <c r="C1154" s="13"/>
      <c r="D1154" s="4" t="s">
        <v>1543</v>
      </c>
      <c r="E1154" s="4" t="s">
        <v>33</v>
      </c>
      <c r="F1154" s="3" t="s">
        <v>761</v>
      </c>
      <c r="G1154" s="3">
        <f t="shared" si="1161"/>
        <v>9.6</v>
      </c>
      <c r="H1154" s="14" t="str">
        <f t="shared" ref="H1154" si="1227">IF(NOT(ISNUMBER(VALUE(G1154))), "NA",IF(VALUE(G1154)&gt;12,"HIGH",IF(VALUE(G1154)&lt;7,"LOW", "VALUE IN RANGE")))</f>
        <v>VALUE IN RANGE</v>
      </c>
    </row>
    <row r="1155" spans="3:8" ht="15" customHeight="1" x14ac:dyDescent="0.25">
      <c r="C1155" s="13" t="str">
        <f t="shared" ref="C1155" si="1228">IF(D1155=D1170,D1169,"falso")</f>
        <v>PATIENT_0073</v>
      </c>
      <c r="D1155" s="4" t="s">
        <v>1544</v>
      </c>
      <c r="E1155" s="1" t="s">
        <v>3</v>
      </c>
      <c r="F1155" s="5" t="s">
        <v>343</v>
      </c>
      <c r="G1155" s="3">
        <f t="shared" si="1161"/>
        <v>7.8</v>
      </c>
      <c r="H1155" s="14" t="str">
        <f t="shared" ref="H1155" si="1229">IF(NOT(ISNUMBER(VALUE(G1155))), "NA",IF(VALUE(G1155)&gt;17,"HIGH",IF(VALUE(G1155)&lt;6,"LOW", "VALUE IN RANGE")))</f>
        <v>VALUE IN RANGE</v>
      </c>
    </row>
    <row r="1156" spans="3:8" x14ac:dyDescent="0.25">
      <c r="C1156" s="13"/>
      <c r="D1156" s="4" t="s">
        <v>1544</v>
      </c>
      <c r="E1156" s="4" t="s">
        <v>5</v>
      </c>
      <c r="F1156" s="3" t="s">
        <v>474</v>
      </c>
      <c r="G1156" s="3">
        <f t="shared" ref="G1156:G1219" si="1230">IFERROR(
   VALUE(
      SUBSTITUTE(
         CLEAN(
            TRIM(F1156)
         ),
         ".",
         ","
      )
   ),
   ""
)</f>
        <v>7.5</v>
      </c>
      <c r="H1156" s="14" t="str">
        <f t="shared" ref="H1156" si="1231">IF(NOT(ISNUMBER(VALUE(G1156))), "NA",IF(VALUE(G1156)&gt;30,"HIGH",IF(VALUE(G1156)&lt;12,"LOW", "VALUE IN RANGE")))</f>
        <v>LOW</v>
      </c>
    </row>
    <row r="1157" spans="3:8" x14ac:dyDescent="0.25">
      <c r="C1157" s="13"/>
      <c r="D1157" s="4" t="s">
        <v>1544</v>
      </c>
      <c r="E1157" s="1" t="s">
        <v>7</v>
      </c>
      <c r="F1157" s="5" t="s">
        <v>165</v>
      </c>
      <c r="G1157" s="3">
        <f t="shared" si="1230"/>
        <v>4.5999999999999996</v>
      </c>
      <c r="H1157" s="14" t="str">
        <f t="shared" ref="H1157" si="1232">IF(NOT(ISNUMBER(VALUE(G1157))), "NA",IF(VALUE(G1157)&gt;9,"HIGH",IF(VALUE(G1157)&lt;2,"LOW", "VALUE IN RANGE")))</f>
        <v>VALUE IN RANGE</v>
      </c>
    </row>
    <row r="1158" spans="3:8" x14ac:dyDescent="0.25">
      <c r="C1158" s="13"/>
      <c r="D1158" s="4" t="s">
        <v>1544</v>
      </c>
      <c r="E1158" s="4" t="s">
        <v>9</v>
      </c>
      <c r="F1158" s="3" t="s">
        <v>762</v>
      </c>
      <c r="G1158" s="3">
        <f t="shared" si="1230"/>
        <v>87.9</v>
      </c>
      <c r="H1158" s="14" t="str">
        <f t="shared" ref="H1158" si="1233">IF(NOT(ISNUMBER(VALUE(G1158))), "NA",IF(VALUE(G1158)&gt;83,"HIGH",IF(VALUE(G1158)&lt;60,"LOW", "VALUE IN RANGE")))</f>
        <v>HIGH</v>
      </c>
    </row>
    <row r="1159" spans="3:8" x14ac:dyDescent="0.25">
      <c r="C1159" s="13"/>
      <c r="D1159" s="4" t="s">
        <v>1544</v>
      </c>
      <c r="E1159" s="1" t="s">
        <v>11</v>
      </c>
      <c r="F1159" s="5" t="s">
        <v>109</v>
      </c>
      <c r="G1159" s="3">
        <f t="shared" si="1230"/>
        <v>0.5</v>
      </c>
      <c r="H1159" s="14" t="str">
        <f t="shared" ref="H1159" si="1234">IF(NOT(ISNUMBER(VALUE(G1159))), "NA",IF(VALUE(G1159)&gt;5.1,"HIGH",IF(VALUE(G1159)&lt;0.8,"LOW", "VALUE IN RANGE")))</f>
        <v>LOW</v>
      </c>
    </row>
    <row r="1160" spans="3:8" x14ac:dyDescent="0.25">
      <c r="C1160" s="13"/>
      <c r="D1160" s="4" t="s">
        <v>1544</v>
      </c>
      <c r="E1160" s="4" t="s">
        <v>13</v>
      </c>
      <c r="F1160" s="3" t="s">
        <v>14</v>
      </c>
      <c r="G1160" s="3">
        <f t="shared" si="1230"/>
        <v>0.3</v>
      </c>
      <c r="H1160" s="14" t="str">
        <f t="shared" ref="H1160" si="1235">IF(NOT(ISNUMBER(VALUE(G1160))), "NA",IF(VALUE(G1160)&gt;1.8,"HIGH",IF(VALUE(G1160)&lt;0,"LOW", "VALUE IN RANGE")))</f>
        <v>VALUE IN RANGE</v>
      </c>
    </row>
    <row r="1161" spans="3:8" x14ac:dyDescent="0.25">
      <c r="C1161" s="13"/>
      <c r="D1161" s="4" t="s">
        <v>1544</v>
      </c>
      <c r="E1161" s="1" t="s">
        <v>15</v>
      </c>
      <c r="F1161" s="5">
        <v>7000</v>
      </c>
      <c r="G1161" s="3">
        <f t="shared" si="1230"/>
        <v>7000</v>
      </c>
      <c r="H1161" s="14" t="str">
        <f t="shared" ref="H1161" si="1236">IF(NOT(ISNUMBER(VALUE(G1161))), "NA",IF(VALUE(G1161)&gt;12.6,"HIGH",IF(VALUE(G1161)&lt;4,"LOW", "VALUE IN RANGE")))</f>
        <v>HIGH</v>
      </c>
    </row>
    <row r="1162" spans="3:8" x14ac:dyDescent="0.25">
      <c r="C1162" s="13"/>
      <c r="D1162" s="4" t="s">
        <v>1544</v>
      </c>
      <c r="E1162" s="4" t="s">
        <v>17</v>
      </c>
      <c r="F1162" s="3" t="s">
        <v>763</v>
      </c>
      <c r="G1162" s="3">
        <f t="shared" si="1230"/>
        <v>4.5199999999999996</v>
      </c>
      <c r="H1162" s="14" t="str">
        <f t="shared" ref="H1162" si="1237">IF(NOT(ISNUMBER(VALUE(G1162))), "NA",IF(VALUE(G1162)&gt;8.5,"HIGH",IF(VALUE(G1162)&lt;5.5,"LOW", "VALUE IN RANGE")))</f>
        <v>LOW</v>
      </c>
    </row>
    <row r="1163" spans="3:8" x14ac:dyDescent="0.25">
      <c r="C1163" s="13"/>
      <c r="D1163" s="4" t="s">
        <v>1544</v>
      </c>
      <c r="E1163" s="1" t="s">
        <v>19</v>
      </c>
      <c r="F1163" s="5">
        <v>99</v>
      </c>
      <c r="G1163" s="3">
        <f t="shared" si="1230"/>
        <v>99</v>
      </c>
      <c r="H1163" s="14" t="str">
        <f t="shared" ref="H1163" si="1238">IF(NOT(ISNUMBER(VALUE(G1163))), "NA",IF(VALUE(G1163)&gt;190,"HIGH",IF(VALUE(G1163)&lt;110,"LOW", "VALUE IN RANGE")))</f>
        <v>LOW</v>
      </c>
    </row>
    <row r="1164" spans="3:8" x14ac:dyDescent="0.25">
      <c r="C1164" s="13"/>
      <c r="D1164" s="4" t="s">
        <v>1544</v>
      </c>
      <c r="E1164" s="4" t="s">
        <v>21</v>
      </c>
      <c r="F1164" s="3" t="s">
        <v>765</v>
      </c>
      <c r="G1164" s="3">
        <f t="shared" si="1230"/>
        <v>30.4</v>
      </c>
      <c r="H1164" s="14" t="str">
        <f t="shared" ref="H1164" si="1239">IF(NOT(ISNUMBER(VALUE(G1164))), "NA",IF(VALUE(G1164)&gt;56,"HIGH",IF(VALUE(G1164)&lt;39,"LOW", "VALUE IN RANGE")))</f>
        <v>LOW</v>
      </c>
    </row>
    <row r="1165" spans="3:8" x14ac:dyDescent="0.25">
      <c r="C1165" s="13"/>
      <c r="D1165" s="4" t="s">
        <v>1544</v>
      </c>
      <c r="E1165" s="1" t="s">
        <v>23</v>
      </c>
      <c r="F1165" s="5" t="s">
        <v>766</v>
      </c>
      <c r="G1165" s="3">
        <f t="shared" si="1230"/>
        <v>67.3</v>
      </c>
      <c r="H1165" s="14" t="str">
        <f t="shared" ref="H1165" si="1240">IF(NOT(ISNUMBER(VALUE(G1165))), "NA",IF(VALUE(G1165)&gt;72,"HIGH",IF(VALUE(G1165)&lt;62,"LOW", "VALUE IN RANGE")))</f>
        <v>VALUE IN RANGE</v>
      </c>
    </row>
    <row r="1166" spans="3:8" x14ac:dyDescent="0.25">
      <c r="C1166" s="13"/>
      <c r="D1166" s="4" t="s">
        <v>1544</v>
      </c>
      <c r="E1166" s="4" t="s">
        <v>25</v>
      </c>
      <c r="F1166" s="3" t="s">
        <v>655</v>
      </c>
      <c r="G1166" s="3">
        <f t="shared" si="1230"/>
        <v>21.9</v>
      </c>
      <c r="H1166" s="14" t="str">
        <f t="shared" ref="H1166" si="1241">IF(NOT(ISNUMBER(VALUE(G1166))), "NA",IF(VALUE(G1166)&gt;25,"HIGH",IF(VALUE(G1166)&lt;20,"LOW", "VALUE IN RANGE")))</f>
        <v>VALUE IN RANGE</v>
      </c>
    </row>
    <row r="1167" spans="3:8" x14ac:dyDescent="0.25">
      <c r="C1167" s="13"/>
      <c r="D1167" s="4" t="s">
        <v>1544</v>
      </c>
      <c r="E1167" s="1" t="s">
        <v>27</v>
      </c>
      <c r="F1167" s="5">
        <v>325</v>
      </c>
      <c r="G1167" s="3">
        <f t="shared" si="1230"/>
        <v>325</v>
      </c>
      <c r="H1167" s="14" t="str">
        <f t="shared" ref="H1167" si="1242">IF(NOT(ISNUMBER(VALUE(G1167))), "NA",IF(VALUE(G1167)&gt;380,"HIGH",IF(VALUE(G1167)&lt;300,"LOW", "VALUE IN RANGE")))</f>
        <v>VALUE IN RANGE</v>
      </c>
    </row>
    <row r="1168" spans="3:8" x14ac:dyDescent="0.25">
      <c r="C1168" s="13"/>
      <c r="D1168" s="4" t="s">
        <v>1544</v>
      </c>
      <c r="E1168" s="4" t="s">
        <v>29</v>
      </c>
      <c r="F1168" s="3" t="s">
        <v>30</v>
      </c>
      <c r="G1168" s="3">
        <f t="shared" si="1230"/>
        <v>11.9</v>
      </c>
      <c r="H1168" s="14" t="str">
        <f t="shared" ref="H1168" si="1243">IF(NOT(ISNUMBER(VALUE(G1168))), "NA",IF(VALUE(G1168)&gt;15.5,"HIGH",IF(VALUE(G1168)&lt;11,"LOW", "VALUE IN RANGE")))</f>
        <v>VALUE IN RANGE</v>
      </c>
    </row>
    <row r="1169" spans="3:8" x14ac:dyDescent="0.25">
      <c r="C1169" s="13"/>
      <c r="D1169" s="4" t="s">
        <v>1544</v>
      </c>
      <c r="E1169" s="1" t="s">
        <v>31</v>
      </c>
      <c r="F1169" s="5">
        <v>112</v>
      </c>
      <c r="G1169" s="3">
        <f t="shared" si="1230"/>
        <v>112</v>
      </c>
      <c r="H1169" s="14" t="str">
        <f t="shared" ref="H1169" si="1244">IF(NOT(ISNUMBER(VALUE(G1169))), "NA",IF(VALUE(G1169)&gt;460,"HIGH",IF(VALUE(G1169)&lt;117,"LOW", "VALUE IN RANGE")))</f>
        <v>LOW</v>
      </c>
    </row>
    <row r="1170" spans="3:8" x14ac:dyDescent="0.25">
      <c r="C1170" s="13"/>
      <c r="D1170" s="4" t="s">
        <v>1544</v>
      </c>
      <c r="E1170" s="4" t="s">
        <v>33</v>
      </c>
      <c r="F1170" s="3" t="s">
        <v>393</v>
      </c>
      <c r="G1170" s="3">
        <f t="shared" si="1230"/>
        <v>10.8</v>
      </c>
      <c r="H1170" s="14" t="str">
        <f t="shared" ref="H1170" si="1245">IF(NOT(ISNUMBER(VALUE(G1170))), "NA",IF(VALUE(G1170)&gt;12,"HIGH",IF(VALUE(G1170)&lt;7,"LOW", "VALUE IN RANGE")))</f>
        <v>VALUE IN RANGE</v>
      </c>
    </row>
    <row r="1171" spans="3:8" ht="15" customHeight="1" x14ac:dyDescent="0.25">
      <c r="C1171" s="13" t="str">
        <f t="shared" ref="C1171" si="1246">IF(D1171=D1186,D1185,"falso")</f>
        <v>PATIENT_0074</v>
      </c>
      <c r="D1171" s="4" t="s">
        <v>1545</v>
      </c>
      <c r="E1171" s="1" t="s">
        <v>3</v>
      </c>
      <c r="F1171" s="5" t="s">
        <v>121</v>
      </c>
      <c r="G1171" s="3">
        <f t="shared" si="1230"/>
        <v>9.5</v>
      </c>
      <c r="H1171" s="14" t="str">
        <f t="shared" ref="H1171" si="1247">IF(NOT(ISNUMBER(VALUE(G1171))), "NA",IF(VALUE(G1171)&gt;17,"HIGH",IF(VALUE(G1171)&lt;6,"LOW", "VALUE IN RANGE")))</f>
        <v>VALUE IN RANGE</v>
      </c>
    </row>
    <row r="1172" spans="3:8" x14ac:dyDescent="0.25">
      <c r="C1172" s="13"/>
      <c r="D1172" s="4" t="s">
        <v>1545</v>
      </c>
      <c r="E1172" s="4" t="s">
        <v>5</v>
      </c>
      <c r="F1172" s="3" t="s">
        <v>508</v>
      </c>
      <c r="G1172" s="3">
        <f t="shared" si="1230"/>
        <v>15.2</v>
      </c>
      <c r="H1172" s="14" t="str">
        <f t="shared" ref="H1172" si="1248">IF(NOT(ISNUMBER(VALUE(G1172))), "NA",IF(VALUE(G1172)&gt;30,"HIGH",IF(VALUE(G1172)&lt;12,"LOW", "VALUE IN RANGE")))</f>
        <v>VALUE IN RANGE</v>
      </c>
    </row>
    <row r="1173" spans="3:8" x14ac:dyDescent="0.25">
      <c r="C1173" s="13"/>
      <c r="D1173" s="4" t="s">
        <v>1545</v>
      </c>
      <c r="E1173" s="1" t="s">
        <v>7</v>
      </c>
      <c r="F1173" s="5" t="s">
        <v>47</v>
      </c>
      <c r="G1173" s="3">
        <f t="shared" si="1230"/>
        <v>5.5</v>
      </c>
      <c r="H1173" s="14" t="str">
        <f t="shared" ref="H1173" si="1249">IF(NOT(ISNUMBER(VALUE(G1173))), "NA",IF(VALUE(G1173)&gt;9,"HIGH",IF(VALUE(G1173)&lt;2,"LOW", "VALUE IN RANGE")))</f>
        <v>VALUE IN RANGE</v>
      </c>
    </row>
    <row r="1174" spans="3:8" x14ac:dyDescent="0.25">
      <c r="C1174" s="13"/>
      <c r="D1174" s="4" t="s">
        <v>1545</v>
      </c>
      <c r="E1174" s="4" t="s">
        <v>9</v>
      </c>
      <c r="F1174" s="3" t="s">
        <v>767</v>
      </c>
      <c r="G1174" s="3">
        <f t="shared" si="1230"/>
        <v>79.3</v>
      </c>
      <c r="H1174" s="14" t="str">
        <f t="shared" ref="H1174" si="1250">IF(NOT(ISNUMBER(VALUE(G1174))), "NA",IF(VALUE(G1174)&gt;83,"HIGH",IF(VALUE(G1174)&lt;60,"LOW", "VALUE IN RANGE")))</f>
        <v>VALUE IN RANGE</v>
      </c>
    </row>
    <row r="1175" spans="3:8" x14ac:dyDescent="0.25">
      <c r="C1175" s="13"/>
      <c r="D1175" s="4" t="s">
        <v>1545</v>
      </c>
      <c r="E1175" s="1" t="s">
        <v>11</v>
      </c>
      <c r="F1175" s="5">
        <v>1400</v>
      </c>
      <c r="G1175" s="3">
        <f t="shared" si="1230"/>
        <v>1400</v>
      </c>
      <c r="H1175" s="14" t="str">
        <f t="shared" ref="H1175" si="1251">IF(NOT(ISNUMBER(VALUE(G1175))), "NA",IF(VALUE(G1175)&gt;5.1,"HIGH",IF(VALUE(G1175)&lt;0.8,"LOW", "VALUE IN RANGE")))</f>
        <v>HIGH</v>
      </c>
    </row>
    <row r="1176" spans="3:8" x14ac:dyDescent="0.25">
      <c r="C1176" s="13"/>
      <c r="D1176" s="4" t="s">
        <v>1545</v>
      </c>
      <c r="E1176" s="4" t="s">
        <v>13</v>
      </c>
      <c r="F1176" s="3" t="s">
        <v>109</v>
      </c>
      <c r="G1176" s="3">
        <f t="shared" si="1230"/>
        <v>0.5</v>
      </c>
      <c r="H1176" s="14" t="str">
        <f t="shared" ref="H1176" si="1252">IF(NOT(ISNUMBER(VALUE(G1176))), "NA",IF(VALUE(G1176)&gt;1.8,"HIGH",IF(VALUE(G1176)&lt;0,"LOW", "VALUE IN RANGE")))</f>
        <v>VALUE IN RANGE</v>
      </c>
    </row>
    <row r="1177" spans="3:8" x14ac:dyDescent="0.25">
      <c r="C1177" s="13"/>
      <c r="D1177" s="4" t="s">
        <v>1545</v>
      </c>
      <c r="E1177" s="1" t="s">
        <v>15</v>
      </c>
      <c r="F1177" s="5">
        <v>7600</v>
      </c>
      <c r="G1177" s="3">
        <f t="shared" si="1230"/>
        <v>7600</v>
      </c>
      <c r="H1177" s="14" t="str">
        <f t="shared" ref="H1177" si="1253">IF(NOT(ISNUMBER(VALUE(G1177))), "NA",IF(VALUE(G1177)&gt;12.6,"HIGH",IF(VALUE(G1177)&lt;4,"LOW", "VALUE IN RANGE")))</f>
        <v>HIGH</v>
      </c>
    </row>
    <row r="1178" spans="3:8" x14ac:dyDescent="0.25">
      <c r="C1178" s="13"/>
      <c r="D1178" s="4" t="s">
        <v>1545</v>
      </c>
      <c r="E1178" s="4" t="s">
        <v>17</v>
      </c>
      <c r="F1178" s="3" t="s">
        <v>768</v>
      </c>
      <c r="G1178" s="3">
        <f t="shared" si="1230"/>
        <v>4.32</v>
      </c>
      <c r="H1178" s="14" t="str">
        <f t="shared" ref="H1178" si="1254">IF(NOT(ISNUMBER(VALUE(G1178))), "NA",IF(VALUE(G1178)&gt;8.5,"HIGH",IF(VALUE(G1178)&lt;5.5,"LOW", "VALUE IN RANGE")))</f>
        <v>LOW</v>
      </c>
    </row>
    <row r="1179" spans="3:8" x14ac:dyDescent="0.25">
      <c r="C1179" s="13"/>
      <c r="D1179" s="4" t="s">
        <v>1545</v>
      </c>
      <c r="E1179" s="1" t="s">
        <v>19</v>
      </c>
      <c r="F1179" s="5">
        <v>92</v>
      </c>
      <c r="G1179" s="3">
        <f t="shared" si="1230"/>
        <v>92</v>
      </c>
      <c r="H1179" s="14" t="str">
        <f t="shared" ref="H1179" si="1255">IF(NOT(ISNUMBER(VALUE(G1179))), "NA",IF(VALUE(G1179)&gt;190,"HIGH",IF(VALUE(G1179)&lt;110,"LOW", "VALUE IN RANGE")))</f>
        <v>LOW</v>
      </c>
    </row>
    <row r="1180" spans="3:8" x14ac:dyDescent="0.25">
      <c r="C1180" s="13"/>
      <c r="D1180" s="4" t="s">
        <v>1545</v>
      </c>
      <c r="E1180" s="4" t="s">
        <v>21</v>
      </c>
      <c r="F1180" s="3" t="s">
        <v>770</v>
      </c>
      <c r="G1180" s="3">
        <f t="shared" si="1230"/>
        <v>29.1</v>
      </c>
      <c r="H1180" s="14" t="str">
        <f t="shared" ref="H1180" si="1256">IF(NOT(ISNUMBER(VALUE(G1180))), "NA",IF(VALUE(G1180)&gt;56,"HIGH",IF(VALUE(G1180)&lt;39,"LOW", "VALUE IN RANGE")))</f>
        <v>LOW</v>
      </c>
    </row>
    <row r="1181" spans="3:8" x14ac:dyDescent="0.25">
      <c r="C1181" s="13"/>
      <c r="D1181" s="4" t="s">
        <v>1545</v>
      </c>
      <c r="E1181" s="1" t="s">
        <v>23</v>
      </c>
      <c r="F1181" s="5" t="s">
        <v>469</v>
      </c>
      <c r="G1181" s="3">
        <f t="shared" si="1230"/>
        <v>67.5</v>
      </c>
      <c r="H1181" s="14" t="str">
        <f t="shared" ref="H1181" si="1257">IF(NOT(ISNUMBER(VALUE(G1181))), "NA",IF(VALUE(G1181)&gt;72,"HIGH",IF(VALUE(G1181)&lt;62,"LOW", "VALUE IN RANGE")))</f>
        <v>VALUE IN RANGE</v>
      </c>
    </row>
    <row r="1182" spans="3:8" x14ac:dyDescent="0.25">
      <c r="C1182" s="13"/>
      <c r="D1182" s="4" t="s">
        <v>1545</v>
      </c>
      <c r="E1182" s="4" t="s">
        <v>25</v>
      </c>
      <c r="F1182" s="3" t="s">
        <v>771</v>
      </c>
      <c r="G1182" s="3">
        <f t="shared" si="1230"/>
        <v>21.2</v>
      </c>
      <c r="H1182" s="14" t="str">
        <f t="shared" ref="H1182" si="1258">IF(NOT(ISNUMBER(VALUE(G1182))), "NA",IF(VALUE(G1182)&gt;25,"HIGH",IF(VALUE(G1182)&lt;20,"LOW", "VALUE IN RANGE")))</f>
        <v>VALUE IN RANGE</v>
      </c>
    </row>
    <row r="1183" spans="3:8" x14ac:dyDescent="0.25">
      <c r="C1183" s="13"/>
      <c r="D1183" s="4" t="s">
        <v>1545</v>
      </c>
      <c r="E1183" s="1" t="s">
        <v>27</v>
      </c>
      <c r="F1183" s="5">
        <v>316</v>
      </c>
      <c r="G1183" s="3">
        <f t="shared" si="1230"/>
        <v>316</v>
      </c>
      <c r="H1183" s="14" t="str">
        <f t="shared" ref="H1183" si="1259">IF(NOT(ISNUMBER(VALUE(G1183))), "NA",IF(VALUE(G1183)&gt;380,"HIGH",IF(VALUE(G1183)&lt;300,"LOW", "VALUE IN RANGE")))</f>
        <v>VALUE IN RANGE</v>
      </c>
    </row>
    <row r="1184" spans="3:8" x14ac:dyDescent="0.25">
      <c r="C1184" s="13"/>
      <c r="D1184" s="4" t="s">
        <v>1545</v>
      </c>
      <c r="E1184" s="4" t="s">
        <v>29</v>
      </c>
      <c r="F1184" s="3" t="s">
        <v>174</v>
      </c>
      <c r="G1184" s="3">
        <f t="shared" si="1230"/>
        <v>12.5</v>
      </c>
      <c r="H1184" s="14" t="str">
        <f t="shared" ref="H1184" si="1260">IF(NOT(ISNUMBER(VALUE(G1184))), "NA",IF(VALUE(G1184)&gt;15.5,"HIGH",IF(VALUE(G1184)&lt;11,"LOW", "VALUE IN RANGE")))</f>
        <v>VALUE IN RANGE</v>
      </c>
    </row>
    <row r="1185" spans="3:8" x14ac:dyDescent="0.25">
      <c r="C1185" s="13"/>
      <c r="D1185" s="4" t="s">
        <v>1545</v>
      </c>
      <c r="E1185" s="1" t="s">
        <v>31</v>
      </c>
      <c r="F1185" s="5">
        <v>165</v>
      </c>
      <c r="G1185" s="3">
        <f t="shared" si="1230"/>
        <v>165</v>
      </c>
      <c r="H1185" s="14" t="str">
        <f t="shared" ref="H1185" si="1261">IF(NOT(ISNUMBER(VALUE(G1185))), "NA",IF(VALUE(G1185)&gt;460,"HIGH",IF(VALUE(G1185)&lt;117,"LOW", "VALUE IN RANGE")))</f>
        <v>VALUE IN RANGE</v>
      </c>
    </row>
    <row r="1186" spans="3:8" x14ac:dyDescent="0.25">
      <c r="C1186" s="13"/>
      <c r="D1186" s="4" t="s">
        <v>1545</v>
      </c>
      <c r="E1186" s="4" t="s">
        <v>33</v>
      </c>
      <c r="F1186" s="3" t="s">
        <v>393</v>
      </c>
      <c r="G1186" s="3">
        <f t="shared" si="1230"/>
        <v>10.8</v>
      </c>
      <c r="H1186" s="14" t="str">
        <f t="shared" ref="H1186" si="1262">IF(NOT(ISNUMBER(VALUE(G1186))), "NA",IF(VALUE(G1186)&gt;12,"HIGH",IF(VALUE(G1186)&lt;7,"LOW", "VALUE IN RANGE")))</f>
        <v>VALUE IN RANGE</v>
      </c>
    </row>
    <row r="1187" spans="3:8" ht="15" customHeight="1" x14ac:dyDescent="0.25">
      <c r="C1187" s="13" t="str">
        <f t="shared" ref="C1187" si="1263">IF(D1187=D1202,D1201,"falso")</f>
        <v>PATIENT_0075</v>
      </c>
      <c r="D1187" s="4" t="s">
        <v>1546</v>
      </c>
      <c r="E1187" s="1" t="s">
        <v>3</v>
      </c>
      <c r="F1187" s="5" t="s">
        <v>294</v>
      </c>
      <c r="G1187" s="3">
        <f t="shared" si="1230"/>
        <v>8.6999999999999993</v>
      </c>
      <c r="H1187" s="14" t="str">
        <f t="shared" ref="H1187" si="1264">IF(NOT(ISNUMBER(VALUE(G1187))), "NA",IF(VALUE(G1187)&gt;17,"HIGH",IF(VALUE(G1187)&lt;6,"LOW", "VALUE IN RANGE")))</f>
        <v>VALUE IN RANGE</v>
      </c>
    </row>
    <row r="1188" spans="3:8" x14ac:dyDescent="0.25">
      <c r="C1188" s="13"/>
      <c r="D1188" s="4" t="s">
        <v>1546</v>
      </c>
      <c r="E1188" s="4" t="s">
        <v>5</v>
      </c>
      <c r="F1188" s="3" t="s">
        <v>772</v>
      </c>
      <c r="G1188" s="3">
        <f t="shared" si="1230"/>
        <v>1.6</v>
      </c>
      <c r="H1188" s="14" t="str">
        <f t="shared" ref="H1188" si="1265">IF(NOT(ISNUMBER(VALUE(G1188))), "NA",IF(VALUE(G1188)&gt;30,"HIGH",IF(VALUE(G1188)&lt;12,"LOW", "VALUE IN RANGE")))</f>
        <v>LOW</v>
      </c>
    </row>
    <row r="1189" spans="3:8" x14ac:dyDescent="0.25">
      <c r="C1189" s="13"/>
      <c r="D1189" s="4" t="s">
        <v>1546</v>
      </c>
      <c r="E1189" s="1" t="s">
        <v>7</v>
      </c>
      <c r="F1189" s="5" t="s">
        <v>417</v>
      </c>
      <c r="G1189" s="3">
        <f t="shared" si="1230"/>
        <v>4.2</v>
      </c>
      <c r="H1189" s="14" t="str">
        <f t="shared" ref="H1189" si="1266">IF(NOT(ISNUMBER(VALUE(G1189))), "NA",IF(VALUE(G1189)&gt;9,"HIGH",IF(VALUE(G1189)&lt;2,"LOW", "VALUE IN RANGE")))</f>
        <v>VALUE IN RANGE</v>
      </c>
    </row>
    <row r="1190" spans="3:8" x14ac:dyDescent="0.25">
      <c r="C1190" s="13"/>
      <c r="D1190" s="4" t="s">
        <v>1546</v>
      </c>
      <c r="E1190" s="4" t="s">
        <v>9</v>
      </c>
      <c r="F1190" s="3" t="s">
        <v>773</v>
      </c>
      <c r="G1190" s="3">
        <f t="shared" si="1230"/>
        <v>94.2</v>
      </c>
      <c r="H1190" s="14" t="str">
        <f t="shared" ref="H1190" si="1267">IF(NOT(ISNUMBER(VALUE(G1190))), "NA",IF(VALUE(G1190)&gt;83,"HIGH",IF(VALUE(G1190)&lt;60,"LOW", "VALUE IN RANGE")))</f>
        <v>HIGH</v>
      </c>
    </row>
    <row r="1191" spans="3:8" x14ac:dyDescent="0.25">
      <c r="C1191" s="13"/>
      <c r="D1191" s="4" t="s">
        <v>1546</v>
      </c>
      <c r="E1191" s="1" t="s">
        <v>11</v>
      </c>
      <c r="F1191" s="5" t="s">
        <v>40</v>
      </c>
      <c r="G1191" s="3">
        <f t="shared" si="1230"/>
        <v>0.1</v>
      </c>
      <c r="H1191" s="14" t="str">
        <f t="shared" ref="H1191" si="1268">IF(NOT(ISNUMBER(VALUE(G1191))), "NA",IF(VALUE(G1191)&gt;5.1,"HIGH",IF(VALUE(G1191)&lt;0.8,"LOW", "VALUE IN RANGE")))</f>
        <v>LOW</v>
      </c>
    </row>
    <row r="1192" spans="3:8" x14ac:dyDescent="0.25">
      <c r="C1192" s="13"/>
      <c r="D1192" s="4" t="s">
        <v>1546</v>
      </c>
      <c r="E1192" s="4" t="s">
        <v>13</v>
      </c>
      <c r="F1192" s="3" t="s">
        <v>14</v>
      </c>
      <c r="G1192" s="3">
        <f t="shared" si="1230"/>
        <v>0.3</v>
      </c>
      <c r="H1192" s="14" t="str">
        <f t="shared" ref="H1192" si="1269">IF(NOT(ISNUMBER(VALUE(G1192))), "NA",IF(VALUE(G1192)&gt;1.8,"HIGH",IF(VALUE(G1192)&lt;0,"LOW", "VALUE IN RANGE")))</f>
        <v>VALUE IN RANGE</v>
      </c>
    </row>
    <row r="1193" spans="3:8" x14ac:dyDescent="0.25">
      <c r="C1193" s="13"/>
      <c r="D1193" s="4" t="s">
        <v>1546</v>
      </c>
      <c r="E1193" s="1" t="s">
        <v>15</v>
      </c>
      <c r="F1193" s="5">
        <v>8300</v>
      </c>
      <c r="G1193" s="3">
        <f t="shared" si="1230"/>
        <v>8300</v>
      </c>
      <c r="H1193" s="14" t="str">
        <f t="shared" ref="H1193" si="1270">IF(NOT(ISNUMBER(VALUE(G1193))), "NA",IF(VALUE(G1193)&gt;12.6,"HIGH",IF(VALUE(G1193)&lt;4,"LOW", "VALUE IN RANGE")))</f>
        <v>HIGH</v>
      </c>
    </row>
    <row r="1194" spans="3:8" x14ac:dyDescent="0.25">
      <c r="C1194" s="13"/>
      <c r="D1194" s="4" t="s">
        <v>1546</v>
      </c>
      <c r="E1194" s="4" t="s">
        <v>17</v>
      </c>
      <c r="F1194" s="3" t="s">
        <v>775</v>
      </c>
      <c r="G1194" s="3">
        <f t="shared" si="1230"/>
        <v>8.19</v>
      </c>
      <c r="H1194" s="14" t="str">
        <f t="shared" ref="H1194" si="1271">IF(NOT(ISNUMBER(VALUE(G1194))), "NA",IF(VALUE(G1194)&gt;8.5,"HIGH",IF(VALUE(G1194)&lt;5.5,"LOW", "VALUE IN RANGE")))</f>
        <v>VALUE IN RANGE</v>
      </c>
    </row>
    <row r="1195" spans="3:8" x14ac:dyDescent="0.25">
      <c r="C1195" s="13"/>
      <c r="D1195" s="4" t="s">
        <v>1546</v>
      </c>
      <c r="E1195" s="1" t="s">
        <v>19</v>
      </c>
      <c r="F1195" s="5">
        <v>179</v>
      </c>
      <c r="G1195" s="3">
        <f t="shared" si="1230"/>
        <v>179</v>
      </c>
      <c r="H1195" s="14" t="str">
        <f t="shared" ref="H1195" si="1272">IF(NOT(ISNUMBER(VALUE(G1195))), "NA",IF(VALUE(G1195)&gt;190,"HIGH",IF(VALUE(G1195)&lt;110,"LOW", "VALUE IN RANGE")))</f>
        <v>VALUE IN RANGE</v>
      </c>
    </row>
    <row r="1196" spans="3:8" x14ac:dyDescent="0.25">
      <c r="C1196" s="13"/>
      <c r="D1196" s="4" t="s">
        <v>1546</v>
      </c>
      <c r="E1196" s="4" t="s">
        <v>21</v>
      </c>
      <c r="F1196" s="3" t="s">
        <v>776</v>
      </c>
      <c r="G1196" s="3">
        <f t="shared" si="1230"/>
        <v>55.2</v>
      </c>
      <c r="H1196" s="14" t="str">
        <f t="shared" ref="H1196" si="1273">IF(NOT(ISNUMBER(VALUE(G1196))), "NA",IF(VALUE(G1196)&gt;56,"HIGH",IF(VALUE(G1196)&lt;39,"LOW", "VALUE IN RANGE")))</f>
        <v>VALUE IN RANGE</v>
      </c>
    </row>
    <row r="1197" spans="3:8" x14ac:dyDescent="0.25">
      <c r="C1197" s="13"/>
      <c r="D1197" s="4" t="s">
        <v>1546</v>
      </c>
      <c r="E1197" s="1" t="s">
        <v>23</v>
      </c>
      <c r="F1197" s="5" t="s">
        <v>449</v>
      </c>
      <c r="G1197" s="3">
        <f t="shared" si="1230"/>
        <v>67.400000000000006</v>
      </c>
      <c r="H1197" s="14" t="str">
        <f t="shared" ref="H1197" si="1274">IF(NOT(ISNUMBER(VALUE(G1197))), "NA",IF(VALUE(G1197)&gt;72,"HIGH",IF(VALUE(G1197)&lt;62,"LOW", "VALUE IN RANGE")))</f>
        <v>VALUE IN RANGE</v>
      </c>
    </row>
    <row r="1198" spans="3:8" x14ac:dyDescent="0.25">
      <c r="C1198" s="13"/>
      <c r="D1198" s="4" t="s">
        <v>1546</v>
      </c>
      <c r="E1198" s="4" t="s">
        <v>25</v>
      </c>
      <c r="F1198" s="3" t="s">
        <v>777</v>
      </c>
      <c r="G1198" s="3">
        <f t="shared" si="1230"/>
        <v>21.8</v>
      </c>
      <c r="H1198" s="14" t="str">
        <f t="shared" ref="H1198" si="1275">IF(NOT(ISNUMBER(VALUE(G1198))), "NA",IF(VALUE(G1198)&gt;25,"HIGH",IF(VALUE(G1198)&lt;20,"LOW", "VALUE IN RANGE")))</f>
        <v>VALUE IN RANGE</v>
      </c>
    </row>
    <row r="1199" spans="3:8" x14ac:dyDescent="0.25">
      <c r="C1199" s="13"/>
      <c r="D1199" s="4" t="s">
        <v>1546</v>
      </c>
      <c r="E1199" s="1" t="s">
        <v>27</v>
      </c>
      <c r="F1199" s="5">
        <v>324</v>
      </c>
      <c r="G1199" s="3">
        <f t="shared" si="1230"/>
        <v>324</v>
      </c>
      <c r="H1199" s="14" t="str">
        <f t="shared" ref="H1199" si="1276">IF(NOT(ISNUMBER(VALUE(G1199))), "NA",IF(VALUE(G1199)&gt;380,"HIGH",IF(VALUE(G1199)&lt;300,"LOW", "VALUE IN RANGE")))</f>
        <v>VALUE IN RANGE</v>
      </c>
    </row>
    <row r="1200" spans="3:8" x14ac:dyDescent="0.25">
      <c r="C1200" s="13"/>
      <c r="D1200" s="4" t="s">
        <v>1546</v>
      </c>
      <c r="E1200" s="4" t="s">
        <v>29</v>
      </c>
      <c r="F1200" s="3" t="s">
        <v>174</v>
      </c>
      <c r="G1200" s="3">
        <f t="shared" si="1230"/>
        <v>12.5</v>
      </c>
      <c r="H1200" s="14" t="str">
        <f t="shared" ref="H1200" si="1277">IF(NOT(ISNUMBER(VALUE(G1200))), "NA",IF(VALUE(G1200)&gt;15.5,"HIGH",IF(VALUE(G1200)&lt;11,"LOW", "VALUE IN RANGE")))</f>
        <v>VALUE IN RANGE</v>
      </c>
    </row>
    <row r="1201" spans="3:8" x14ac:dyDescent="0.25">
      <c r="C1201" s="13"/>
      <c r="D1201" s="4" t="s">
        <v>1546</v>
      </c>
      <c r="E1201" s="1" t="s">
        <v>31</v>
      </c>
      <c r="F1201" s="5">
        <v>362</v>
      </c>
      <c r="G1201" s="3">
        <f t="shared" si="1230"/>
        <v>362</v>
      </c>
      <c r="H1201" s="14" t="str">
        <f t="shared" ref="H1201" si="1278">IF(NOT(ISNUMBER(VALUE(G1201))), "NA",IF(VALUE(G1201)&gt;460,"HIGH",IF(VALUE(G1201)&lt;117,"LOW", "VALUE IN RANGE")))</f>
        <v>VALUE IN RANGE</v>
      </c>
    </row>
    <row r="1202" spans="3:8" x14ac:dyDescent="0.25">
      <c r="C1202" s="13"/>
      <c r="D1202" s="4" t="s">
        <v>1546</v>
      </c>
      <c r="E1202" s="4" t="s">
        <v>33</v>
      </c>
      <c r="F1202" s="3" t="s">
        <v>90</v>
      </c>
      <c r="G1202" s="3">
        <f t="shared" si="1230"/>
        <v>7.9</v>
      </c>
      <c r="H1202" s="14" t="str">
        <f t="shared" ref="H1202" si="1279">IF(NOT(ISNUMBER(VALUE(G1202))), "NA",IF(VALUE(G1202)&gt;12,"HIGH",IF(VALUE(G1202)&lt;7,"LOW", "VALUE IN RANGE")))</f>
        <v>VALUE IN RANGE</v>
      </c>
    </row>
    <row r="1203" spans="3:8" ht="15" customHeight="1" x14ac:dyDescent="0.25">
      <c r="C1203" s="13" t="str">
        <f t="shared" ref="C1203" si="1280">IF(D1203=D1218,D1217,"falso")</f>
        <v>PATIENT_0076</v>
      </c>
      <c r="D1203" s="4" t="s">
        <v>1547</v>
      </c>
      <c r="E1203" s="1" t="s">
        <v>3</v>
      </c>
      <c r="F1203" s="5" t="s">
        <v>219</v>
      </c>
      <c r="G1203" s="3">
        <f t="shared" si="1230"/>
        <v>6.2</v>
      </c>
      <c r="H1203" s="14" t="str">
        <f t="shared" ref="H1203" si="1281">IF(NOT(ISNUMBER(VALUE(G1203))), "NA",IF(VALUE(G1203)&gt;17,"HIGH",IF(VALUE(G1203)&lt;6,"LOW", "VALUE IN RANGE")))</f>
        <v>VALUE IN RANGE</v>
      </c>
    </row>
    <row r="1204" spans="3:8" x14ac:dyDescent="0.25">
      <c r="C1204" s="13"/>
      <c r="D1204" s="4" t="s">
        <v>1547</v>
      </c>
      <c r="E1204" s="4" t="s">
        <v>5</v>
      </c>
      <c r="F1204" s="3" t="s">
        <v>779</v>
      </c>
      <c r="G1204" s="3">
        <f t="shared" si="1230"/>
        <v>10.4</v>
      </c>
      <c r="H1204" s="14" t="str">
        <f t="shared" ref="H1204" si="1282">IF(NOT(ISNUMBER(VALUE(G1204))), "NA",IF(VALUE(G1204)&gt;30,"HIGH",IF(VALUE(G1204)&lt;12,"LOW", "VALUE IN RANGE")))</f>
        <v>LOW</v>
      </c>
    </row>
    <row r="1205" spans="3:8" x14ac:dyDescent="0.25">
      <c r="C1205" s="13"/>
      <c r="D1205" s="4" t="s">
        <v>1547</v>
      </c>
      <c r="E1205" s="1" t="s">
        <v>7</v>
      </c>
      <c r="F1205" s="5" t="s">
        <v>165</v>
      </c>
      <c r="G1205" s="3">
        <f t="shared" si="1230"/>
        <v>4.5999999999999996</v>
      </c>
      <c r="H1205" s="14" t="str">
        <f t="shared" ref="H1205" si="1283">IF(NOT(ISNUMBER(VALUE(G1205))), "NA",IF(VALUE(G1205)&gt;9,"HIGH",IF(VALUE(G1205)&lt;2,"LOW", "VALUE IN RANGE")))</f>
        <v>VALUE IN RANGE</v>
      </c>
    </row>
    <row r="1206" spans="3:8" x14ac:dyDescent="0.25">
      <c r="C1206" s="13"/>
      <c r="D1206" s="4" t="s">
        <v>1547</v>
      </c>
      <c r="E1206" s="4" t="s">
        <v>9</v>
      </c>
      <c r="F1206" s="3" t="s">
        <v>780</v>
      </c>
      <c r="G1206" s="3">
        <f t="shared" si="1230"/>
        <v>85</v>
      </c>
      <c r="H1206" s="14" t="str">
        <f t="shared" ref="H1206" si="1284">IF(NOT(ISNUMBER(VALUE(G1206))), "NA",IF(VALUE(G1206)&gt;83,"HIGH",IF(VALUE(G1206)&lt;60,"LOW", "VALUE IN RANGE")))</f>
        <v>HIGH</v>
      </c>
    </row>
    <row r="1207" spans="3:8" x14ac:dyDescent="0.25">
      <c r="C1207" s="13"/>
      <c r="D1207" s="4" t="s">
        <v>1547</v>
      </c>
      <c r="E1207" s="1" t="s">
        <v>11</v>
      </c>
      <c r="F1207" s="5" t="s">
        <v>52</v>
      </c>
      <c r="G1207" s="3">
        <f t="shared" si="1230"/>
        <v>0.6</v>
      </c>
      <c r="H1207" s="14" t="str">
        <f t="shared" ref="H1207" si="1285">IF(NOT(ISNUMBER(VALUE(G1207))), "NA",IF(VALUE(G1207)&gt;5.1,"HIGH",IF(VALUE(G1207)&lt;0.8,"LOW", "VALUE IN RANGE")))</f>
        <v>LOW</v>
      </c>
    </row>
    <row r="1208" spans="3:8" x14ac:dyDescent="0.25">
      <c r="C1208" s="13"/>
      <c r="D1208" s="4" t="s">
        <v>1547</v>
      </c>
      <c r="E1208" s="4" t="s">
        <v>13</v>
      </c>
      <c r="F1208" s="3" t="s">
        <v>51</v>
      </c>
      <c r="G1208" s="3">
        <f t="shared" si="1230"/>
        <v>0.2</v>
      </c>
      <c r="H1208" s="14" t="str">
        <f t="shared" ref="H1208" si="1286">IF(NOT(ISNUMBER(VALUE(G1208))), "NA",IF(VALUE(G1208)&gt;1.8,"HIGH",IF(VALUE(G1208)&lt;0,"LOW", "VALUE IN RANGE")))</f>
        <v>VALUE IN RANGE</v>
      </c>
    </row>
    <row r="1209" spans="3:8" x14ac:dyDescent="0.25">
      <c r="C1209" s="13"/>
      <c r="D1209" s="4" t="s">
        <v>1547</v>
      </c>
      <c r="E1209" s="1" t="s">
        <v>15</v>
      </c>
      <c r="F1209" s="5">
        <v>5400</v>
      </c>
      <c r="G1209" s="3">
        <f t="shared" si="1230"/>
        <v>5400</v>
      </c>
      <c r="H1209" s="14" t="str">
        <f t="shared" ref="H1209" si="1287">IF(NOT(ISNUMBER(VALUE(G1209))), "NA",IF(VALUE(G1209)&gt;12.6,"HIGH",IF(VALUE(G1209)&lt;4,"LOW", "VALUE IN RANGE")))</f>
        <v>HIGH</v>
      </c>
    </row>
    <row r="1210" spans="3:8" x14ac:dyDescent="0.25">
      <c r="C1210" s="13"/>
      <c r="D1210" s="4" t="s">
        <v>1547</v>
      </c>
      <c r="E1210" s="4" t="s">
        <v>17</v>
      </c>
      <c r="F1210" s="3" t="s">
        <v>781</v>
      </c>
      <c r="G1210" s="3">
        <f t="shared" si="1230"/>
        <v>5.09</v>
      </c>
      <c r="H1210" s="14" t="str">
        <f t="shared" ref="H1210" si="1288">IF(NOT(ISNUMBER(VALUE(G1210))), "NA",IF(VALUE(G1210)&gt;8.5,"HIGH",IF(VALUE(G1210)&lt;5.5,"LOW", "VALUE IN RANGE")))</f>
        <v>LOW</v>
      </c>
    </row>
    <row r="1211" spans="3:8" x14ac:dyDescent="0.25">
      <c r="C1211" s="13"/>
      <c r="D1211" s="4" t="s">
        <v>1547</v>
      </c>
      <c r="E1211" s="1" t="s">
        <v>19</v>
      </c>
      <c r="F1211" s="5">
        <v>124</v>
      </c>
      <c r="G1211" s="3">
        <f t="shared" si="1230"/>
        <v>124</v>
      </c>
      <c r="H1211" s="14" t="str">
        <f t="shared" ref="H1211" si="1289">IF(NOT(ISNUMBER(VALUE(G1211))), "NA",IF(VALUE(G1211)&gt;190,"HIGH",IF(VALUE(G1211)&lt;110,"LOW", "VALUE IN RANGE")))</f>
        <v>VALUE IN RANGE</v>
      </c>
    </row>
    <row r="1212" spans="3:8" x14ac:dyDescent="0.25">
      <c r="C1212" s="13"/>
      <c r="D1212" s="4" t="s">
        <v>1547</v>
      </c>
      <c r="E1212" s="4" t="s">
        <v>21</v>
      </c>
      <c r="F1212" s="3" t="s">
        <v>236</v>
      </c>
      <c r="G1212" s="3">
        <f t="shared" si="1230"/>
        <v>39.299999999999997</v>
      </c>
      <c r="H1212" s="14" t="str">
        <f t="shared" ref="H1212" si="1290">IF(NOT(ISNUMBER(VALUE(G1212))), "NA",IF(VALUE(G1212)&gt;56,"HIGH",IF(VALUE(G1212)&lt;39,"LOW", "VALUE IN RANGE")))</f>
        <v>VALUE IN RANGE</v>
      </c>
    </row>
    <row r="1213" spans="3:8" x14ac:dyDescent="0.25">
      <c r="C1213" s="13"/>
      <c r="D1213" s="4" t="s">
        <v>1547</v>
      </c>
      <c r="E1213" s="1" t="s">
        <v>23</v>
      </c>
      <c r="F1213" s="5" t="s">
        <v>782</v>
      </c>
      <c r="G1213" s="3">
        <f t="shared" si="1230"/>
        <v>77.400000000000006</v>
      </c>
      <c r="H1213" s="14" t="str">
        <f t="shared" ref="H1213" si="1291">IF(NOT(ISNUMBER(VALUE(G1213))), "NA",IF(VALUE(G1213)&gt;72,"HIGH",IF(VALUE(G1213)&lt;62,"LOW", "VALUE IN RANGE")))</f>
        <v>HIGH</v>
      </c>
    </row>
    <row r="1214" spans="3:8" x14ac:dyDescent="0.25">
      <c r="C1214" s="13"/>
      <c r="D1214" s="4" t="s">
        <v>1547</v>
      </c>
      <c r="E1214" s="4" t="s">
        <v>25</v>
      </c>
      <c r="F1214" s="3" t="s">
        <v>783</v>
      </c>
      <c r="G1214" s="3">
        <f t="shared" si="1230"/>
        <v>24.3</v>
      </c>
      <c r="H1214" s="14" t="str">
        <f t="shared" ref="H1214" si="1292">IF(NOT(ISNUMBER(VALUE(G1214))), "NA",IF(VALUE(G1214)&gt;25,"HIGH",IF(VALUE(G1214)&lt;20,"LOW", "VALUE IN RANGE")))</f>
        <v>VALUE IN RANGE</v>
      </c>
    </row>
    <row r="1215" spans="3:8" x14ac:dyDescent="0.25">
      <c r="C1215" s="13"/>
      <c r="D1215" s="4" t="s">
        <v>1547</v>
      </c>
      <c r="E1215" s="1" t="s">
        <v>27</v>
      </c>
      <c r="F1215" s="5">
        <v>315</v>
      </c>
      <c r="G1215" s="3">
        <f t="shared" si="1230"/>
        <v>315</v>
      </c>
      <c r="H1215" s="14" t="str">
        <f t="shared" ref="H1215" si="1293">IF(NOT(ISNUMBER(VALUE(G1215))), "NA",IF(VALUE(G1215)&gt;380,"HIGH",IF(VALUE(G1215)&lt;300,"LOW", "VALUE IN RANGE")))</f>
        <v>VALUE IN RANGE</v>
      </c>
    </row>
    <row r="1216" spans="3:8" x14ac:dyDescent="0.25">
      <c r="C1216" s="13"/>
      <c r="D1216" s="4" t="s">
        <v>1547</v>
      </c>
      <c r="E1216" s="4" t="s">
        <v>29</v>
      </c>
      <c r="F1216" s="3" t="s">
        <v>117</v>
      </c>
      <c r="G1216" s="3">
        <f t="shared" si="1230"/>
        <v>12.4</v>
      </c>
      <c r="H1216" s="14" t="str">
        <f t="shared" ref="H1216" si="1294">IF(NOT(ISNUMBER(VALUE(G1216))), "NA",IF(VALUE(G1216)&gt;15.5,"HIGH",IF(VALUE(G1216)&lt;11,"LOW", "VALUE IN RANGE")))</f>
        <v>VALUE IN RANGE</v>
      </c>
    </row>
    <row r="1217" spans="3:8" x14ac:dyDescent="0.25">
      <c r="C1217" s="13"/>
      <c r="D1217" s="4" t="s">
        <v>1547</v>
      </c>
      <c r="E1217" s="1" t="s">
        <v>31</v>
      </c>
      <c r="F1217" s="5">
        <v>244</v>
      </c>
      <c r="G1217" s="3">
        <f t="shared" si="1230"/>
        <v>244</v>
      </c>
      <c r="H1217" s="14" t="str">
        <f t="shared" ref="H1217" si="1295">IF(NOT(ISNUMBER(VALUE(G1217))), "NA",IF(VALUE(G1217)&gt;460,"HIGH",IF(VALUE(G1217)&lt;117,"LOW", "VALUE IN RANGE")))</f>
        <v>VALUE IN RANGE</v>
      </c>
    </row>
    <row r="1218" spans="3:8" x14ac:dyDescent="0.25">
      <c r="C1218" s="13"/>
      <c r="D1218" s="4" t="s">
        <v>1547</v>
      </c>
      <c r="E1218" s="4" t="s">
        <v>33</v>
      </c>
      <c r="F1218" s="3" t="s">
        <v>785</v>
      </c>
      <c r="G1218" s="3">
        <f t="shared" si="1230"/>
        <v>9.1999999999999993</v>
      </c>
      <c r="H1218" s="14" t="str">
        <f t="shared" ref="H1218" si="1296">IF(NOT(ISNUMBER(VALUE(G1218))), "NA",IF(VALUE(G1218)&gt;12,"HIGH",IF(VALUE(G1218)&lt;7,"LOW", "VALUE IN RANGE")))</f>
        <v>VALUE IN RANGE</v>
      </c>
    </row>
    <row r="1219" spans="3:8" ht="15" customHeight="1" x14ac:dyDescent="0.25">
      <c r="C1219" s="13" t="str">
        <f t="shared" ref="C1219" si="1297">IF(D1219=D1234,D1233,"falso")</f>
        <v>PATIENT_0077</v>
      </c>
      <c r="D1219" s="4" t="s">
        <v>1548</v>
      </c>
      <c r="E1219" s="1" t="s">
        <v>3</v>
      </c>
      <c r="F1219" s="5" t="s">
        <v>786</v>
      </c>
      <c r="G1219" s="3">
        <f t="shared" si="1230"/>
        <v>23.7</v>
      </c>
      <c r="H1219" s="14" t="str">
        <f t="shared" ref="H1219" si="1298">IF(NOT(ISNUMBER(VALUE(G1219))), "NA",IF(VALUE(G1219)&gt;17,"HIGH",IF(VALUE(G1219)&lt;6,"LOW", "VALUE IN RANGE")))</f>
        <v>HIGH</v>
      </c>
    </row>
    <row r="1220" spans="3:8" x14ac:dyDescent="0.25">
      <c r="C1220" s="13"/>
      <c r="D1220" s="4" t="s">
        <v>1548</v>
      </c>
      <c r="E1220" s="4" t="s">
        <v>5</v>
      </c>
      <c r="F1220" s="3" t="s">
        <v>787</v>
      </c>
      <c r="G1220" s="3">
        <f t="shared" ref="G1220:G1283" si="1299">IFERROR(
   VALUE(
      SUBSTITUTE(
         CLEAN(
            TRIM(F1220)
         ),
         ".",
         ","
      )
   ),
   ""
)</f>
        <v>12</v>
      </c>
      <c r="H1220" s="14" t="str">
        <f t="shared" ref="H1220" si="1300">IF(NOT(ISNUMBER(VALUE(G1220))), "NA",IF(VALUE(G1220)&gt;30,"HIGH",IF(VALUE(G1220)&lt;12,"LOW", "VALUE IN RANGE")))</f>
        <v>VALUE IN RANGE</v>
      </c>
    </row>
    <row r="1221" spans="3:8" x14ac:dyDescent="0.25">
      <c r="C1221" s="13"/>
      <c r="D1221" s="4" t="s">
        <v>1548</v>
      </c>
      <c r="E1221" s="1" t="s">
        <v>7</v>
      </c>
      <c r="F1221" s="5" t="s">
        <v>396</v>
      </c>
      <c r="G1221" s="3">
        <f t="shared" si="1299"/>
        <v>4.4000000000000004</v>
      </c>
      <c r="H1221" s="14" t="str">
        <f t="shared" ref="H1221" si="1301">IF(NOT(ISNUMBER(VALUE(G1221))), "NA",IF(VALUE(G1221)&gt;9,"HIGH",IF(VALUE(G1221)&lt;2,"LOW", "VALUE IN RANGE")))</f>
        <v>VALUE IN RANGE</v>
      </c>
    </row>
    <row r="1222" spans="3:8" x14ac:dyDescent="0.25">
      <c r="C1222" s="13"/>
      <c r="D1222" s="4" t="s">
        <v>1548</v>
      </c>
      <c r="E1222" s="4" t="s">
        <v>9</v>
      </c>
      <c r="F1222" s="3" t="s">
        <v>788</v>
      </c>
      <c r="G1222" s="3">
        <f t="shared" si="1299"/>
        <v>83.6</v>
      </c>
      <c r="H1222" s="14" t="str">
        <f t="shared" ref="H1222" si="1302">IF(NOT(ISNUMBER(VALUE(G1222))), "NA",IF(VALUE(G1222)&gt;83,"HIGH",IF(VALUE(G1222)&lt;60,"LOW", "VALUE IN RANGE")))</f>
        <v>HIGH</v>
      </c>
    </row>
    <row r="1223" spans="3:8" x14ac:dyDescent="0.25">
      <c r="C1223" s="13"/>
      <c r="D1223" s="4" t="s">
        <v>1548</v>
      </c>
      <c r="E1223" s="1" t="s">
        <v>11</v>
      </c>
      <c r="F1223" s="5">
        <v>2800</v>
      </c>
      <c r="G1223" s="3">
        <f t="shared" si="1299"/>
        <v>2800</v>
      </c>
      <c r="H1223" s="14" t="str">
        <f t="shared" ref="H1223" si="1303">IF(NOT(ISNUMBER(VALUE(G1223))), "NA",IF(VALUE(G1223)&gt;5.1,"HIGH",IF(VALUE(G1223)&lt;0.8,"LOW", "VALUE IN RANGE")))</f>
        <v>HIGH</v>
      </c>
    </row>
    <row r="1224" spans="3:8" x14ac:dyDescent="0.25">
      <c r="C1224" s="13"/>
      <c r="D1224" s="4" t="s">
        <v>1548</v>
      </c>
      <c r="E1224" s="4" t="s">
        <v>13</v>
      </c>
      <c r="F1224" s="3">
        <v>1000</v>
      </c>
      <c r="G1224" s="3">
        <f t="shared" si="1299"/>
        <v>1000</v>
      </c>
      <c r="H1224" s="14" t="str">
        <f t="shared" ref="H1224" si="1304">IF(NOT(ISNUMBER(VALUE(G1224))), "NA",IF(VALUE(G1224)&gt;1.8,"HIGH",IF(VALUE(G1224)&lt;0,"LOW", "VALUE IN RANGE")))</f>
        <v>HIGH</v>
      </c>
    </row>
    <row r="1225" spans="3:8" x14ac:dyDescent="0.25">
      <c r="C1225" s="13"/>
      <c r="D1225" s="4" t="s">
        <v>1548</v>
      </c>
      <c r="E1225" s="1" t="s">
        <v>15</v>
      </c>
      <c r="F1225" s="5">
        <v>19900</v>
      </c>
      <c r="G1225" s="3">
        <f t="shared" si="1299"/>
        <v>19900</v>
      </c>
      <c r="H1225" s="14" t="str">
        <f t="shared" ref="H1225" si="1305">IF(NOT(ISNUMBER(VALUE(G1225))), "NA",IF(VALUE(G1225)&gt;12.6,"HIGH",IF(VALUE(G1225)&lt;4,"LOW", "VALUE IN RANGE")))</f>
        <v>HIGH</v>
      </c>
    </row>
    <row r="1226" spans="3:8" x14ac:dyDescent="0.25">
      <c r="C1226" s="13"/>
      <c r="D1226" s="4" t="s">
        <v>1548</v>
      </c>
      <c r="E1226" s="4" t="s">
        <v>17</v>
      </c>
      <c r="F1226" s="3" t="s">
        <v>790</v>
      </c>
      <c r="G1226" s="3">
        <f t="shared" si="1299"/>
        <v>4.9400000000000004</v>
      </c>
      <c r="H1226" s="14" t="str">
        <f t="shared" ref="H1226" si="1306">IF(NOT(ISNUMBER(VALUE(G1226))), "NA",IF(VALUE(G1226)&gt;8.5,"HIGH",IF(VALUE(G1226)&lt;5.5,"LOW", "VALUE IN RANGE")))</f>
        <v>LOW</v>
      </c>
    </row>
    <row r="1227" spans="3:8" x14ac:dyDescent="0.25">
      <c r="C1227" s="13"/>
      <c r="D1227" s="4" t="s">
        <v>1548</v>
      </c>
      <c r="E1227" s="1" t="s">
        <v>19</v>
      </c>
      <c r="F1227" s="5">
        <v>100</v>
      </c>
      <c r="G1227" s="3">
        <f t="shared" si="1299"/>
        <v>100</v>
      </c>
      <c r="H1227" s="14" t="str">
        <f t="shared" ref="H1227" si="1307">IF(NOT(ISNUMBER(VALUE(G1227))), "NA",IF(VALUE(G1227)&gt;190,"HIGH",IF(VALUE(G1227)&lt;110,"LOW", "VALUE IN RANGE")))</f>
        <v>LOW</v>
      </c>
    </row>
    <row r="1228" spans="3:8" x14ac:dyDescent="0.25">
      <c r="C1228" s="13"/>
      <c r="D1228" s="4" t="s">
        <v>1548</v>
      </c>
      <c r="E1228" s="4" t="s">
        <v>21</v>
      </c>
      <c r="F1228" s="3" t="s">
        <v>792</v>
      </c>
      <c r="G1228" s="3">
        <f t="shared" si="1299"/>
        <v>31.3</v>
      </c>
      <c r="H1228" s="14" t="str">
        <f t="shared" ref="H1228" si="1308">IF(NOT(ISNUMBER(VALUE(G1228))), "NA",IF(VALUE(G1228)&gt;56,"HIGH",IF(VALUE(G1228)&lt;39,"LOW", "VALUE IN RANGE")))</f>
        <v>LOW</v>
      </c>
    </row>
    <row r="1229" spans="3:8" x14ac:dyDescent="0.25">
      <c r="C1229" s="13"/>
      <c r="D1229" s="4" t="s">
        <v>1548</v>
      </c>
      <c r="E1229" s="1" t="s">
        <v>23</v>
      </c>
      <c r="F1229" s="5" t="s">
        <v>793</v>
      </c>
      <c r="G1229" s="3">
        <f t="shared" si="1299"/>
        <v>63.4</v>
      </c>
      <c r="H1229" s="14" t="str">
        <f t="shared" ref="H1229" si="1309">IF(NOT(ISNUMBER(VALUE(G1229))), "NA",IF(VALUE(G1229)&gt;72,"HIGH",IF(VALUE(G1229)&lt;62,"LOW", "VALUE IN RANGE")))</f>
        <v>VALUE IN RANGE</v>
      </c>
    </row>
    <row r="1230" spans="3:8" x14ac:dyDescent="0.25">
      <c r="C1230" s="13"/>
      <c r="D1230" s="4" t="s">
        <v>1548</v>
      </c>
      <c r="E1230" s="4" t="s">
        <v>25</v>
      </c>
      <c r="F1230" s="3" t="s">
        <v>794</v>
      </c>
      <c r="G1230" s="3">
        <f t="shared" si="1299"/>
        <v>20.2</v>
      </c>
      <c r="H1230" s="14" t="str">
        <f t="shared" ref="H1230" si="1310">IF(NOT(ISNUMBER(VALUE(G1230))), "NA",IF(VALUE(G1230)&gt;25,"HIGH",IF(VALUE(G1230)&lt;20,"LOW", "VALUE IN RANGE")))</f>
        <v>VALUE IN RANGE</v>
      </c>
    </row>
    <row r="1231" spans="3:8" x14ac:dyDescent="0.25">
      <c r="C1231" s="13"/>
      <c r="D1231" s="4" t="s">
        <v>1548</v>
      </c>
      <c r="E1231" s="1" t="s">
        <v>27</v>
      </c>
      <c r="F1231" s="5">
        <v>319</v>
      </c>
      <c r="G1231" s="3">
        <f t="shared" si="1299"/>
        <v>319</v>
      </c>
      <c r="H1231" s="14" t="str">
        <f t="shared" ref="H1231" si="1311">IF(NOT(ISNUMBER(VALUE(G1231))), "NA",IF(VALUE(G1231)&gt;380,"HIGH",IF(VALUE(G1231)&lt;300,"LOW", "VALUE IN RANGE")))</f>
        <v>VALUE IN RANGE</v>
      </c>
    </row>
    <row r="1232" spans="3:8" x14ac:dyDescent="0.25">
      <c r="C1232" s="13"/>
      <c r="D1232" s="4" t="s">
        <v>1548</v>
      </c>
      <c r="E1232" s="4" t="s">
        <v>29</v>
      </c>
      <c r="F1232" s="3" t="s">
        <v>506</v>
      </c>
      <c r="G1232" s="3">
        <f t="shared" si="1299"/>
        <v>13.9</v>
      </c>
      <c r="H1232" s="14" t="str">
        <f t="shared" ref="H1232" si="1312">IF(NOT(ISNUMBER(VALUE(G1232))), "NA",IF(VALUE(G1232)&gt;15.5,"HIGH",IF(VALUE(G1232)&lt;11,"LOW", "VALUE IN RANGE")))</f>
        <v>VALUE IN RANGE</v>
      </c>
    </row>
    <row r="1233" spans="3:8" x14ac:dyDescent="0.25">
      <c r="C1233" s="13"/>
      <c r="D1233" s="4" t="s">
        <v>1548</v>
      </c>
      <c r="E1233" s="1" t="s">
        <v>31</v>
      </c>
      <c r="F1233" s="5">
        <v>302</v>
      </c>
      <c r="G1233" s="3">
        <f t="shared" si="1299"/>
        <v>302</v>
      </c>
      <c r="H1233" s="14" t="str">
        <f t="shared" ref="H1233" si="1313">IF(NOT(ISNUMBER(VALUE(G1233))), "NA",IF(VALUE(G1233)&gt;460,"HIGH",IF(VALUE(G1233)&lt;117,"LOW", "VALUE IN RANGE")))</f>
        <v>VALUE IN RANGE</v>
      </c>
    </row>
    <row r="1234" spans="3:8" x14ac:dyDescent="0.25">
      <c r="C1234" s="13"/>
      <c r="D1234" s="4" t="s">
        <v>1548</v>
      </c>
      <c r="E1234" s="4" t="s">
        <v>33</v>
      </c>
      <c r="F1234" s="3" t="s">
        <v>795</v>
      </c>
      <c r="G1234" s="3">
        <f t="shared" si="1299"/>
        <v>11.3</v>
      </c>
      <c r="H1234" s="14" t="str">
        <f t="shared" ref="H1234" si="1314">IF(NOT(ISNUMBER(VALUE(G1234))), "NA",IF(VALUE(G1234)&gt;12,"HIGH",IF(VALUE(G1234)&lt;7,"LOW", "VALUE IN RANGE")))</f>
        <v>VALUE IN RANGE</v>
      </c>
    </row>
    <row r="1235" spans="3:8" ht="15" customHeight="1" x14ac:dyDescent="0.25">
      <c r="C1235" s="13" t="str">
        <f t="shared" ref="C1235" si="1315">IF(D1235=D1250,D1249,"falso")</f>
        <v>PATIENT_0078</v>
      </c>
      <c r="D1235" s="4" t="s">
        <v>1549</v>
      </c>
      <c r="E1235" s="1" t="s">
        <v>3</v>
      </c>
      <c r="F1235" s="5" t="s">
        <v>796</v>
      </c>
      <c r="G1235" s="3">
        <f t="shared" si="1299"/>
        <v>14.2</v>
      </c>
      <c r="H1235" s="14" t="str">
        <f t="shared" ref="H1235" si="1316">IF(NOT(ISNUMBER(VALUE(G1235))), "NA",IF(VALUE(G1235)&gt;17,"HIGH",IF(VALUE(G1235)&lt;6,"LOW", "VALUE IN RANGE")))</f>
        <v>VALUE IN RANGE</v>
      </c>
    </row>
    <row r="1236" spans="3:8" x14ac:dyDescent="0.25">
      <c r="C1236" s="13"/>
      <c r="D1236" s="4" t="s">
        <v>1549</v>
      </c>
      <c r="E1236" s="4" t="s">
        <v>5</v>
      </c>
      <c r="F1236" s="3" t="s">
        <v>474</v>
      </c>
      <c r="G1236" s="3">
        <f t="shared" si="1299"/>
        <v>7.5</v>
      </c>
      <c r="H1236" s="14" t="str">
        <f t="shared" ref="H1236" si="1317">IF(NOT(ISNUMBER(VALUE(G1236))), "NA",IF(VALUE(G1236)&gt;30,"HIGH",IF(VALUE(G1236)&lt;12,"LOW", "VALUE IN RANGE")))</f>
        <v>LOW</v>
      </c>
    </row>
    <row r="1237" spans="3:8" x14ac:dyDescent="0.25">
      <c r="C1237" s="13"/>
      <c r="D1237" s="4" t="s">
        <v>1549</v>
      </c>
      <c r="E1237" s="1" t="s">
        <v>7</v>
      </c>
      <c r="F1237" s="5" t="s">
        <v>78</v>
      </c>
      <c r="G1237" s="3">
        <f t="shared" si="1299"/>
        <v>2.9</v>
      </c>
      <c r="H1237" s="14" t="str">
        <f t="shared" ref="H1237" si="1318">IF(NOT(ISNUMBER(VALUE(G1237))), "NA",IF(VALUE(G1237)&gt;9,"HIGH",IF(VALUE(G1237)&lt;2,"LOW", "VALUE IN RANGE")))</f>
        <v>VALUE IN RANGE</v>
      </c>
    </row>
    <row r="1238" spans="3:8" x14ac:dyDescent="0.25">
      <c r="C1238" s="13"/>
      <c r="D1238" s="4" t="s">
        <v>1549</v>
      </c>
      <c r="E1238" s="4" t="s">
        <v>9</v>
      </c>
      <c r="F1238" s="3" t="s">
        <v>797</v>
      </c>
      <c r="G1238" s="3">
        <f t="shared" si="1299"/>
        <v>89.6</v>
      </c>
      <c r="H1238" s="14" t="str">
        <f t="shared" ref="H1238" si="1319">IF(NOT(ISNUMBER(VALUE(G1238))), "NA",IF(VALUE(G1238)&gt;83,"HIGH",IF(VALUE(G1238)&lt;60,"LOW", "VALUE IN RANGE")))</f>
        <v>HIGH</v>
      </c>
    </row>
    <row r="1239" spans="3:8" x14ac:dyDescent="0.25">
      <c r="C1239" s="13"/>
      <c r="D1239" s="4" t="s">
        <v>1549</v>
      </c>
      <c r="E1239" s="1" t="s">
        <v>11</v>
      </c>
      <c r="F1239" s="5">
        <v>1000</v>
      </c>
      <c r="G1239" s="3">
        <f t="shared" si="1299"/>
        <v>1000</v>
      </c>
      <c r="H1239" s="14" t="str">
        <f t="shared" ref="H1239" si="1320">IF(NOT(ISNUMBER(VALUE(G1239))), "NA",IF(VALUE(G1239)&gt;5.1,"HIGH",IF(VALUE(G1239)&lt;0.8,"LOW", "VALUE IN RANGE")))</f>
        <v>HIGH</v>
      </c>
    </row>
    <row r="1240" spans="3:8" x14ac:dyDescent="0.25">
      <c r="C1240" s="13"/>
      <c r="D1240" s="4" t="s">
        <v>1549</v>
      </c>
      <c r="E1240" s="4" t="s">
        <v>13</v>
      </c>
      <c r="F1240" s="3" t="s">
        <v>167</v>
      </c>
      <c r="G1240" s="3">
        <f t="shared" si="1299"/>
        <v>0.4</v>
      </c>
      <c r="H1240" s="14" t="str">
        <f t="shared" ref="H1240" si="1321">IF(NOT(ISNUMBER(VALUE(G1240))), "NA",IF(VALUE(G1240)&gt;1.8,"HIGH",IF(VALUE(G1240)&lt;0,"LOW", "VALUE IN RANGE")))</f>
        <v>VALUE IN RANGE</v>
      </c>
    </row>
    <row r="1241" spans="3:8" x14ac:dyDescent="0.25">
      <c r="C1241" s="13"/>
      <c r="D1241" s="4" t="s">
        <v>1549</v>
      </c>
      <c r="E1241" s="1" t="s">
        <v>15</v>
      </c>
      <c r="F1241" s="5">
        <v>12800</v>
      </c>
      <c r="G1241" s="3">
        <f t="shared" si="1299"/>
        <v>12800</v>
      </c>
      <c r="H1241" s="14" t="str">
        <f t="shared" ref="H1241" si="1322">IF(NOT(ISNUMBER(VALUE(G1241))), "NA",IF(VALUE(G1241)&gt;12.6,"HIGH",IF(VALUE(G1241)&lt;4,"LOW", "VALUE IN RANGE")))</f>
        <v>HIGH</v>
      </c>
    </row>
    <row r="1242" spans="3:8" x14ac:dyDescent="0.25">
      <c r="C1242" s="13"/>
      <c r="D1242" s="4" t="s">
        <v>1549</v>
      </c>
      <c r="E1242" s="4" t="s">
        <v>17</v>
      </c>
      <c r="F1242" s="3" t="s">
        <v>799</v>
      </c>
      <c r="G1242" s="3">
        <f t="shared" si="1299"/>
        <v>3.51</v>
      </c>
      <c r="H1242" s="14" t="str">
        <f t="shared" ref="H1242" si="1323">IF(NOT(ISNUMBER(VALUE(G1242))), "NA",IF(VALUE(G1242)&gt;8.5,"HIGH",IF(VALUE(G1242)&lt;5.5,"LOW", "VALUE IN RANGE")))</f>
        <v>LOW</v>
      </c>
    </row>
    <row r="1243" spans="3:8" x14ac:dyDescent="0.25">
      <c r="C1243" s="13"/>
      <c r="D1243" s="4" t="s">
        <v>1549</v>
      </c>
      <c r="E1243" s="1" t="s">
        <v>19</v>
      </c>
      <c r="F1243" s="5">
        <v>84</v>
      </c>
      <c r="G1243" s="3">
        <f t="shared" si="1299"/>
        <v>84</v>
      </c>
      <c r="H1243" s="14" t="str">
        <f t="shared" ref="H1243" si="1324">IF(NOT(ISNUMBER(VALUE(G1243))), "NA",IF(VALUE(G1243)&gt;190,"HIGH",IF(VALUE(G1243)&lt;110,"LOW", "VALUE IN RANGE")))</f>
        <v>LOW</v>
      </c>
    </row>
    <row r="1244" spans="3:8" x14ac:dyDescent="0.25">
      <c r="C1244" s="13"/>
      <c r="D1244" s="4" t="s">
        <v>1549</v>
      </c>
      <c r="E1244" s="4" t="s">
        <v>21</v>
      </c>
      <c r="F1244" s="3" t="s">
        <v>801</v>
      </c>
      <c r="G1244" s="3">
        <f t="shared" si="1299"/>
        <v>26.7</v>
      </c>
      <c r="H1244" s="14" t="str">
        <f t="shared" ref="H1244" si="1325">IF(NOT(ISNUMBER(VALUE(G1244))), "NA",IF(VALUE(G1244)&gt;56,"HIGH",IF(VALUE(G1244)&lt;39,"LOW", "VALUE IN RANGE")))</f>
        <v>LOW</v>
      </c>
    </row>
    <row r="1245" spans="3:8" x14ac:dyDescent="0.25">
      <c r="C1245" s="13"/>
      <c r="D1245" s="4" t="s">
        <v>1549</v>
      </c>
      <c r="E1245" s="1" t="s">
        <v>23</v>
      </c>
      <c r="F1245" s="5" t="s">
        <v>802</v>
      </c>
      <c r="G1245" s="3">
        <f t="shared" si="1299"/>
        <v>76.2</v>
      </c>
      <c r="H1245" s="14" t="str">
        <f t="shared" ref="H1245" si="1326">IF(NOT(ISNUMBER(VALUE(G1245))), "NA",IF(VALUE(G1245)&gt;72,"HIGH",IF(VALUE(G1245)&lt;62,"LOW", "VALUE IN RANGE")))</f>
        <v>HIGH</v>
      </c>
    </row>
    <row r="1246" spans="3:8" x14ac:dyDescent="0.25">
      <c r="C1246" s="13"/>
      <c r="D1246" s="4" t="s">
        <v>1549</v>
      </c>
      <c r="E1246" s="4" t="s">
        <v>25</v>
      </c>
      <c r="F1246" s="3" t="s">
        <v>803</v>
      </c>
      <c r="G1246" s="3">
        <f t="shared" si="1299"/>
        <v>23.9</v>
      </c>
      <c r="H1246" s="14" t="str">
        <f t="shared" ref="H1246" si="1327">IF(NOT(ISNUMBER(VALUE(G1246))), "NA",IF(VALUE(G1246)&gt;25,"HIGH",IF(VALUE(G1246)&lt;20,"LOW", "VALUE IN RANGE")))</f>
        <v>VALUE IN RANGE</v>
      </c>
    </row>
    <row r="1247" spans="3:8" x14ac:dyDescent="0.25">
      <c r="C1247" s="13"/>
      <c r="D1247" s="4" t="s">
        <v>1549</v>
      </c>
      <c r="E1247" s="1" t="s">
        <v>27</v>
      </c>
      <c r="F1247" s="5">
        <v>314</v>
      </c>
      <c r="G1247" s="3">
        <f t="shared" si="1299"/>
        <v>314</v>
      </c>
      <c r="H1247" s="14" t="str">
        <f t="shared" ref="H1247" si="1328">IF(NOT(ISNUMBER(VALUE(G1247))), "NA",IF(VALUE(G1247)&gt;380,"HIGH",IF(VALUE(G1247)&lt;300,"LOW", "VALUE IN RANGE")))</f>
        <v>VALUE IN RANGE</v>
      </c>
    </row>
    <row r="1248" spans="3:8" x14ac:dyDescent="0.25">
      <c r="C1248" s="13"/>
      <c r="D1248" s="4" t="s">
        <v>1549</v>
      </c>
      <c r="E1248" s="4" t="s">
        <v>29</v>
      </c>
      <c r="F1248" s="3" t="s">
        <v>804</v>
      </c>
      <c r="G1248" s="3">
        <f t="shared" si="1299"/>
        <v>11.6</v>
      </c>
      <c r="H1248" s="14" t="str">
        <f t="shared" ref="H1248" si="1329">IF(NOT(ISNUMBER(VALUE(G1248))), "NA",IF(VALUE(G1248)&gt;15.5,"HIGH",IF(VALUE(G1248)&lt;11,"LOW", "VALUE IN RANGE")))</f>
        <v>VALUE IN RANGE</v>
      </c>
    </row>
    <row r="1249" spans="3:8" x14ac:dyDescent="0.25">
      <c r="C1249" s="13"/>
      <c r="D1249" s="4" t="s">
        <v>1549</v>
      </c>
      <c r="E1249" s="1" t="s">
        <v>31</v>
      </c>
      <c r="F1249" s="5">
        <v>375</v>
      </c>
      <c r="G1249" s="3">
        <f t="shared" si="1299"/>
        <v>375</v>
      </c>
      <c r="H1249" s="14" t="str">
        <f t="shared" ref="H1249" si="1330">IF(NOT(ISNUMBER(VALUE(G1249))), "NA",IF(VALUE(G1249)&gt;460,"HIGH",IF(VALUE(G1249)&lt;117,"LOW", "VALUE IN RANGE")))</f>
        <v>VALUE IN RANGE</v>
      </c>
    </row>
    <row r="1250" spans="3:8" x14ac:dyDescent="0.25">
      <c r="C1250" s="13"/>
      <c r="D1250" s="4" t="s">
        <v>1549</v>
      </c>
      <c r="E1250" s="4" t="s">
        <v>33</v>
      </c>
      <c r="F1250" s="3" t="s">
        <v>699</v>
      </c>
      <c r="G1250" s="3">
        <f t="shared" si="1299"/>
        <v>11.1</v>
      </c>
      <c r="H1250" s="14" t="str">
        <f t="shared" ref="H1250" si="1331">IF(NOT(ISNUMBER(VALUE(G1250))), "NA",IF(VALUE(G1250)&gt;12,"HIGH",IF(VALUE(G1250)&lt;7,"LOW", "VALUE IN RANGE")))</f>
        <v>VALUE IN RANGE</v>
      </c>
    </row>
    <row r="1251" spans="3:8" ht="15" customHeight="1" x14ac:dyDescent="0.25">
      <c r="C1251" s="13" t="str">
        <f t="shared" ref="C1251" si="1332">IF(D1251=D1266,D1265,"falso")</f>
        <v>PATIENT_0079</v>
      </c>
      <c r="D1251" s="4" t="s">
        <v>1550</v>
      </c>
      <c r="E1251" s="1" t="s">
        <v>3</v>
      </c>
      <c r="F1251" s="5" t="s">
        <v>806</v>
      </c>
      <c r="G1251" s="3">
        <f t="shared" si="1299"/>
        <v>9.6999999999999993</v>
      </c>
      <c r="H1251" s="14" t="str">
        <f t="shared" ref="H1251" si="1333">IF(NOT(ISNUMBER(VALUE(G1251))), "NA",IF(VALUE(G1251)&gt;17,"HIGH",IF(VALUE(G1251)&lt;6,"LOW", "VALUE IN RANGE")))</f>
        <v>VALUE IN RANGE</v>
      </c>
    </row>
    <row r="1252" spans="3:8" x14ac:dyDescent="0.25">
      <c r="C1252" s="13"/>
      <c r="D1252" s="4" t="s">
        <v>1550</v>
      </c>
      <c r="E1252" s="4" t="s">
        <v>5</v>
      </c>
      <c r="F1252" s="3" t="s">
        <v>807</v>
      </c>
      <c r="G1252" s="3">
        <f t="shared" si="1299"/>
        <v>43</v>
      </c>
      <c r="H1252" s="14" t="str">
        <f t="shared" ref="H1252" si="1334">IF(NOT(ISNUMBER(VALUE(G1252))), "NA",IF(VALUE(G1252)&gt;30,"HIGH",IF(VALUE(G1252)&lt;12,"LOW", "VALUE IN RANGE")))</f>
        <v>HIGH</v>
      </c>
    </row>
    <row r="1253" spans="3:8" x14ac:dyDescent="0.25">
      <c r="C1253" s="13"/>
      <c r="D1253" s="4" t="s">
        <v>1550</v>
      </c>
      <c r="E1253" s="1" t="s">
        <v>7</v>
      </c>
      <c r="F1253" s="5" t="s">
        <v>138</v>
      </c>
      <c r="G1253" s="3">
        <f t="shared" si="1299"/>
        <v>6</v>
      </c>
      <c r="H1253" s="14" t="str">
        <f t="shared" ref="H1253" si="1335">IF(NOT(ISNUMBER(VALUE(G1253))), "NA",IF(VALUE(G1253)&gt;9,"HIGH",IF(VALUE(G1253)&lt;2,"LOW", "VALUE IN RANGE")))</f>
        <v>VALUE IN RANGE</v>
      </c>
    </row>
    <row r="1254" spans="3:8" x14ac:dyDescent="0.25">
      <c r="C1254" s="13"/>
      <c r="D1254" s="4" t="s">
        <v>1550</v>
      </c>
      <c r="E1254" s="4" t="s">
        <v>9</v>
      </c>
      <c r="F1254" s="3" t="s">
        <v>808</v>
      </c>
      <c r="G1254" s="3">
        <f t="shared" si="1299"/>
        <v>51</v>
      </c>
      <c r="H1254" s="14" t="str">
        <f t="shared" ref="H1254" si="1336">IF(NOT(ISNUMBER(VALUE(G1254))), "NA",IF(VALUE(G1254)&gt;83,"HIGH",IF(VALUE(G1254)&lt;60,"LOW", "VALUE IN RANGE")))</f>
        <v>LOW</v>
      </c>
    </row>
    <row r="1255" spans="3:8" x14ac:dyDescent="0.25">
      <c r="C1255" s="13"/>
      <c r="D1255" s="4" t="s">
        <v>1550</v>
      </c>
      <c r="E1255" s="1" t="s">
        <v>11</v>
      </c>
      <c r="F1255" s="5">
        <v>4100</v>
      </c>
      <c r="G1255" s="3">
        <f t="shared" si="1299"/>
        <v>4100</v>
      </c>
      <c r="H1255" s="14" t="str">
        <f t="shared" ref="H1255" si="1337">IF(NOT(ISNUMBER(VALUE(G1255))), "NA",IF(VALUE(G1255)&gt;5.1,"HIGH",IF(VALUE(G1255)&lt;0.8,"LOW", "VALUE IN RANGE")))</f>
        <v>HIGH</v>
      </c>
    </row>
    <row r="1256" spans="3:8" x14ac:dyDescent="0.25">
      <c r="C1256" s="13"/>
      <c r="D1256" s="4" t="s">
        <v>1550</v>
      </c>
      <c r="E1256" s="4" t="s">
        <v>13</v>
      </c>
      <c r="F1256" s="3" t="s">
        <v>109</v>
      </c>
      <c r="G1256" s="3">
        <f t="shared" si="1299"/>
        <v>0.5</v>
      </c>
      <c r="H1256" s="14" t="str">
        <f t="shared" ref="H1256" si="1338">IF(NOT(ISNUMBER(VALUE(G1256))), "NA",IF(VALUE(G1256)&gt;1.8,"HIGH",IF(VALUE(G1256)&lt;0,"LOW", "VALUE IN RANGE")))</f>
        <v>VALUE IN RANGE</v>
      </c>
    </row>
    <row r="1257" spans="3:8" x14ac:dyDescent="0.25">
      <c r="C1257" s="13"/>
      <c r="D1257" s="4" t="s">
        <v>1550</v>
      </c>
      <c r="E1257" s="1" t="s">
        <v>15</v>
      </c>
      <c r="F1257" s="5">
        <v>5100</v>
      </c>
      <c r="G1257" s="3">
        <f t="shared" si="1299"/>
        <v>5100</v>
      </c>
      <c r="H1257" s="14" t="str">
        <f t="shared" ref="H1257" si="1339">IF(NOT(ISNUMBER(VALUE(G1257))), "NA",IF(VALUE(G1257)&gt;12.6,"HIGH",IF(VALUE(G1257)&lt;4,"LOW", "VALUE IN RANGE")))</f>
        <v>HIGH</v>
      </c>
    </row>
    <row r="1258" spans="3:8" x14ac:dyDescent="0.25">
      <c r="C1258" s="13"/>
      <c r="D1258" s="4" t="s">
        <v>1550</v>
      </c>
      <c r="E1258" s="4" t="s">
        <v>17</v>
      </c>
      <c r="F1258" s="3" t="s">
        <v>811</v>
      </c>
      <c r="G1258" s="3">
        <f t="shared" si="1299"/>
        <v>5.0599999999999996</v>
      </c>
      <c r="H1258" s="14" t="str">
        <f t="shared" ref="H1258" si="1340">IF(NOT(ISNUMBER(VALUE(G1258))), "NA",IF(VALUE(G1258)&gt;8.5,"HIGH",IF(VALUE(G1258)&lt;5.5,"LOW", "VALUE IN RANGE")))</f>
        <v>LOW</v>
      </c>
    </row>
    <row r="1259" spans="3:8" x14ac:dyDescent="0.25">
      <c r="C1259" s="13"/>
      <c r="D1259" s="4" t="s">
        <v>1550</v>
      </c>
      <c r="E1259" s="1" t="s">
        <v>19</v>
      </c>
      <c r="F1259" s="5">
        <v>105</v>
      </c>
      <c r="G1259" s="3">
        <f t="shared" si="1299"/>
        <v>105</v>
      </c>
      <c r="H1259" s="14" t="str">
        <f t="shared" ref="H1259" si="1341">IF(NOT(ISNUMBER(VALUE(G1259))), "NA",IF(VALUE(G1259)&gt;190,"HIGH",IF(VALUE(G1259)&lt;110,"LOW", "VALUE IN RANGE")))</f>
        <v>LOW</v>
      </c>
    </row>
    <row r="1260" spans="3:8" x14ac:dyDescent="0.25">
      <c r="C1260" s="13"/>
      <c r="D1260" s="4" t="s">
        <v>1550</v>
      </c>
      <c r="E1260" s="4" t="s">
        <v>21</v>
      </c>
      <c r="F1260" s="3" t="s">
        <v>813</v>
      </c>
      <c r="G1260" s="3">
        <f t="shared" si="1299"/>
        <v>33.200000000000003</v>
      </c>
      <c r="H1260" s="14" t="str">
        <f t="shared" ref="H1260" si="1342">IF(NOT(ISNUMBER(VALUE(G1260))), "NA",IF(VALUE(G1260)&gt;56,"HIGH",IF(VALUE(G1260)&lt;39,"LOW", "VALUE IN RANGE")))</f>
        <v>LOW</v>
      </c>
    </row>
    <row r="1261" spans="3:8" x14ac:dyDescent="0.25">
      <c r="C1261" s="13"/>
      <c r="D1261" s="4" t="s">
        <v>1550</v>
      </c>
      <c r="E1261" s="1" t="s">
        <v>23</v>
      </c>
      <c r="F1261" s="5" t="s">
        <v>814</v>
      </c>
      <c r="G1261" s="3">
        <f t="shared" si="1299"/>
        <v>65.7</v>
      </c>
      <c r="H1261" s="14" t="str">
        <f t="shared" ref="H1261" si="1343">IF(NOT(ISNUMBER(VALUE(G1261))), "NA",IF(VALUE(G1261)&gt;72,"HIGH",IF(VALUE(G1261)&lt;62,"LOW", "VALUE IN RANGE")))</f>
        <v>VALUE IN RANGE</v>
      </c>
    </row>
    <row r="1262" spans="3:8" x14ac:dyDescent="0.25">
      <c r="C1262" s="13"/>
      <c r="D1262" s="4" t="s">
        <v>1550</v>
      </c>
      <c r="E1262" s="4" t="s">
        <v>25</v>
      </c>
      <c r="F1262" s="3" t="s">
        <v>349</v>
      </c>
      <c r="G1262" s="3">
        <f t="shared" si="1299"/>
        <v>20.7</v>
      </c>
      <c r="H1262" s="14" t="str">
        <f t="shared" ref="H1262" si="1344">IF(NOT(ISNUMBER(VALUE(G1262))), "NA",IF(VALUE(G1262)&gt;25,"HIGH",IF(VALUE(G1262)&lt;20,"LOW", "VALUE IN RANGE")))</f>
        <v>VALUE IN RANGE</v>
      </c>
    </row>
    <row r="1263" spans="3:8" x14ac:dyDescent="0.25">
      <c r="C1263" s="13"/>
      <c r="D1263" s="4" t="s">
        <v>1550</v>
      </c>
      <c r="E1263" s="1" t="s">
        <v>27</v>
      </c>
      <c r="F1263" s="5">
        <v>316</v>
      </c>
      <c r="G1263" s="3">
        <f t="shared" si="1299"/>
        <v>316</v>
      </c>
      <c r="H1263" s="14" t="str">
        <f t="shared" ref="H1263" si="1345">IF(NOT(ISNUMBER(VALUE(G1263))), "NA",IF(VALUE(G1263)&gt;380,"HIGH",IF(VALUE(G1263)&lt;300,"LOW", "VALUE IN RANGE")))</f>
        <v>VALUE IN RANGE</v>
      </c>
    </row>
    <row r="1264" spans="3:8" x14ac:dyDescent="0.25">
      <c r="C1264" s="13"/>
      <c r="D1264" s="4" t="s">
        <v>1550</v>
      </c>
      <c r="E1264" s="4" t="s">
        <v>29</v>
      </c>
      <c r="F1264" s="3" t="s">
        <v>215</v>
      </c>
      <c r="G1264" s="3">
        <f t="shared" si="1299"/>
        <v>14.7</v>
      </c>
      <c r="H1264" s="14" t="str">
        <f t="shared" ref="H1264" si="1346">IF(NOT(ISNUMBER(VALUE(G1264))), "NA",IF(VALUE(G1264)&gt;15.5,"HIGH",IF(VALUE(G1264)&lt;11,"LOW", "VALUE IN RANGE")))</f>
        <v>VALUE IN RANGE</v>
      </c>
    </row>
    <row r="1265" spans="3:8" x14ac:dyDescent="0.25">
      <c r="C1265" s="13"/>
      <c r="D1265" s="4" t="s">
        <v>1550</v>
      </c>
      <c r="E1265" s="1" t="s">
        <v>31</v>
      </c>
      <c r="F1265" s="5">
        <v>227</v>
      </c>
      <c r="G1265" s="3">
        <f t="shared" si="1299"/>
        <v>227</v>
      </c>
      <c r="H1265" s="14" t="str">
        <f t="shared" ref="H1265" si="1347">IF(NOT(ISNUMBER(VALUE(G1265))), "NA",IF(VALUE(G1265)&gt;460,"HIGH",IF(VALUE(G1265)&lt;117,"LOW", "VALUE IN RANGE")))</f>
        <v>VALUE IN RANGE</v>
      </c>
    </row>
    <row r="1266" spans="3:8" x14ac:dyDescent="0.25">
      <c r="C1266" s="13"/>
      <c r="D1266" s="4" t="s">
        <v>1550</v>
      </c>
      <c r="E1266" s="4" t="s">
        <v>33</v>
      </c>
      <c r="F1266" s="3" t="s">
        <v>816</v>
      </c>
      <c r="G1266" s="3">
        <f t="shared" si="1299"/>
        <v>11.5</v>
      </c>
      <c r="H1266" s="14" t="str">
        <f t="shared" ref="H1266" si="1348">IF(NOT(ISNUMBER(VALUE(G1266))), "NA",IF(VALUE(G1266)&gt;12,"HIGH",IF(VALUE(G1266)&lt;7,"LOW", "VALUE IN RANGE")))</f>
        <v>VALUE IN RANGE</v>
      </c>
    </row>
    <row r="1267" spans="3:8" ht="15" customHeight="1" x14ac:dyDescent="0.25">
      <c r="C1267" s="13" t="str">
        <f t="shared" ref="C1267" si="1349">IF(D1267=D1282,D1281,"falso")</f>
        <v>PATIENT_0080</v>
      </c>
      <c r="D1267" s="4" t="s">
        <v>1551</v>
      </c>
      <c r="E1267" s="1" t="s">
        <v>3</v>
      </c>
      <c r="F1267" s="5" t="s">
        <v>6</v>
      </c>
      <c r="G1267" s="3">
        <f t="shared" si="1299"/>
        <v>8.9</v>
      </c>
      <c r="H1267" s="14" t="str">
        <f t="shared" ref="H1267" si="1350">IF(NOT(ISNUMBER(VALUE(G1267))), "NA",IF(VALUE(G1267)&gt;17,"HIGH",IF(VALUE(G1267)&lt;6,"LOW", "VALUE IN RANGE")))</f>
        <v>VALUE IN RANGE</v>
      </c>
    </row>
    <row r="1268" spans="3:8" x14ac:dyDescent="0.25">
      <c r="C1268" s="13"/>
      <c r="D1268" s="4" t="s">
        <v>1551</v>
      </c>
      <c r="E1268" s="4" t="s">
        <v>5</v>
      </c>
      <c r="F1268" s="3" t="s">
        <v>817</v>
      </c>
      <c r="G1268" s="3">
        <f t="shared" si="1299"/>
        <v>16.399999999999999</v>
      </c>
      <c r="H1268" s="14" t="str">
        <f t="shared" ref="H1268" si="1351">IF(NOT(ISNUMBER(VALUE(G1268))), "NA",IF(VALUE(G1268)&gt;30,"HIGH",IF(VALUE(G1268)&lt;12,"LOW", "VALUE IN RANGE")))</f>
        <v>VALUE IN RANGE</v>
      </c>
    </row>
    <row r="1269" spans="3:8" x14ac:dyDescent="0.25">
      <c r="C1269" s="13"/>
      <c r="D1269" s="4" t="s">
        <v>1551</v>
      </c>
      <c r="E1269" s="1" t="s">
        <v>7</v>
      </c>
      <c r="F1269" s="5" t="s">
        <v>452</v>
      </c>
      <c r="G1269" s="3">
        <f t="shared" si="1299"/>
        <v>4.5</v>
      </c>
      <c r="H1269" s="14" t="str">
        <f t="shared" ref="H1269" si="1352">IF(NOT(ISNUMBER(VALUE(G1269))), "NA",IF(VALUE(G1269)&gt;9,"HIGH",IF(VALUE(G1269)&lt;2,"LOW", "VALUE IN RANGE")))</f>
        <v>VALUE IN RANGE</v>
      </c>
    </row>
    <row r="1270" spans="3:8" x14ac:dyDescent="0.25">
      <c r="C1270" s="13"/>
      <c r="D1270" s="4" t="s">
        <v>1551</v>
      </c>
      <c r="E1270" s="4" t="s">
        <v>9</v>
      </c>
      <c r="F1270" s="3" t="s">
        <v>818</v>
      </c>
      <c r="G1270" s="3">
        <f t="shared" si="1299"/>
        <v>79.099999999999994</v>
      </c>
      <c r="H1270" s="14" t="str">
        <f t="shared" ref="H1270" si="1353">IF(NOT(ISNUMBER(VALUE(G1270))), "NA",IF(VALUE(G1270)&gt;83,"HIGH",IF(VALUE(G1270)&lt;60,"LOW", "VALUE IN RANGE")))</f>
        <v>VALUE IN RANGE</v>
      </c>
    </row>
    <row r="1271" spans="3:8" x14ac:dyDescent="0.25">
      <c r="C1271" s="13"/>
      <c r="D1271" s="4" t="s">
        <v>1551</v>
      </c>
      <c r="E1271" s="1" t="s">
        <v>11</v>
      </c>
      <c r="F1271" s="5">
        <v>1400</v>
      </c>
      <c r="G1271" s="3">
        <f t="shared" si="1299"/>
        <v>1400</v>
      </c>
      <c r="H1271" s="14" t="str">
        <f t="shared" ref="H1271" si="1354">IF(NOT(ISNUMBER(VALUE(G1271))), "NA",IF(VALUE(G1271)&gt;5.1,"HIGH",IF(VALUE(G1271)&lt;0.8,"LOW", "VALUE IN RANGE")))</f>
        <v>HIGH</v>
      </c>
    </row>
    <row r="1272" spans="3:8" x14ac:dyDescent="0.25">
      <c r="C1272" s="13"/>
      <c r="D1272" s="4" t="s">
        <v>1551</v>
      </c>
      <c r="E1272" s="4" t="s">
        <v>13</v>
      </c>
      <c r="F1272" s="3" t="s">
        <v>167</v>
      </c>
      <c r="G1272" s="3">
        <f t="shared" si="1299"/>
        <v>0.4</v>
      </c>
      <c r="H1272" s="14" t="str">
        <f t="shared" ref="H1272" si="1355">IF(NOT(ISNUMBER(VALUE(G1272))), "NA",IF(VALUE(G1272)&gt;1.8,"HIGH",IF(VALUE(G1272)&lt;0,"LOW", "VALUE IN RANGE")))</f>
        <v>VALUE IN RANGE</v>
      </c>
    </row>
    <row r="1273" spans="3:8" x14ac:dyDescent="0.25">
      <c r="C1273" s="13"/>
      <c r="D1273" s="4" t="s">
        <v>1551</v>
      </c>
      <c r="E1273" s="1" t="s">
        <v>15</v>
      </c>
      <c r="F1273" s="5">
        <v>7100</v>
      </c>
      <c r="G1273" s="3">
        <f t="shared" si="1299"/>
        <v>7100</v>
      </c>
      <c r="H1273" s="14" t="str">
        <f t="shared" ref="H1273" si="1356">IF(NOT(ISNUMBER(VALUE(G1273))), "NA",IF(VALUE(G1273)&gt;12.6,"HIGH",IF(VALUE(G1273)&lt;4,"LOW", "VALUE IN RANGE")))</f>
        <v>HIGH</v>
      </c>
    </row>
    <row r="1274" spans="3:8" x14ac:dyDescent="0.25">
      <c r="C1274" s="13"/>
      <c r="D1274" s="4" t="s">
        <v>1551</v>
      </c>
      <c r="E1274" s="4" t="s">
        <v>17</v>
      </c>
      <c r="F1274" s="3" t="s">
        <v>819</v>
      </c>
      <c r="G1274" s="3">
        <f t="shared" si="1299"/>
        <v>6.35</v>
      </c>
      <c r="H1274" s="14" t="str">
        <f t="shared" ref="H1274" si="1357">IF(NOT(ISNUMBER(VALUE(G1274))), "NA",IF(VALUE(G1274)&gt;8.5,"HIGH",IF(VALUE(G1274)&lt;5.5,"LOW", "VALUE IN RANGE")))</f>
        <v>VALUE IN RANGE</v>
      </c>
    </row>
    <row r="1275" spans="3:8" x14ac:dyDescent="0.25">
      <c r="C1275" s="13"/>
      <c r="D1275" s="4" t="s">
        <v>1551</v>
      </c>
      <c r="E1275" s="1" t="s">
        <v>19</v>
      </c>
      <c r="F1275" s="5">
        <v>140</v>
      </c>
      <c r="G1275" s="3">
        <f t="shared" si="1299"/>
        <v>140</v>
      </c>
      <c r="H1275" s="14" t="str">
        <f t="shared" ref="H1275" si="1358">IF(NOT(ISNUMBER(VALUE(G1275))), "NA",IF(VALUE(G1275)&gt;190,"HIGH",IF(VALUE(G1275)&lt;110,"LOW", "VALUE IN RANGE")))</f>
        <v>VALUE IN RANGE</v>
      </c>
    </row>
    <row r="1276" spans="3:8" x14ac:dyDescent="0.25">
      <c r="C1276" s="13"/>
      <c r="D1276" s="4" t="s">
        <v>1551</v>
      </c>
      <c r="E1276" s="4" t="s">
        <v>21</v>
      </c>
      <c r="F1276" s="3" t="s">
        <v>820</v>
      </c>
      <c r="G1276" s="3">
        <f t="shared" si="1299"/>
        <v>43.8</v>
      </c>
      <c r="H1276" s="14" t="str">
        <f t="shared" ref="H1276" si="1359">IF(NOT(ISNUMBER(VALUE(G1276))), "NA",IF(VALUE(G1276)&gt;56,"HIGH",IF(VALUE(G1276)&lt;39,"LOW", "VALUE IN RANGE")))</f>
        <v>VALUE IN RANGE</v>
      </c>
    </row>
    <row r="1277" spans="3:8" x14ac:dyDescent="0.25">
      <c r="C1277" s="13"/>
      <c r="D1277" s="4" t="s">
        <v>1551</v>
      </c>
      <c r="E1277" s="1" t="s">
        <v>23</v>
      </c>
      <c r="F1277" s="5" t="s">
        <v>821</v>
      </c>
      <c r="G1277" s="3">
        <f t="shared" si="1299"/>
        <v>69</v>
      </c>
      <c r="H1277" s="14" t="str">
        <f t="shared" ref="H1277" si="1360">IF(NOT(ISNUMBER(VALUE(G1277))), "NA",IF(VALUE(G1277)&gt;72,"HIGH",IF(VALUE(G1277)&lt;62,"LOW", "VALUE IN RANGE")))</f>
        <v>VALUE IN RANGE</v>
      </c>
    </row>
    <row r="1278" spans="3:8" x14ac:dyDescent="0.25">
      <c r="C1278" s="13"/>
      <c r="D1278" s="4" t="s">
        <v>1551</v>
      </c>
      <c r="E1278" s="4" t="s">
        <v>25</v>
      </c>
      <c r="F1278" s="3" t="s">
        <v>753</v>
      </c>
      <c r="G1278" s="3">
        <f t="shared" si="1299"/>
        <v>22</v>
      </c>
      <c r="H1278" s="14" t="str">
        <f t="shared" ref="H1278" si="1361">IF(NOT(ISNUMBER(VALUE(G1278))), "NA",IF(VALUE(G1278)&gt;25,"HIGH",IF(VALUE(G1278)&lt;20,"LOW", "VALUE IN RANGE")))</f>
        <v>VALUE IN RANGE</v>
      </c>
    </row>
    <row r="1279" spans="3:8" x14ac:dyDescent="0.25">
      <c r="C1279" s="13"/>
      <c r="D1279" s="4" t="s">
        <v>1551</v>
      </c>
      <c r="E1279" s="1" t="s">
        <v>27</v>
      </c>
      <c r="F1279" s="5">
        <v>319</v>
      </c>
      <c r="G1279" s="3">
        <f t="shared" si="1299"/>
        <v>319</v>
      </c>
      <c r="H1279" s="14" t="str">
        <f t="shared" ref="H1279" si="1362">IF(NOT(ISNUMBER(VALUE(G1279))), "NA",IF(VALUE(G1279)&gt;380,"HIGH",IF(VALUE(G1279)&lt;300,"LOW", "VALUE IN RANGE")))</f>
        <v>VALUE IN RANGE</v>
      </c>
    </row>
    <row r="1280" spans="3:8" x14ac:dyDescent="0.25">
      <c r="C1280" s="13"/>
      <c r="D1280" s="4" t="s">
        <v>1551</v>
      </c>
      <c r="E1280" s="4" t="s">
        <v>29</v>
      </c>
      <c r="F1280" s="3" t="s">
        <v>822</v>
      </c>
      <c r="G1280" s="3">
        <f t="shared" si="1299"/>
        <v>12.8</v>
      </c>
      <c r="H1280" s="14" t="str">
        <f t="shared" ref="H1280" si="1363">IF(NOT(ISNUMBER(VALUE(G1280))), "NA",IF(VALUE(G1280)&gt;15.5,"HIGH",IF(VALUE(G1280)&lt;11,"LOW", "VALUE IN RANGE")))</f>
        <v>VALUE IN RANGE</v>
      </c>
    </row>
    <row r="1281" spans="3:8" x14ac:dyDescent="0.25">
      <c r="C1281" s="13"/>
      <c r="D1281" s="4" t="s">
        <v>1551</v>
      </c>
      <c r="E1281" s="1" t="s">
        <v>31</v>
      </c>
      <c r="F1281" s="5">
        <v>187</v>
      </c>
      <c r="G1281" s="3">
        <f t="shared" si="1299"/>
        <v>187</v>
      </c>
      <c r="H1281" s="14" t="str">
        <f t="shared" ref="H1281" si="1364">IF(NOT(ISNUMBER(VALUE(G1281))), "NA",IF(VALUE(G1281)&gt;460,"HIGH",IF(VALUE(G1281)&lt;117,"LOW", "VALUE IN RANGE")))</f>
        <v>VALUE IN RANGE</v>
      </c>
    </row>
    <row r="1282" spans="3:8" x14ac:dyDescent="0.25">
      <c r="C1282" s="13"/>
      <c r="D1282" s="4" t="s">
        <v>1551</v>
      </c>
      <c r="E1282" s="4" t="s">
        <v>33</v>
      </c>
      <c r="F1282" s="3" t="s">
        <v>279</v>
      </c>
      <c r="G1282" s="3">
        <f t="shared" si="1299"/>
        <v>9.5</v>
      </c>
      <c r="H1282" s="14" t="str">
        <f t="shared" ref="H1282" si="1365">IF(NOT(ISNUMBER(VALUE(G1282))), "NA",IF(VALUE(G1282)&gt;12,"HIGH",IF(VALUE(G1282)&lt;7,"LOW", "VALUE IN RANGE")))</f>
        <v>VALUE IN RANGE</v>
      </c>
    </row>
    <row r="1283" spans="3:8" ht="15" customHeight="1" x14ac:dyDescent="0.25">
      <c r="C1283" s="13" t="str">
        <f t="shared" ref="C1283" si="1366">IF(D1283=D1298,D1297,"falso")</f>
        <v>PATIENT_0081</v>
      </c>
      <c r="D1283" s="4" t="s">
        <v>1552</v>
      </c>
      <c r="E1283" s="1" t="s">
        <v>3</v>
      </c>
      <c r="F1283" s="5" t="s">
        <v>42</v>
      </c>
      <c r="G1283" s="3">
        <f t="shared" si="1299"/>
        <v>0</v>
      </c>
      <c r="H1283" s="14" t="str">
        <f t="shared" ref="H1283" si="1367">IF(NOT(ISNUMBER(VALUE(G1283))), "NA",IF(VALUE(G1283)&gt;17,"HIGH",IF(VALUE(G1283)&lt;6,"LOW", "VALUE IN RANGE")))</f>
        <v>LOW</v>
      </c>
    </row>
    <row r="1284" spans="3:8" x14ac:dyDescent="0.25">
      <c r="C1284" s="13"/>
      <c r="D1284" s="4" t="s">
        <v>1552</v>
      </c>
      <c r="E1284" s="4" t="s">
        <v>5</v>
      </c>
      <c r="F1284" s="3" t="s">
        <v>42</v>
      </c>
      <c r="G1284" s="3">
        <f t="shared" ref="G1284:G1347" si="1368">IFERROR(
   VALUE(
      SUBSTITUTE(
         CLEAN(
            TRIM(F1284)
         ),
         ".",
         ","
      )
   ),
   ""
)</f>
        <v>0</v>
      </c>
      <c r="H1284" s="14" t="str">
        <f t="shared" ref="H1284" si="1369">IF(NOT(ISNUMBER(VALUE(G1284))), "NA",IF(VALUE(G1284)&gt;30,"HIGH",IF(VALUE(G1284)&lt;12,"LOW", "VALUE IN RANGE")))</f>
        <v>LOW</v>
      </c>
    </row>
    <row r="1285" spans="3:8" x14ac:dyDescent="0.25">
      <c r="C1285" s="13"/>
      <c r="D1285" s="4" t="s">
        <v>1552</v>
      </c>
      <c r="E1285" s="1" t="s">
        <v>7</v>
      </c>
      <c r="F1285" s="5" t="s">
        <v>42</v>
      </c>
      <c r="G1285" s="3">
        <f t="shared" si="1368"/>
        <v>0</v>
      </c>
      <c r="H1285" s="14" t="str">
        <f t="shared" ref="H1285" si="1370">IF(NOT(ISNUMBER(VALUE(G1285))), "NA",IF(VALUE(G1285)&gt;9,"HIGH",IF(VALUE(G1285)&lt;2,"LOW", "VALUE IN RANGE")))</f>
        <v>LOW</v>
      </c>
    </row>
    <row r="1286" spans="3:8" x14ac:dyDescent="0.25">
      <c r="C1286" s="13"/>
      <c r="D1286" s="4" t="s">
        <v>1552</v>
      </c>
      <c r="E1286" s="4" t="s">
        <v>9</v>
      </c>
      <c r="F1286" s="3" t="s">
        <v>42</v>
      </c>
      <c r="G1286" s="3">
        <f t="shared" si="1368"/>
        <v>0</v>
      </c>
      <c r="H1286" s="14" t="str">
        <f t="shared" ref="H1286" si="1371">IF(NOT(ISNUMBER(VALUE(G1286))), "NA",IF(VALUE(G1286)&gt;83,"HIGH",IF(VALUE(G1286)&lt;60,"LOW", "VALUE IN RANGE")))</f>
        <v>LOW</v>
      </c>
    </row>
    <row r="1287" spans="3:8" x14ac:dyDescent="0.25">
      <c r="C1287" s="13"/>
      <c r="D1287" s="4" t="s">
        <v>1552</v>
      </c>
      <c r="E1287" s="1" t="s">
        <v>11</v>
      </c>
      <c r="F1287" s="5" t="s">
        <v>39</v>
      </c>
      <c r="G1287" s="3">
        <f t="shared" si="1368"/>
        <v>0</v>
      </c>
      <c r="H1287" s="14" t="str">
        <f t="shared" ref="H1287" si="1372">IF(NOT(ISNUMBER(VALUE(G1287))), "NA",IF(VALUE(G1287)&gt;5.1,"HIGH",IF(VALUE(G1287)&lt;0.8,"LOW", "VALUE IN RANGE")))</f>
        <v>LOW</v>
      </c>
    </row>
    <row r="1288" spans="3:8" x14ac:dyDescent="0.25">
      <c r="C1288" s="13"/>
      <c r="D1288" s="4" t="s">
        <v>1552</v>
      </c>
      <c r="E1288" s="4" t="s">
        <v>13</v>
      </c>
      <c r="F1288" s="3" t="s">
        <v>39</v>
      </c>
      <c r="G1288" s="3">
        <f t="shared" si="1368"/>
        <v>0</v>
      </c>
      <c r="H1288" s="14" t="str">
        <f t="shared" ref="H1288" si="1373">IF(NOT(ISNUMBER(VALUE(G1288))), "NA",IF(VALUE(G1288)&gt;1.8,"HIGH",IF(VALUE(G1288)&lt;0,"LOW", "VALUE IN RANGE")))</f>
        <v>VALUE IN RANGE</v>
      </c>
    </row>
    <row r="1289" spans="3:8" x14ac:dyDescent="0.25">
      <c r="C1289" s="13"/>
      <c r="D1289" s="4" t="s">
        <v>1552</v>
      </c>
      <c r="E1289" s="1" t="s">
        <v>15</v>
      </c>
      <c r="F1289" s="5" t="s">
        <v>39</v>
      </c>
      <c r="G1289" s="3">
        <f t="shared" si="1368"/>
        <v>0</v>
      </c>
      <c r="H1289" s="14" t="str">
        <f t="shared" ref="H1289" si="1374">IF(NOT(ISNUMBER(VALUE(G1289))), "NA",IF(VALUE(G1289)&gt;12.6,"HIGH",IF(VALUE(G1289)&lt;4,"LOW", "VALUE IN RANGE")))</f>
        <v>LOW</v>
      </c>
    </row>
    <row r="1290" spans="3:8" x14ac:dyDescent="0.25">
      <c r="C1290" s="13"/>
      <c r="D1290" s="4" t="s">
        <v>1552</v>
      </c>
      <c r="E1290" s="4" t="s">
        <v>17</v>
      </c>
      <c r="F1290" s="3" t="s">
        <v>42</v>
      </c>
      <c r="G1290" s="3">
        <f t="shared" si="1368"/>
        <v>0</v>
      </c>
      <c r="H1290" s="14" t="str">
        <f t="shared" ref="H1290" si="1375">IF(NOT(ISNUMBER(VALUE(G1290))), "NA",IF(VALUE(G1290)&gt;8.5,"HIGH",IF(VALUE(G1290)&lt;5.5,"LOW", "VALUE IN RANGE")))</f>
        <v>LOW</v>
      </c>
    </row>
    <row r="1291" spans="3:8" x14ac:dyDescent="0.25">
      <c r="C1291" s="13"/>
      <c r="D1291" s="4" t="s">
        <v>1552</v>
      </c>
      <c r="E1291" s="1" t="s">
        <v>19</v>
      </c>
      <c r="F1291" s="5">
        <v>0</v>
      </c>
      <c r="G1291" s="3">
        <f t="shared" si="1368"/>
        <v>0</v>
      </c>
      <c r="H1291" s="14" t="str">
        <f t="shared" ref="H1291" si="1376">IF(NOT(ISNUMBER(VALUE(G1291))), "NA",IF(VALUE(G1291)&gt;190,"HIGH",IF(VALUE(G1291)&lt;110,"LOW", "VALUE IN RANGE")))</f>
        <v>LOW</v>
      </c>
    </row>
    <row r="1292" spans="3:8" x14ac:dyDescent="0.25">
      <c r="C1292" s="13"/>
      <c r="D1292" s="4" t="s">
        <v>1552</v>
      </c>
      <c r="E1292" s="4" t="s">
        <v>21</v>
      </c>
      <c r="F1292" s="3" t="s">
        <v>44</v>
      </c>
      <c r="G1292" s="3">
        <f t="shared" si="1368"/>
        <v>0</v>
      </c>
      <c r="H1292" s="14" t="str">
        <f t="shared" ref="H1292" si="1377">IF(NOT(ISNUMBER(VALUE(G1292))), "NA",IF(VALUE(G1292)&gt;56,"HIGH",IF(VALUE(G1292)&lt;39,"LOW", "VALUE IN RANGE")))</f>
        <v>LOW</v>
      </c>
    </row>
    <row r="1293" spans="3:8" x14ac:dyDescent="0.25">
      <c r="C1293" s="13"/>
      <c r="D1293" s="4" t="s">
        <v>1552</v>
      </c>
      <c r="E1293" s="1" t="s">
        <v>23</v>
      </c>
      <c r="F1293" s="5" t="s">
        <v>45</v>
      </c>
      <c r="G1293" s="3" t="str">
        <f t="shared" si="1368"/>
        <v/>
      </c>
      <c r="H1293" s="14" t="str">
        <f t="shared" ref="H1293" si="1378">IF(NOT(ISNUMBER(VALUE(G1293))), "NA",IF(VALUE(G1293)&gt;72,"HIGH",IF(VALUE(G1293)&lt;62,"LOW", "VALUE IN RANGE")))</f>
        <v>NA</v>
      </c>
    </row>
    <row r="1294" spans="3:8" x14ac:dyDescent="0.25">
      <c r="C1294" s="13"/>
      <c r="D1294" s="4" t="s">
        <v>1552</v>
      </c>
      <c r="E1294" s="4" t="s">
        <v>25</v>
      </c>
      <c r="F1294" s="3" t="s">
        <v>45</v>
      </c>
      <c r="G1294" s="3" t="str">
        <f t="shared" si="1368"/>
        <v/>
      </c>
      <c r="H1294" s="14" t="str">
        <f t="shared" ref="H1294" si="1379">IF(NOT(ISNUMBER(VALUE(G1294))), "NA",IF(VALUE(G1294)&gt;25,"HIGH",IF(VALUE(G1294)&lt;20,"LOW", "VALUE IN RANGE")))</f>
        <v>NA</v>
      </c>
    </row>
    <row r="1295" spans="3:8" x14ac:dyDescent="0.25">
      <c r="C1295" s="13"/>
      <c r="D1295" s="4" t="s">
        <v>1552</v>
      </c>
      <c r="E1295" s="1" t="s">
        <v>27</v>
      </c>
      <c r="F1295" s="5" t="s">
        <v>45</v>
      </c>
      <c r="G1295" s="3" t="str">
        <f t="shared" si="1368"/>
        <v/>
      </c>
      <c r="H1295" s="14" t="str">
        <f t="shared" ref="H1295" si="1380">IF(NOT(ISNUMBER(VALUE(G1295))), "NA",IF(VALUE(G1295)&gt;380,"HIGH",IF(VALUE(G1295)&lt;300,"LOW", "VALUE IN RANGE")))</f>
        <v>NA</v>
      </c>
    </row>
    <row r="1296" spans="3:8" x14ac:dyDescent="0.25">
      <c r="C1296" s="13"/>
      <c r="D1296" s="4" t="s">
        <v>1552</v>
      </c>
      <c r="E1296" s="4" t="s">
        <v>29</v>
      </c>
      <c r="F1296" s="3" t="s">
        <v>45</v>
      </c>
      <c r="G1296" s="3" t="str">
        <f t="shared" si="1368"/>
        <v/>
      </c>
      <c r="H1296" s="14" t="str">
        <f t="shared" ref="H1296" si="1381">IF(NOT(ISNUMBER(VALUE(G1296))), "NA",IF(VALUE(G1296)&gt;15.5,"HIGH",IF(VALUE(G1296)&lt;11,"LOW", "VALUE IN RANGE")))</f>
        <v>NA</v>
      </c>
    </row>
    <row r="1297" spans="3:8" x14ac:dyDescent="0.25">
      <c r="C1297" s="13"/>
      <c r="D1297" s="4" t="s">
        <v>1552</v>
      </c>
      <c r="E1297" s="1" t="s">
        <v>31</v>
      </c>
      <c r="F1297" s="5">
        <v>0</v>
      </c>
      <c r="G1297" s="3">
        <f t="shared" si="1368"/>
        <v>0</v>
      </c>
      <c r="H1297" s="14" t="str">
        <f t="shared" ref="H1297" si="1382">IF(NOT(ISNUMBER(VALUE(G1297))), "NA",IF(VALUE(G1297)&gt;460,"HIGH",IF(VALUE(G1297)&lt;117,"LOW", "VALUE IN RANGE")))</f>
        <v>LOW</v>
      </c>
    </row>
    <row r="1298" spans="3:8" x14ac:dyDescent="0.25">
      <c r="C1298" s="13"/>
      <c r="D1298" s="4" t="s">
        <v>1552</v>
      </c>
      <c r="E1298" s="4" t="s">
        <v>33</v>
      </c>
      <c r="F1298" s="3" t="s">
        <v>45</v>
      </c>
      <c r="G1298" s="3" t="str">
        <f t="shared" si="1368"/>
        <v/>
      </c>
      <c r="H1298" s="14" t="str">
        <f t="shared" ref="H1298" si="1383">IF(NOT(ISNUMBER(VALUE(G1298))), "NA",IF(VALUE(G1298)&gt;12,"HIGH",IF(VALUE(G1298)&lt;7,"LOW", "VALUE IN RANGE")))</f>
        <v>NA</v>
      </c>
    </row>
    <row r="1299" spans="3:8" ht="15" customHeight="1" x14ac:dyDescent="0.25">
      <c r="C1299" s="13" t="str">
        <f t="shared" ref="C1299" si="1384">IF(D1299=D1314,D1313,"falso")</f>
        <v>PATIENT_0082</v>
      </c>
      <c r="D1299" s="4" t="s">
        <v>1553</v>
      </c>
      <c r="E1299" s="1" t="s">
        <v>3</v>
      </c>
      <c r="F1299" s="5" t="s">
        <v>169</v>
      </c>
      <c r="G1299" s="3">
        <f t="shared" si="1368"/>
        <v>7.3</v>
      </c>
      <c r="H1299" s="14" t="str">
        <f t="shared" ref="H1299" si="1385">IF(NOT(ISNUMBER(VALUE(G1299))), "NA",IF(VALUE(G1299)&gt;17,"HIGH",IF(VALUE(G1299)&lt;6,"LOW", "VALUE IN RANGE")))</f>
        <v>VALUE IN RANGE</v>
      </c>
    </row>
    <row r="1300" spans="3:8" x14ac:dyDescent="0.25">
      <c r="C1300" s="13"/>
      <c r="D1300" s="4" t="s">
        <v>1553</v>
      </c>
      <c r="E1300" s="4" t="s">
        <v>5</v>
      </c>
      <c r="F1300" s="3" t="s">
        <v>658</v>
      </c>
      <c r="G1300" s="3">
        <f t="shared" si="1368"/>
        <v>12.1</v>
      </c>
      <c r="H1300" s="14" t="str">
        <f t="shared" ref="H1300" si="1386">IF(NOT(ISNUMBER(VALUE(G1300))), "NA",IF(VALUE(G1300)&gt;30,"HIGH",IF(VALUE(G1300)&lt;12,"LOW", "VALUE IN RANGE")))</f>
        <v>VALUE IN RANGE</v>
      </c>
    </row>
    <row r="1301" spans="3:8" x14ac:dyDescent="0.25">
      <c r="C1301" s="13"/>
      <c r="D1301" s="4" t="s">
        <v>1553</v>
      </c>
      <c r="E1301" s="1" t="s">
        <v>7</v>
      </c>
      <c r="F1301" s="5" t="s">
        <v>310</v>
      </c>
      <c r="G1301" s="3">
        <f t="shared" si="1368"/>
        <v>3.5</v>
      </c>
      <c r="H1301" s="14" t="str">
        <f t="shared" ref="H1301" si="1387">IF(NOT(ISNUMBER(VALUE(G1301))), "NA",IF(VALUE(G1301)&gt;9,"HIGH",IF(VALUE(G1301)&lt;2,"LOW", "VALUE IN RANGE")))</f>
        <v>VALUE IN RANGE</v>
      </c>
    </row>
    <row r="1302" spans="3:8" x14ac:dyDescent="0.25">
      <c r="C1302" s="13"/>
      <c r="D1302" s="4" t="s">
        <v>1553</v>
      </c>
      <c r="E1302" s="4" t="s">
        <v>9</v>
      </c>
      <c r="F1302" s="3" t="s">
        <v>823</v>
      </c>
      <c r="G1302" s="3">
        <f t="shared" si="1368"/>
        <v>84.4</v>
      </c>
      <c r="H1302" s="14" t="str">
        <f t="shared" ref="H1302" si="1388">IF(NOT(ISNUMBER(VALUE(G1302))), "NA",IF(VALUE(G1302)&gt;83,"HIGH",IF(VALUE(G1302)&lt;60,"LOW", "VALUE IN RANGE")))</f>
        <v>HIGH</v>
      </c>
    </row>
    <row r="1303" spans="3:8" x14ac:dyDescent="0.25">
      <c r="C1303" s="13"/>
      <c r="D1303" s="4" t="s">
        <v>1553</v>
      </c>
      <c r="E1303" s="1" t="s">
        <v>11</v>
      </c>
      <c r="F1303" s="5" t="s">
        <v>476</v>
      </c>
      <c r="G1303" s="3">
        <f t="shared" si="1368"/>
        <v>0.8</v>
      </c>
      <c r="H1303" s="14" t="str">
        <f t="shared" ref="H1303" si="1389">IF(NOT(ISNUMBER(VALUE(G1303))), "NA",IF(VALUE(G1303)&gt;5.1,"HIGH",IF(VALUE(G1303)&lt;0.8,"LOW", "VALUE IN RANGE")))</f>
        <v>VALUE IN RANGE</v>
      </c>
    </row>
    <row r="1304" spans="3:8" x14ac:dyDescent="0.25">
      <c r="C1304" s="13"/>
      <c r="D1304" s="4" t="s">
        <v>1553</v>
      </c>
      <c r="E1304" s="4" t="s">
        <v>13</v>
      </c>
      <c r="F1304" s="3" t="s">
        <v>51</v>
      </c>
      <c r="G1304" s="3">
        <f t="shared" si="1368"/>
        <v>0.2</v>
      </c>
      <c r="H1304" s="14" t="str">
        <f t="shared" ref="H1304" si="1390">IF(NOT(ISNUMBER(VALUE(G1304))), "NA",IF(VALUE(G1304)&gt;1.8,"HIGH",IF(VALUE(G1304)&lt;0,"LOW", "VALUE IN RANGE")))</f>
        <v>VALUE IN RANGE</v>
      </c>
    </row>
    <row r="1305" spans="3:8" x14ac:dyDescent="0.25">
      <c r="C1305" s="13"/>
      <c r="D1305" s="4" t="s">
        <v>1553</v>
      </c>
      <c r="E1305" s="1" t="s">
        <v>15</v>
      </c>
      <c r="F1305" s="5">
        <v>6300</v>
      </c>
      <c r="G1305" s="3">
        <f t="shared" si="1368"/>
        <v>6300</v>
      </c>
      <c r="H1305" s="14" t="str">
        <f t="shared" ref="H1305" si="1391">IF(NOT(ISNUMBER(VALUE(G1305))), "NA",IF(VALUE(G1305)&gt;12.6,"HIGH",IF(VALUE(G1305)&lt;4,"LOW", "VALUE IN RANGE")))</f>
        <v>HIGH</v>
      </c>
    </row>
    <row r="1306" spans="3:8" x14ac:dyDescent="0.25">
      <c r="C1306" s="13"/>
      <c r="D1306" s="4" t="s">
        <v>1553</v>
      </c>
      <c r="E1306" s="4" t="s">
        <v>17</v>
      </c>
      <c r="F1306" s="3" t="s">
        <v>825</v>
      </c>
      <c r="G1306" s="3">
        <f t="shared" si="1368"/>
        <v>3.93</v>
      </c>
      <c r="H1306" s="14" t="str">
        <f t="shared" ref="H1306" si="1392">IF(NOT(ISNUMBER(VALUE(G1306))), "NA",IF(VALUE(G1306)&gt;8.5,"HIGH",IF(VALUE(G1306)&lt;5.5,"LOW", "VALUE IN RANGE")))</f>
        <v>LOW</v>
      </c>
    </row>
    <row r="1307" spans="3:8" x14ac:dyDescent="0.25">
      <c r="C1307" s="13"/>
      <c r="D1307" s="4" t="s">
        <v>1553</v>
      </c>
      <c r="E1307" s="1" t="s">
        <v>19</v>
      </c>
      <c r="F1307" s="5">
        <v>84</v>
      </c>
      <c r="G1307" s="3">
        <f t="shared" si="1368"/>
        <v>84</v>
      </c>
      <c r="H1307" s="14" t="str">
        <f t="shared" ref="H1307" si="1393">IF(NOT(ISNUMBER(VALUE(G1307))), "NA",IF(VALUE(G1307)&gt;190,"HIGH",IF(VALUE(G1307)&lt;110,"LOW", "VALUE IN RANGE")))</f>
        <v>LOW</v>
      </c>
    </row>
    <row r="1308" spans="3:8" x14ac:dyDescent="0.25">
      <c r="C1308" s="13"/>
      <c r="D1308" s="4" t="s">
        <v>1553</v>
      </c>
      <c r="E1308" s="4" t="s">
        <v>21</v>
      </c>
      <c r="F1308" s="3" t="s">
        <v>801</v>
      </c>
      <c r="G1308" s="3">
        <f t="shared" si="1368"/>
        <v>26.7</v>
      </c>
      <c r="H1308" s="14" t="str">
        <f t="shared" ref="H1308" si="1394">IF(NOT(ISNUMBER(VALUE(G1308))), "NA",IF(VALUE(G1308)&gt;56,"HIGH",IF(VALUE(G1308)&lt;39,"LOW", "VALUE IN RANGE")))</f>
        <v>LOW</v>
      </c>
    </row>
    <row r="1309" spans="3:8" x14ac:dyDescent="0.25">
      <c r="C1309" s="13"/>
      <c r="D1309" s="4" t="s">
        <v>1553</v>
      </c>
      <c r="E1309" s="1" t="s">
        <v>23</v>
      </c>
      <c r="F1309" s="5" t="s">
        <v>826</v>
      </c>
      <c r="G1309" s="3">
        <f t="shared" si="1368"/>
        <v>68.099999999999994</v>
      </c>
      <c r="H1309" s="14" t="str">
        <f t="shared" ref="H1309" si="1395">IF(NOT(ISNUMBER(VALUE(G1309))), "NA",IF(VALUE(G1309)&gt;72,"HIGH",IF(VALUE(G1309)&lt;62,"LOW", "VALUE IN RANGE")))</f>
        <v>VALUE IN RANGE</v>
      </c>
    </row>
    <row r="1310" spans="3:8" x14ac:dyDescent="0.25">
      <c r="C1310" s="13"/>
      <c r="D1310" s="4" t="s">
        <v>1553</v>
      </c>
      <c r="E1310" s="4" t="s">
        <v>25</v>
      </c>
      <c r="F1310" s="3" t="s">
        <v>252</v>
      </c>
      <c r="G1310" s="3">
        <f t="shared" si="1368"/>
        <v>21.3</v>
      </c>
      <c r="H1310" s="14" t="str">
        <f t="shared" ref="H1310" si="1396">IF(NOT(ISNUMBER(VALUE(G1310))), "NA",IF(VALUE(G1310)&gt;25,"HIGH",IF(VALUE(G1310)&lt;20,"LOW", "VALUE IN RANGE")))</f>
        <v>VALUE IN RANGE</v>
      </c>
    </row>
    <row r="1311" spans="3:8" x14ac:dyDescent="0.25">
      <c r="C1311" s="13"/>
      <c r="D1311" s="4" t="s">
        <v>1553</v>
      </c>
      <c r="E1311" s="1" t="s">
        <v>27</v>
      </c>
      <c r="F1311" s="5">
        <v>314</v>
      </c>
      <c r="G1311" s="3">
        <f t="shared" si="1368"/>
        <v>314</v>
      </c>
      <c r="H1311" s="14" t="str">
        <f t="shared" ref="H1311" si="1397">IF(NOT(ISNUMBER(VALUE(G1311))), "NA",IF(VALUE(G1311)&gt;380,"HIGH",IF(VALUE(G1311)&lt;300,"LOW", "VALUE IN RANGE")))</f>
        <v>VALUE IN RANGE</v>
      </c>
    </row>
    <row r="1312" spans="3:8" x14ac:dyDescent="0.25">
      <c r="C1312" s="13"/>
      <c r="D1312" s="4" t="s">
        <v>1553</v>
      </c>
      <c r="E1312" s="4" t="s">
        <v>29</v>
      </c>
      <c r="F1312" s="3" t="s">
        <v>341</v>
      </c>
      <c r="G1312" s="3">
        <f t="shared" si="1368"/>
        <v>11.8</v>
      </c>
      <c r="H1312" s="14" t="str">
        <f t="shared" ref="H1312" si="1398">IF(NOT(ISNUMBER(VALUE(G1312))), "NA",IF(VALUE(G1312)&gt;15.5,"HIGH",IF(VALUE(G1312)&lt;11,"LOW", "VALUE IN RANGE")))</f>
        <v>VALUE IN RANGE</v>
      </c>
    </row>
    <row r="1313" spans="3:8" x14ac:dyDescent="0.25">
      <c r="C1313" s="13"/>
      <c r="D1313" s="4" t="s">
        <v>1553</v>
      </c>
      <c r="E1313" s="1" t="s">
        <v>31</v>
      </c>
      <c r="F1313" s="5">
        <v>35</v>
      </c>
      <c r="G1313" s="3">
        <f t="shared" si="1368"/>
        <v>35</v>
      </c>
      <c r="H1313" s="14" t="str">
        <f t="shared" ref="H1313" si="1399">IF(NOT(ISNUMBER(VALUE(G1313))), "NA",IF(VALUE(G1313)&gt;460,"HIGH",IF(VALUE(G1313)&lt;117,"LOW", "VALUE IN RANGE")))</f>
        <v>LOW</v>
      </c>
    </row>
    <row r="1314" spans="3:8" x14ac:dyDescent="0.25">
      <c r="C1314" s="13"/>
      <c r="D1314" s="4" t="s">
        <v>1553</v>
      </c>
      <c r="E1314" s="4" t="s">
        <v>33</v>
      </c>
      <c r="F1314" s="3" t="s">
        <v>393</v>
      </c>
      <c r="G1314" s="3">
        <f t="shared" si="1368"/>
        <v>10.8</v>
      </c>
      <c r="H1314" s="14" t="str">
        <f t="shared" ref="H1314" si="1400">IF(NOT(ISNUMBER(VALUE(G1314))), "NA",IF(VALUE(G1314)&gt;12,"HIGH",IF(VALUE(G1314)&lt;7,"LOW", "VALUE IN RANGE")))</f>
        <v>VALUE IN RANGE</v>
      </c>
    </row>
    <row r="1315" spans="3:8" ht="15" customHeight="1" x14ac:dyDescent="0.25">
      <c r="C1315" s="13" t="str">
        <f t="shared" ref="C1315" si="1401">IF(D1315=D1330,D1329,"falso")</f>
        <v>PATIENT_0083</v>
      </c>
      <c r="D1315" s="4" t="s">
        <v>1554</v>
      </c>
      <c r="E1315" s="1" t="s">
        <v>134</v>
      </c>
      <c r="F1315" s="5" t="s">
        <v>828</v>
      </c>
      <c r="G1315" s="3">
        <f t="shared" si="1368"/>
        <v>10.7</v>
      </c>
      <c r="H1315" s="14" t="str">
        <f t="shared" ref="H1315" si="1402">IF(NOT(ISNUMBER(VALUE(G1315))), "NA",IF(VALUE(G1315)&gt;17,"HIGH",IF(VALUE(G1315)&lt;6,"LOW", "VALUE IN RANGE")))</f>
        <v>VALUE IN RANGE</v>
      </c>
    </row>
    <row r="1316" spans="3:8" x14ac:dyDescent="0.25">
      <c r="C1316" s="13"/>
      <c r="D1316" s="4" t="s">
        <v>1554</v>
      </c>
      <c r="E1316" s="4" t="s">
        <v>136</v>
      </c>
      <c r="F1316" s="3" t="s">
        <v>342</v>
      </c>
      <c r="G1316" s="3">
        <f t="shared" si="1368"/>
        <v>15</v>
      </c>
      <c r="H1316" s="14" t="str">
        <f t="shared" ref="H1316" si="1403">IF(NOT(ISNUMBER(VALUE(G1316))), "NA",IF(VALUE(G1316)&gt;30,"HIGH",IF(VALUE(G1316)&lt;12,"LOW", "VALUE IN RANGE")))</f>
        <v>VALUE IN RANGE</v>
      </c>
    </row>
    <row r="1317" spans="3:8" x14ac:dyDescent="0.25">
      <c r="C1317" s="13"/>
      <c r="D1317" s="4" t="s">
        <v>1554</v>
      </c>
      <c r="E1317" s="1" t="s">
        <v>7</v>
      </c>
      <c r="F1317" s="5" t="s">
        <v>310</v>
      </c>
      <c r="G1317" s="3">
        <f t="shared" si="1368"/>
        <v>3.5</v>
      </c>
      <c r="H1317" s="14" t="str">
        <f t="shared" ref="H1317" si="1404">IF(NOT(ISNUMBER(VALUE(G1317))), "NA",IF(VALUE(G1317)&gt;9,"HIGH",IF(VALUE(G1317)&lt;2,"LOW", "VALUE IN RANGE")))</f>
        <v>VALUE IN RANGE</v>
      </c>
    </row>
    <row r="1318" spans="3:8" x14ac:dyDescent="0.25">
      <c r="C1318" s="13"/>
      <c r="D1318" s="4" t="s">
        <v>1554</v>
      </c>
      <c r="E1318" s="4" t="s">
        <v>139</v>
      </c>
      <c r="F1318" s="3" t="s">
        <v>829</v>
      </c>
      <c r="G1318" s="3">
        <f t="shared" si="1368"/>
        <v>81.5</v>
      </c>
      <c r="H1318" s="14" t="str">
        <f t="shared" ref="H1318" si="1405">IF(NOT(ISNUMBER(VALUE(G1318))), "NA",IF(VALUE(G1318)&gt;83,"HIGH",IF(VALUE(G1318)&lt;60,"LOW", "VALUE IN RANGE")))</f>
        <v>VALUE IN RANGE</v>
      </c>
    </row>
    <row r="1319" spans="3:8" x14ac:dyDescent="0.25">
      <c r="C1319" s="13"/>
      <c r="D1319" s="4" t="s">
        <v>1554</v>
      </c>
      <c r="E1319" s="1" t="s">
        <v>141</v>
      </c>
      <c r="F1319" s="5">
        <v>1600</v>
      </c>
      <c r="G1319" s="3">
        <f t="shared" si="1368"/>
        <v>1600</v>
      </c>
      <c r="H1319" s="14" t="str">
        <f t="shared" ref="H1319" si="1406">IF(NOT(ISNUMBER(VALUE(G1319))), "NA",IF(VALUE(G1319)&gt;5.1,"HIGH",IF(VALUE(G1319)&lt;0.8,"LOW", "VALUE IN RANGE")))</f>
        <v>HIGH</v>
      </c>
    </row>
    <row r="1320" spans="3:8" x14ac:dyDescent="0.25">
      <c r="C1320" s="13"/>
      <c r="D1320" s="4" t="s">
        <v>1554</v>
      </c>
      <c r="E1320" s="4" t="s">
        <v>143</v>
      </c>
      <c r="F1320" s="3" t="s">
        <v>14</v>
      </c>
      <c r="G1320" s="3">
        <f t="shared" si="1368"/>
        <v>0.3</v>
      </c>
      <c r="H1320" s="14" t="str">
        <f t="shared" ref="H1320" si="1407">IF(NOT(ISNUMBER(VALUE(G1320))), "NA",IF(VALUE(G1320)&gt;1.8,"HIGH",IF(VALUE(G1320)&lt;0,"LOW", "VALUE IN RANGE")))</f>
        <v>VALUE IN RANGE</v>
      </c>
    </row>
    <row r="1321" spans="3:8" x14ac:dyDescent="0.25">
      <c r="C1321" s="13"/>
      <c r="D1321" s="4" t="s">
        <v>1554</v>
      </c>
      <c r="E1321" s="1" t="s">
        <v>144</v>
      </c>
      <c r="F1321" s="5">
        <v>8800</v>
      </c>
      <c r="G1321" s="3">
        <f t="shared" si="1368"/>
        <v>8800</v>
      </c>
      <c r="H1321" s="14" t="str">
        <f t="shared" ref="H1321" si="1408">IF(NOT(ISNUMBER(VALUE(G1321))), "NA",IF(VALUE(G1321)&gt;12.6,"HIGH",IF(VALUE(G1321)&lt;4,"LOW", "VALUE IN RANGE")))</f>
        <v>HIGH</v>
      </c>
    </row>
    <row r="1322" spans="3:8" x14ac:dyDescent="0.25">
      <c r="C1322" s="13"/>
      <c r="D1322" s="4" t="s">
        <v>1554</v>
      </c>
      <c r="E1322" s="4" t="s">
        <v>146</v>
      </c>
      <c r="F1322" s="3" t="s">
        <v>831</v>
      </c>
      <c r="G1322" s="3">
        <f t="shared" si="1368"/>
        <v>7.85</v>
      </c>
      <c r="H1322" s="14" t="str">
        <f t="shared" ref="H1322" si="1409">IF(NOT(ISNUMBER(VALUE(G1322))), "NA",IF(VALUE(G1322)&gt;8.5,"HIGH",IF(VALUE(G1322)&lt;5.5,"LOW", "VALUE IN RANGE")))</f>
        <v>VALUE IN RANGE</v>
      </c>
    </row>
    <row r="1323" spans="3:8" x14ac:dyDescent="0.25">
      <c r="C1323" s="13"/>
      <c r="D1323" s="4" t="s">
        <v>1554</v>
      </c>
      <c r="E1323" s="1" t="s">
        <v>148</v>
      </c>
      <c r="F1323" s="5">
        <v>103</v>
      </c>
      <c r="G1323" s="3">
        <f t="shared" si="1368"/>
        <v>103</v>
      </c>
      <c r="H1323" s="14" t="str">
        <f t="shared" ref="H1323" si="1410">IF(NOT(ISNUMBER(VALUE(G1323))), "NA",IF(VALUE(G1323)&gt;190,"HIGH",IF(VALUE(G1323)&lt;110,"LOW", "VALUE IN RANGE")))</f>
        <v>LOW</v>
      </c>
    </row>
    <row r="1324" spans="3:8" x14ac:dyDescent="0.25">
      <c r="C1324" s="13"/>
      <c r="D1324" s="4" t="s">
        <v>1554</v>
      </c>
      <c r="E1324" s="4" t="s">
        <v>150</v>
      </c>
      <c r="F1324" s="3" t="s">
        <v>511</v>
      </c>
      <c r="G1324" s="3">
        <f t="shared" si="1368"/>
        <v>37.6</v>
      </c>
      <c r="H1324" s="14" t="str">
        <f t="shared" ref="H1324" si="1411">IF(NOT(ISNUMBER(VALUE(G1324))), "NA",IF(VALUE(G1324)&gt;56,"HIGH",IF(VALUE(G1324)&lt;39,"LOW", "VALUE IN RANGE")))</f>
        <v>LOW</v>
      </c>
    </row>
    <row r="1325" spans="3:8" x14ac:dyDescent="0.25">
      <c r="C1325" s="13"/>
      <c r="D1325" s="4" t="s">
        <v>1554</v>
      </c>
      <c r="E1325" s="1" t="s">
        <v>152</v>
      </c>
      <c r="F1325" s="5" t="s">
        <v>833</v>
      </c>
      <c r="G1325" s="3">
        <f t="shared" si="1368"/>
        <v>47.9</v>
      </c>
      <c r="H1325" s="14" t="str">
        <f t="shared" ref="H1325" si="1412">IF(NOT(ISNUMBER(VALUE(G1325))), "NA",IF(VALUE(G1325)&gt;72,"HIGH",IF(VALUE(G1325)&lt;62,"LOW", "VALUE IN RANGE")))</f>
        <v>LOW</v>
      </c>
    </row>
    <row r="1326" spans="3:8" x14ac:dyDescent="0.25">
      <c r="C1326" s="13"/>
      <c r="D1326" s="4" t="s">
        <v>1554</v>
      </c>
      <c r="E1326" s="4" t="s">
        <v>154</v>
      </c>
      <c r="F1326" s="3" t="s">
        <v>471</v>
      </c>
      <c r="G1326" s="3">
        <f t="shared" si="1368"/>
        <v>13.1</v>
      </c>
      <c r="H1326" s="14" t="str">
        <f t="shared" ref="H1326" si="1413">IF(NOT(ISNUMBER(VALUE(G1326))), "NA",IF(VALUE(G1326)&gt;25,"HIGH",IF(VALUE(G1326)&lt;20,"LOW", "VALUE IN RANGE")))</f>
        <v>LOW</v>
      </c>
    </row>
    <row r="1327" spans="3:8" x14ac:dyDescent="0.25">
      <c r="C1327" s="13"/>
      <c r="D1327" s="4" t="s">
        <v>1554</v>
      </c>
      <c r="E1327" s="1" t="s">
        <v>27</v>
      </c>
      <c r="F1327" s="5">
        <v>273</v>
      </c>
      <c r="G1327" s="3">
        <f t="shared" si="1368"/>
        <v>273</v>
      </c>
      <c r="H1327" s="14" t="str">
        <f t="shared" ref="H1327" si="1414">IF(NOT(ISNUMBER(VALUE(G1327))), "NA",IF(VALUE(G1327)&gt;380,"HIGH",IF(VALUE(G1327)&lt;300,"LOW", "VALUE IN RANGE")))</f>
        <v>LOW</v>
      </c>
    </row>
    <row r="1328" spans="3:8" x14ac:dyDescent="0.25">
      <c r="C1328" s="13"/>
      <c r="D1328" s="4" t="s">
        <v>1554</v>
      </c>
      <c r="E1328" s="4" t="s">
        <v>157</v>
      </c>
      <c r="F1328" s="3" t="s">
        <v>215</v>
      </c>
      <c r="G1328" s="3">
        <f t="shared" si="1368"/>
        <v>14.7</v>
      </c>
      <c r="H1328" s="14" t="str">
        <f t="shared" ref="H1328" si="1415">IF(NOT(ISNUMBER(VALUE(G1328))), "NA",IF(VALUE(G1328)&gt;15.5,"HIGH",IF(VALUE(G1328)&lt;11,"LOW", "VALUE IN RANGE")))</f>
        <v>VALUE IN RANGE</v>
      </c>
    </row>
    <row r="1329" spans="3:8" x14ac:dyDescent="0.25">
      <c r="C1329" s="13"/>
      <c r="D1329" s="4" t="s">
        <v>1554</v>
      </c>
      <c r="E1329" s="1" t="s">
        <v>159</v>
      </c>
      <c r="F1329" s="5">
        <v>108</v>
      </c>
      <c r="G1329" s="3">
        <f t="shared" si="1368"/>
        <v>108</v>
      </c>
      <c r="H1329" s="14" t="str">
        <f t="shared" ref="H1329" si="1416">IF(NOT(ISNUMBER(VALUE(G1329))), "NA",IF(VALUE(G1329)&gt;460,"HIGH",IF(VALUE(G1329)&lt;117,"LOW", "VALUE IN RANGE")))</f>
        <v>LOW</v>
      </c>
    </row>
    <row r="1330" spans="3:8" x14ac:dyDescent="0.25">
      <c r="C1330" s="13"/>
      <c r="D1330" s="4" t="s">
        <v>1554</v>
      </c>
      <c r="E1330" s="4" t="s">
        <v>161</v>
      </c>
      <c r="F1330" s="3" t="s">
        <v>361</v>
      </c>
      <c r="G1330" s="3">
        <f t="shared" si="1368"/>
        <v>9.3000000000000007</v>
      </c>
      <c r="H1330" s="14" t="str">
        <f t="shared" ref="H1330" si="1417">IF(NOT(ISNUMBER(VALUE(G1330))), "NA",IF(VALUE(G1330)&gt;12,"HIGH",IF(VALUE(G1330)&lt;7,"LOW", "VALUE IN RANGE")))</f>
        <v>VALUE IN RANGE</v>
      </c>
    </row>
    <row r="1331" spans="3:8" ht="15" customHeight="1" x14ac:dyDescent="0.25">
      <c r="C1331" s="13" t="str">
        <f t="shared" ref="C1331" si="1418">IF(D1331=D1346,D1345,"falso")</f>
        <v>PATIENT_0084</v>
      </c>
      <c r="D1331" s="4" t="s">
        <v>1555</v>
      </c>
      <c r="E1331" s="1" t="s">
        <v>134</v>
      </c>
      <c r="F1331" s="5" t="s">
        <v>294</v>
      </c>
      <c r="G1331" s="3">
        <f t="shared" si="1368"/>
        <v>8.6999999999999993</v>
      </c>
      <c r="H1331" s="14" t="str">
        <f t="shared" ref="H1331" si="1419">IF(NOT(ISNUMBER(VALUE(G1331))), "NA",IF(VALUE(G1331)&gt;17,"HIGH",IF(VALUE(G1331)&lt;6,"LOW", "VALUE IN RANGE")))</f>
        <v>VALUE IN RANGE</v>
      </c>
    </row>
    <row r="1332" spans="3:8" x14ac:dyDescent="0.25">
      <c r="C1332" s="13"/>
      <c r="D1332" s="4" t="s">
        <v>1555</v>
      </c>
      <c r="E1332" s="4" t="s">
        <v>136</v>
      </c>
      <c r="F1332" s="3" t="s">
        <v>836</v>
      </c>
      <c r="G1332" s="3">
        <f t="shared" si="1368"/>
        <v>12.4</v>
      </c>
      <c r="H1332" s="14" t="str">
        <f t="shared" ref="H1332" si="1420">IF(NOT(ISNUMBER(VALUE(G1332))), "NA",IF(VALUE(G1332)&gt;30,"HIGH",IF(VALUE(G1332)&lt;12,"LOW", "VALUE IN RANGE")))</f>
        <v>VALUE IN RANGE</v>
      </c>
    </row>
    <row r="1333" spans="3:8" x14ac:dyDescent="0.25">
      <c r="C1333" s="13"/>
      <c r="D1333" s="4" t="s">
        <v>1555</v>
      </c>
      <c r="E1333" s="1" t="s">
        <v>7</v>
      </c>
      <c r="F1333" s="5" t="s">
        <v>486</v>
      </c>
      <c r="G1333" s="3">
        <f t="shared" si="1368"/>
        <v>2.8</v>
      </c>
      <c r="H1333" s="14" t="str">
        <f t="shared" ref="H1333" si="1421">IF(NOT(ISNUMBER(VALUE(G1333))), "NA",IF(VALUE(G1333)&gt;9,"HIGH",IF(VALUE(G1333)&lt;2,"LOW", "VALUE IN RANGE")))</f>
        <v>VALUE IN RANGE</v>
      </c>
    </row>
    <row r="1334" spans="3:8" x14ac:dyDescent="0.25">
      <c r="C1334" s="13"/>
      <c r="D1334" s="4" t="s">
        <v>1555</v>
      </c>
      <c r="E1334" s="4" t="s">
        <v>139</v>
      </c>
      <c r="F1334" s="3" t="s">
        <v>837</v>
      </c>
      <c r="G1334" s="3">
        <f t="shared" si="1368"/>
        <v>84.8</v>
      </c>
      <c r="H1334" s="14" t="str">
        <f t="shared" ref="H1334" si="1422">IF(NOT(ISNUMBER(VALUE(G1334))), "NA",IF(VALUE(G1334)&gt;83,"HIGH",IF(VALUE(G1334)&lt;60,"LOW", "VALUE IN RANGE")))</f>
        <v>HIGH</v>
      </c>
    </row>
    <row r="1335" spans="3:8" x14ac:dyDescent="0.25">
      <c r="C1335" s="13"/>
      <c r="D1335" s="4" t="s">
        <v>1555</v>
      </c>
      <c r="E1335" s="1" t="s">
        <v>141</v>
      </c>
      <c r="F1335" s="5">
        <v>1000</v>
      </c>
      <c r="G1335" s="3">
        <f t="shared" si="1368"/>
        <v>1000</v>
      </c>
      <c r="H1335" s="14" t="str">
        <f t="shared" ref="H1335" si="1423">IF(NOT(ISNUMBER(VALUE(G1335))), "NA",IF(VALUE(G1335)&gt;5.1,"HIGH",IF(VALUE(G1335)&lt;0.8,"LOW", "VALUE IN RANGE")))</f>
        <v>HIGH</v>
      </c>
    </row>
    <row r="1336" spans="3:8" x14ac:dyDescent="0.25">
      <c r="C1336" s="13"/>
      <c r="D1336" s="4" t="s">
        <v>1555</v>
      </c>
      <c r="E1336" s="4" t="s">
        <v>143</v>
      </c>
      <c r="F1336" s="3" t="s">
        <v>51</v>
      </c>
      <c r="G1336" s="3">
        <f t="shared" si="1368"/>
        <v>0.2</v>
      </c>
      <c r="H1336" s="14" t="str">
        <f t="shared" ref="H1336" si="1424">IF(NOT(ISNUMBER(VALUE(G1336))), "NA",IF(VALUE(G1336)&gt;1.8,"HIGH",IF(VALUE(G1336)&lt;0,"LOW", "VALUE IN RANGE")))</f>
        <v>VALUE IN RANGE</v>
      </c>
    </row>
    <row r="1337" spans="3:8" x14ac:dyDescent="0.25">
      <c r="C1337" s="13"/>
      <c r="D1337" s="4" t="s">
        <v>1555</v>
      </c>
      <c r="E1337" s="1" t="s">
        <v>144</v>
      </c>
      <c r="F1337" s="5">
        <v>7500</v>
      </c>
      <c r="G1337" s="3">
        <f t="shared" si="1368"/>
        <v>7500</v>
      </c>
      <c r="H1337" s="14" t="str">
        <f t="shared" ref="H1337" si="1425">IF(NOT(ISNUMBER(VALUE(G1337))), "NA",IF(VALUE(G1337)&gt;12.6,"HIGH",IF(VALUE(G1337)&lt;4,"LOW", "VALUE IN RANGE")))</f>
        <v>HIGH</v>
      </c>
    </row>
    <row r="1338" spans="3:8" x14ac:dyDescent="0.25">
      <c r="C1338" s="13"/>
      <c r="D1338" s="4" t="s">
        <v>1555</v>
      </c>
      <c r="E1338" s="4" t="s">
        <v>146</v>
      </c>
      <c r="F1338" s="3" t="s">
        <v>839</v>
      </c>
      <c r="G1338" s="3">
        <f t="shared" si="1368"/>
        <v>10.11</v>
      </c>
      <c r="H1338" s="14" t="str">
        <f t="shared" ref="H1338" si="1426">IF(NOT(ISNUMBER(VALUE(G1338))), "NA",IF(VALUE(G1338)&gt;8.5,"HIGH",IF(VALUE(G1338)&lt;5.5,"LOW", "VALUE IN RANGE")))</f>
        <v>HIGH</v>
      </c>
    </row>
    <row r="1339" spans="3:8" x14ac:dyDescent="0.25">
      <c r="C1339" s="13"/>
      <c r="D1339" s="4" t="s">
        <v>1555</v>
      </c>
      <c r="E1339" s="1" t="s">
        <v>148</v>
      </c>
      <c r="F1339" s="5">
        <v>152</v>
      </c>
      <c r="G1339" s="3">
        <f t="shared" si="1368"/>
        <v>152</v>
      </c>
      <c r="H1339" s="14" t="str">
        <f t="shared" ref="H1339" si="1427">IF(NOT(ISNUMBER(VALUE(G1339))), "NA",IF(VALUE(G1339)&gt;190,"HIGH",IF(VALUE(G1339)&lt;110,"LOW", "VALUE IN RANGE")))</f>
        <v>VALUE IN RANGE</v>
      </c>
    </row>
    <row r="1340" spans="3:8" x14ac:dyDescent="0.25">
      <c r="C1340" s="13"/>
      <c r="D1340" s="4" t="s">
        <v>1555</v>
      </c>
      <c r="E1340" s="4" t="s">
        <v>150</v>
      </c>
      <c r="F1340" s="3" t="s">
        <v>603</v>
      </c>
      <c r="G1340" s="3">
        <f t="shared" si="1368"/>
        <v>55.8</v>
      </c>
      <c r="H1340" s="14" t="str">
        <f t="shared" ref="H1340" si="1428">IF(NOT(ISNUMBER(VALUE(G1340))), "NA",IF(VALUE(G1340)&gt;56,"HIGH",IF(VALUE(G1340)&lt;39,"LOW", "VALUE IN RANGE")))</f>
        <v>VALUE IN RANGE</v>
      </c>
    </row>
    <row r="1341" spans="3:8" x14ac:dyDescent="0.25">
      <c r="C1341" s="13"/>
      <c r="D1341" s="4" t="s">
        <v>1555</v>
      </c>
      <c r="E1341" s="1" t="s">
        <v>152</v>
      </c>
      <c r="F1341" s="5" t="s">
        <v>776</v>
      </c>
      <c r="G1341" s="3">
        <f t="shared" si="1368"/>
        <v>55.2</v>
      </c>
      <c r="H1341" s="14" t="str">
        <f t="shared" ref="H1341" si="1429">IF(NOT(ISNUMBER(VALUE(G1341))), "NA",IF(VALUE(G1341)&gt;72,"HIGH",IF(VALUE(G1341)&lt;62,"LOW", "VALUE IN RANGE")))</f>
        <v>LOW</v>
      </c>
    </row>
    <row r="1342" spans="3:8" x14ac:dyDescent="0.25">
      <c r="C1342" s="13"/>
      <c r="D1342" s="4" t="s">
        <v>1555</v>
      </c>
      <c r="E1342" s="4" t="s">
        <v>154</v>
      </c>
      <c r="F1342" s="3" t="s">
        <v>200</v>
      </c>
      <c r="G1342" s="3">
        <f t="shared" si="1368"/>
        <v>15</v>
      </c>
      <c r="H1342" s="14" t="str">
        <f t="shared" ref="H1342" si="1430">IF(NOT(ISNUMBER(VALUE(G1342))), "NA",IF(VALUE(G1342)&gt;25,"HIGH",IF(VALUE(G1342)&lt;20,"LOW", "VALUE IN RANGE")))</f>
        <v>LOW</v>
      </c>
    </row>
    <row r="1343" spans="3:8" x14ac:dyDescent="0.25">
      <c r="C1343" s="13"/>
      <c r="D1343" s="4" t="s">
        <v>1555</v>
      </c>
      <c r="E1343" s="1" t="s">
        <v>27</v>
      </c>
      <c r="F1343" s="5">
        <v>272</v>
      </c>
      <c r="G1343" s="3">
        <f t="shared" si="1368"/>
        <v>272</v>
      </c>
      <c r="H1343" s="14" t="str">
        <f t="shared" ref="H1343" si="1431">IF(NOT(ISNUMBER(VALUE(G1343))), "NA",IF(VALUE(G1343)&gt;380,"HIGH",IF(VALUE(G1343)&lt;300,"LOW", "VALUE IN RANGE")))</f>
        <v>LOW</v>
      </c>
    </row>
    <row r="1344" spans="3:8" x14ac:dyDescent="0.25">
      <c r="C1344" s="13"/>
      <c r="D1344" s="4" t="s">
        <v>1555</v>
      </c>
      <c r="E1344" s="4" t="s">
        <v>157</v>
      </c>
      <c r="F1344" s="3" t="s">
        <v>842</v>
      </c>
      <c r="G1344" s="3">
        <f t="shared" si="1368"/>
        <v>15.8</v>
      </c>
      <c r="H1344" s="14" t="str">
        <f t="shared" ref="H1344" si="1432">IF(NOT(ISNUMBER(VALUE(G1344))), "NA",IF(VALUE(G1344)&gt;15.5,"HIGH",IF(VALUE(G1344)&lt;11,"LOW", "VALUE IN RANGE")))</f>
        <v>HIGH</v>
      </c>
    </row>
    <row r="1345" spans="3:8" x14ac:dyDescent="0.25">
      <c r="C1345" s="13"/>
      <c r="D1345" s="4" t="s">
        <v>1555</v>
      </c>
      <c r="E1345" s="1" t="s">
        <v>159</v>
      </c>
      <c r="F1345" s="5">
        <v>143</v>
      </c>
      <c r="G1345" s="3">
        <f t="shared" si="1368"/>
        <v>143</v>
      </c>
      <c r="H1345" s="14" t="str">
        <f t="shared" ref="H1345" si="1433">IF(NOT(ISNUMBER(VALUE(G1345))), "NA",IF(VALUE(G1345)&gt;460,"HIGH",IF(VALUE(G1345)&lt;117,"LOW", "VALUE IN RANGE")))</f>
        <v>VALUE IN RANGE</v>
      </c>
    </row>
    <row r="1346" spans="3:8" x14ac:dyDescent="0.25">
      <c r="C1346" s="13"/>
      <c r="D1346" s="4" t="s">
        <v>1555</v>
      </c>
      <c r="E1346" s="4" t="s">
        <v>161</v>
      </c>
      <c r="F1346" s="3" t="s">
        <v>393</v>
      </c>
      <c r="G1346" s="3">
        <f t="shared" si="1368"/>
        <v>10.8</v>
      </c>
      <c r="H1346" s="14" t="str">
        <f t="shared" ref="H1346" si="1434">IF(NOT(ISNUMBER(VALUE(G1346))), "NA",IF(VALUE(G1346)&gt;12,"HIGH",IF(VALUE(G1346)&lt;7,"LOW", "VALUE IN RANGE")))</f>
        <v>VALUE IN RANGE</v>
      </c>
    </row>
    <row r="1347" spans="3:8" ht="15" customHeight="1" x14ac:dyDescent="0.25">
      <c r="C1347" s="13" t="str">
        <f t="shared" ref="C1347" si="1435">IF(D1347=D1362,D1361,"falso")</f>
        <v>PATIENT_0085</v>
      </c>
      <c r="D1347" s="4" t="s">
        <v>1556</v>
      </c>
      <c r="E1347" s="1" t="s">
        <v>134</v>
      </c>
      <c r="F1347" s="5" t="s">
        <v>844</v>
      </c>
      <c r="G1347" s="3">
        <f t="shared" si="1368"/>
        <v>58.5</v>
      </c>
      <c r="H1347" s="14" t="str">
        <f t="shared" ref="H1347" si="1436">IF(NOT(ISNUMBER(VALUE(G1347))), "NA",IF(VALUE(G1347)&gt;17,"HIGH",IF(VALUE(G1347)&lt;6,"LOW", "VALUE IN RANGE")))</f>
        <v>HIGH</v>
      </c>
    </row>
    <row r="1348" spans="3:8" x14ac:dyDescent="0.25">
      <c r="C1348" s="13"/>
      <c r="D1348" s="4" t="s">
        <v>1556</v>
      </c>
      <c r="E1348" s="4" t="s">
        <v>136</v>
      </c>
      <c r="F1348" s="3" t="s">
        <v>845</v>
      </c>
      <c r="G1348" s="3">
        <f t="shared" ref="G1348:G1411" si="1437">IFERROR(
   VALUE(
      SUBSTITUTE(
         CLEAN(
            TRIM(F1348)
         ),
         ".",
         ","
      )
   ),
   ""
)</f>
        <v>12.7</v>
      </c>
      <c r="H1348" s="14" t="str">
        <f t="shared" ref="H1348" si="1438">IF(NOT(ISNUMBER(VALUE(G1348))), "NA",IF(VALUE(G1348)&gt;30,"HIGH",IF(VALUE(G1348)&lt;12,"LOW", "VALUE IN RANGE")))</f>
        <v>VALUE IN RANGE</v>
      </c>
    </row>
    <row r="1349" spans="3:8" x14ac:dyDescent="0.25">
      <c r="C1349" s="13"/>
      <c r="D1349" s="4" t="s">
        <v>1556</v>
      </c>
      <c r="E1349" s="1" t="s">
        <v>7</v>
      </c>
      <c r="F1349" s="5" t="s">
        <v>757</v>
      </c>
      <c r="G1349" s="3">
        <f t="shared" si="1437"/>
        <v>6.7</v>
      </c>
      <c r="H1349" s="14" t="str">
        <f t="shared" ref="H1349" si="1439">IF(NOT(ISNUMBER(VALUE(G1349))), "NA",IF(VALUE(G1349)&gt;9,"HIGH",IF(VALUE(G1349)&lt;2,"LOW", "VALUE IN RANGE")))</f>
        <v>VALUE IN RANGE</v>
      </c>
    </row>
    <row r="1350" spans="3:8" x14ac:dyDescent="0.25">
      <c r="C1350" s="13"/>
      <c r="D1350" s="4" t="s">
        <v>1556</v>
      </c>
      <c r="E1350" s="4" t="s">
        <v>139</v>
      </c>
      <c r="F1350" s="3" t="s">
        <v>846</v>
      </c>
      <c r="G1350" s="3">
        <f t="shared" si="1437"/>
        <v>80.599999999999994</v>
      </c>
      <c r="H1350" s="14" t="str">
        <f t="shared" ref="H1350" si="1440">IF(NOT(ISNUMBER(VALUE(G1350))), "NA",IF(VALUE(G1350)&gt;83,"HIGH",IF(VALUE(G1350)&lt;60,"LOW", "VALUE IN RANGE")))</f>
        <v>VALUE IN RANGE</v>
      </c>
    </row>
    <row r="1351" spans="3:8" x14ac:dyDescent="0.25">
      <c r="C1351" s="13"/>
      <c r="D1351" s="4" t="s">
        <v>1556</v>
      </c>
      <c r="E1351" s="1" t="s">
        <v>141</v>
      </c>
      <c r="F1351" s="5">
        <v>7400</v>
      </c>
      <c r="G1351" s="3">
        <f t="shared" si="1437"/>
        <v>7400</v>
      </c>
      <c r="H1351" s="14" t="str">
        <f t="shared" ref="H1351" si="1441">IF(NOT(ISNUMBER(VALUE(G1351))), "NA",IF(VALUE(G1351)&gt;5.1,"HIGH",IF(VALUE(G1351)&lt;0.8,"LOW", "VALUE IN RANGE")))</f>
        <v>HIGH</v>
      </c>
    </row>
    <row r="1352" spans="3:8" x14ac:dyDescent="0.25">
      <c r="C1352" s="13"/>
      <c r="D1352" s="4" t="s">
        <v>1556</v>
      </c>
      <c r="E1352" s="4" t="s">
        <v>143</v>
      </c>
      <c r="F1352" s="3">
        <v>3900</v>
      </c>
      <c r="G1352" s="3">
        <f t="shared" si="1437"/>
        <v>3900</v>
      </c>
      <c r="H1352" s="14" t="str">
        <f t="shared" ref="H1352" si="1442">IF(NOT(ISNUMBER(VALUE(G1352))), "NA",IF(VALUE(G1352)&gt;1.8,"HIGH",IF(VALUE(G1352)&lt;0,"LOW", "VALUE IN RANGE")))</f>
        <v>HIGH</v>
      </c>
    </row>
    <row r="1353" spans="3:8" x14ac:dyDescent="0.25">
      <c r="C1353" s="13"/>
      <c r="D1353" s="4" t="s">
        <v>1556</v>
      </c>
      <c r="E1353" s="1" t="s">
        <v>144</v>
      </c>
      <c r="F1353" s="5">
        <v>47200</v>
      </c>
      <c r="G1353" s="3">
        <f t="shared" si="1437"/>
        <v>47200</v>
      </c>
      <c r="H1353" s="14" t="str">
        <f t="shared" ref="H1353" si="1443">IF(NOT(ISNUMBER(VALUE(G1353))), "NA",IF(VALUE(G1353)&gt;12.6,"HIGH",IF(VALUE(G1353)&lt;4,"LOW", "VALUE IN RANGE")))</f>
        <v>HIGH</v>
      </c>
    </row>
    <row r="1354" spans="3:8" x14ac:dyDescent="0.25">
      <c r="C1354" s="13"/>
      <c r="D1354" s="4" t="s">
        <v>1556</v>
      </c>
      <c r="E1354" s="4" t="s">
        <v>146</v>
      </c>
      <c r="F1354" s="3" t="s">
        <v>850</v>
      </c>
      <c r="G1354" s="3">
        <f t="shared" si="1437"/>
        <v>7.76</v>
      </c>
      <c r="H1354" s="14" t="str">
        <f t="shared" ref="H1354" si="1444">IF(NOT(ISNUMBER(VALUE(G1354))), "NA",IF(VALUE(G1354)&gt;8.5,"HIGH",IF(VALUE(G1354)&lt;5.5,"LOW", "VALUE IN RANGE")))</f>
        <v>VALUE IN RANGE</v>
      </c>
    </row>
    <row r="1355" spans="3:8" x14ac:dyDescent="0.25">
      <c r="C1355" s="13"/>
      <c r="D1355" s="4" t="s">
        <v>1556</v>
      </c>
      <c r="E1355" s="1" t="s">
        <v>148</v>
      </c>
      <c r="F1355" s="5">
        <v>82</v>
      </c>
      <c r="G1355" s="3">
        <f t="shared" si="1437"/>
        <v>82</v>
      </c>
      <c r="H1355" s="14" t="str">
        <f t="shared" ref="H1355" si="1445">IF(NOT(ISNUMBER(VALUE(G1355))), "NA",IF(VALUE(G1355)&gt;190,"HIGH",IF(VALUE(G1355)&lt;110,"LOW", "VALUE IN RANGE")))</f>
        <v>LOW</v>
      </c>
    </row>
    <row r="1356" spans="3:8" x14ac:dyDescent="0.25">
      <c r="C1356" s="13"/>
      <c r="D1356" s="4" t="s">
        <v>1556</v>
      </c>
      <c r="E1356" s="4" t="s">
        <v>150</v>
      </c>
      <c r="F1356" s="3" t="s">
        <v>851</v>
      </c>
      <c r="G1356" s="3">
        <f t="shared" si="1437"/>
        <v>31.5</v>
      </c>
      <c r="H1356" s="14" t="str">
        <f t="shared" ref="H1356" si="1446">IF(NOT(ISNUMBER(VALUE(G1356))), "NA",IF(VALUE(G1356)&gt;56,"HIGH",IF(VALUE(G1356)&lt;39,"LOW", "VALUE IN RANGE")))</f>
        <v>LOW</v>
      </c>
    </row>
    <row r="1357" spans="3:8" x14ac:dyDescent="0.25">
      <c r="C1357" s="13"/>
      <c r="D1357" s="4" t="s">
        <v>1556</v>
      </c>
      <c r="E1357" s="1" t="s">
        <v>152</v>
      </c>
      <c r="F1357" s="5" t="s">
        <v>852</v>
      </c>
      <c r="G1357" s="3">
        <f t="shared" si="1437"/>
        <v>40.700000000000003</v>
      </c>
      <c r="H1357" s="14" t="str">
        <f t="shared" ref="H1357" si="1447">IF(NOT(ISNUMBER(VALUE(G1357))), "NA",IF(VALUE(G1357)&gt;72,"HIGH",IF(VALUE(G1357)&lt;62,"LOW", "VALUE IN RANGE")))</f>
        <v>LOW</v>
      </c>
    </row>
    <row r="1358" spans="3:8" x14ac:dyDescent="0.25">
      <c r="C1358" s="13"/>
      <c r="D1358" s="4" t="s">
        <v>1556</v>
      </c>
      <c r="E1358" s="4" t="s">
        <v>154</v>
      </c>
      <c r="F1358" s="3" t="s">
        <v>330</v>
      </c>
      <c r="G1358" s="3">
        <f t="shared" si="1437"/>
        <v>10.5</v>
      </c>
      <c r="H1358" s="14" t="str">
        <f t="shared" ref="H1358" si="1448">IF(NOT(ISNUMBER(VALUE(G1358))), "NA",IF(VALUE(G1358)&gt;25,"HIGH",IF(VALUE(G1358)&lt;20,"LOW", "VALUE IN RANGE")))</f>
        <v>LOW</v>
      </c>
    </row>
    <row r="1359" spans="3:8" x14ac:dyDescent="0.25">
      <c r="C1359" s="13"/>
      <c r="D1359" s="4" t="s">
        <v>1556</v>
      </c>
      <c r="E1359" s="1" t="s">
        <v>27</v>
      </c>
      <c r="F1359" s="5">
        <v>260</v>
      </c>
      <c r="G1359" s="3">
        <f t="shared" si="1437"/>
        <v>260</v>
      </c>
      <c r="H1359" s="14" t="str">
        <f t="shared" ref="H1359" si="1449">IF(NOT(ISNUMBER(VALUE(G1359))), "NA",IF(VALUE(G1359)&gt;380,"HIGH",IF(VALUE(G1359)&lt;300,"LOW", "VALUE IN RANGE")))</f>
        <v>LOW</v>
      </c>
    </row>
    <row r="1360" spans="3:8" x14ac:dyDescent="0.25">
      <c r="C1360" s="13"/>
      <c r="D1360" s="4" t="s">
        <v>1556</v>
      </c>
      <c r="E1360" s="4" t="s">
        <v>157</v>
      </c>
      <c r="F1360" s="3" t="s">
        <v>198</v>
      </c>
      <c r="G1360" s="3">
        <f t="shared" si="1437"/>
        <v>17.399999999999999</v>
      </c>
      <c r="H1360" s="14" t="str">
        <f t="shared" ref="H1360" si="1450">IF(NOT(ISNUMBER(VALUE(G1360))), "NA",IF(VALUE(G1360)&gt;15.5,"HIGH",IF(VALUE(G1360)&lt;11,"LOW", "VALUE IN RANGE")))</f>
        <v>HIGH</v>
      </c>
    </row>
    <row r="1361" spans="3:8" x14ac:dyDescent="0.25">
      <c r="C1361" s="13"/>
      <c r="D1361" s="4" t="s">
        <v>1556</v>
      </c>
      <c r="E1361" s="1" t="s">
        <v>159</v>
      </c>
      <c r="F1361" s="5">
        <v>626</v>
      </c>
      <c r="G1361" s="3">
        <f t="shared" si="1437"/>
        <v>626</v>
      </c>
      <c r="H1361" s="14" t="str">
        <f t="shared" ref="H1361" si="1451">IF(NOT(ISNUMBER(VALUE(G1361))), "NA",IF(VALUE(G1361)&gt;460,"HIGH",IF(VALUE(G1361)&lt;117,"LOW", "VALUE IN RANGE")))</f>
        <v>HIGH</v>
      </c>
    </row>
    <row r="1362" spans="3:8" x14ac:dyDescent="0.25">
      <c r="C1362" s="13"/>
      <c r="D1362" s="4" t="s">
        <v>1556</v>
      </c>
      <c r="E1362" s="4" t="s">
        <v>161</v>
      </c>
      <c r="F1362" s="3" t="s">
        <v>795</v>
      </c>
      <c r="G1362" s="3">
        <f t="shared" si="1437"/>
        <v>11.3</v>
      </c>
      <c r="H1362" s="14" t="str">
        <f t="shared" ref="H1362" si="1452">IF(NOT(ISNUMBER(VALUE(G1362))), "NA",IF(VALUE(G1362)&gt;12,"HIGH",IF(VALUE(G1362)&lt;7,"LOW", "VALUE IN RANGE")))</f>
        <v>VALUE IN RANGE</v>
      </c>
    </row>
    <row r="1363" spans="3:8" ht="15" customHeight="1" x14ac:dyDescent="0.25">
      <c r="C1363" s="13" t="str">
        <f t="shared" ref="C1363" si="1453">IF(D1363=D1378,D1377,"falso")</f>
        <v>PATIENT_0086</v>
      </c>
      <c r="D1363" s="4" t="s">
        <v>1557</v>
      </c>
      <c r="E1363" s="1" t="s">
        <v>3</v>
      </c>
      <c r="F1363" s="5" t="s">
        <v>726</v>
      </c>
      <c r="G1363" s="3">
        <f t="shared" si="1437"/>
        <v>7.9</v>
      </c>
      <c r="H1363" s="14" t="str">
        <f t="shared" ref="H1363" si="1454">IF(NOT(ISNUMBER(VALUE(G1363))), "NA",IF(VALUE(G1363)&gt;17,"HIGH",IF(VALUE(G1363)&lt;6,"LOW", "VALUE IN RANGE")))</f>
        <v>VALUE IN RANGE</v>
      </c>
    </row>
    <row r="1364" spans="3:8" x14ac:dyDescent="0.25">
      <c r="C1364" s="13"/>
      <c r="D1364" s="4" t="s">
        <v>1557</v>
      </c>
      <c r="E1364" s="4" t="s">
        <v>5</v>
      </c>
      <c r="F1364" s="3" t="s">
        <v>855</v>
      </c>
      <c r="G1364" s="3">
        <f t="shared" si="1437"/>
        <v>0.5</v>
      </c>
      <c r="H1364" s="14" t="str">
        <f t="shared" ref="H1364" si="1455">IF(NOT(ISNUMBER(VALUE(G1364))), "NA",IF(VALUE(G1364)&gt;30,"HIGH",IF(VALUE(G1364)&lt;12,"LOW", "VALUE IN RANGE")))</f>
        <v>LOW</v>
      </c>
    </row>
    <row r="1365" spans="3:8" x14ac:dyDescent="0.25">
      <c r="C1365" s="13"/>
      <c r="D1365" s="4" t="s">
        <v>1557</v>
      </c>
      <c r="E1365" s="1" t="s">
        <v>7</v>
      </c>
      <c r="F1365" s="5" t="s">
        <v>772</v>
      </c>
      <c r="G1365" s="3">
        <f t="shared" si="1437"/>
        <v>1.6</v>
      </c>
      <c r="H1365" s="14" t="str">
        <f t="shared" ref="H1365" si="1456">IF(NOT(ISNUMBER(VALUE(G1365))), "NA",IF(VALUE(G1365)&gt;9,"HIGH",IF(VALUE(G1365)&lt;2,"LOW", "VALUE IN RANGE")))</f>
        <v>LOW</v>
      </c>
    </row>
    <row r="1366" spans="3:8" x14ac:dyDescent="0.25">
      <c r="C1366" s="13"/>
      <c r="D1366" s="4" t="s">
        <v>1557</v>
      </c>
      <c r="E1366" s="4" t="s">
        <v>9</v>
      </c>
      <c r="F1366" s="3" t="s">
        <v>856</v>
      </c>
      <c r="G1366" s="3">
        <f t="shared" si="1437"/>
        <v>97.9</v>
      </c>
      <c r="H1366" s="14" t="str">
        <f t="shared" ref="H1366" si="1457">IF(NOT(ISNUMBER(VALUE(G1366))), "NA",IF(VALUE(G1366)&gt;83,"HIGH",IF(VALUE(G1366)&lt;60,"LOW", "VALUE IN RANGE")))</f>
        <v>HIGH</v>
      </c>
    </row>
    <row r="1367" spans="3:8" x14ac:dyDescent="0.25">
      <c r="C1367" s="13"/>
      <c r="D1367" s="4" t="s">
        <v>1557</v>
      </c>
      <c r="E1367" s="1" t="s">
        <v>11</v>
      </c>
      <c r="F1367" s="5" t="s">
        <v>39</v>
      </c>
      <c r="G1367" s="3">
        <f t="shared" si="1437"/>
        <v>0</v>
      </c>
      <c r="H1367" s="14" t="str">
        <f t="shared" ref="H1367" si="1458">IF(NOT(ISNUMBER(VALUE(G1367))), "NA",IF(VALUE(G1367)&gt;5.1,"HIGH",IF(VALUE(G1367)&lt;0.8,"LOW", "VALUE IN RANGE")))</f>
        <v>LOW</v>
      </c>
    </row>
    <row r="1368" spans="3:8" x14ac:dyDescent="0.25">
      <c r="C1368" s="13"/>
      <c r="D1368" s="4" t="s">
        <v>1557</v>
      </c>
      <c r="E1368" s="4" t="s">
        <v>13</v>
      </c>
      <c r="F1368" s="3" t="s">
        <v>40</v>
      </c>
      <c r="G1368" s="3">
        <f t="shared" si="1437"/>
        <v>0.1</v>
      </c>
      <c r="H1368" s="14" t="str">
        <f t="shared" ref="H1368" si="1459">IF(NOT(ISNUMBER(VALUE(G1368))), "NA",IF(VALUE(G1368)&gt;1.8,"HIGH",IF(VALUE(G1368)&lt;0,"LOW", "VALUE IN RANGE")))</f>
        <v>VALUE IN RANGE</v>
      </c>
    </row>
    <row r="1369" spans="3:8" x14ac:dyDescent="0.25">
      <c r="C1369" s="13"/>
      <c r="D1369" s="4" t="s">
        <v>1557</v>
      </c>
      <c r="E1369" s="1" t="s">
        <v>15</v>
      </c>
      <c r="F1369" s="5">
        <v>7800</v>
      </c>
      <c r="G1369" s="3">
        <f t="shared" si="1437"/>
        <v>7800</v>
      </c>
      <c r="H1369" s="14" t="str">
        <f t="shared" ref="H1369" si="1460">IF(NOT(ISNUMBER(VALUE(G1369))), "NA",IF(VALUE(G1369)&gt;12.6,"HIGH",IF(VALUE(G1369)&lt;4,"LOW", "VALUE IN RANGE")))</f>
        <v>HIGH</v>
      </c>
    </row>
    <row r="1370" spans="3:8" x14ac:dyDescent="0.25">
      <c r="C1370" s="13"/>
      <c r="D1370" s="4" t="s">
        <v>1557</v>
      </c>
      <c r="E1370" s="4" t="s">
        <v>17</v>
      </c>
      <c r="F1370" s="3" t="s">
        <v>857</v>
      </c>
      <c r="G1370" s="3">
        <f t="shared" si="1437"/>
        <v>5.29</v>
      </c>
      <c r="H1370" s="14" t="str">
        <f t="shared" ref="H1370" si="1461">IF(NOT(ISNUMBER(VALUE(G1370))), "NA",IF(VALUE(G1370)&gt;8.5,"HIGH",IF(VALUE(G1370)&lt;5.5,"LOW", "VALUE IN RANGE")))</f>
        <v>LOW</v>
      </c>
    </row>
    <row r="1371" spans="3:8" x14ac:dyDescent="0.25">
      <c r="C1371" s="13"/>
      <c r="D1371" s="4" t="s">
        <v>1557</v>
      </c>
      <c r="E1371" s="1" t="s">
        <v>19</v>
      </c>
      <c r="F1371" s="5">
        <v>115</v>
      </c>
      <c r="G1371" s="3">
        <f t="shared" si="1437"/>
        <v>115</v>
      </c>
      <c r="H1371" s="14" t="str">
        <f t="shared" ref="H1371" si="1462">IF(NOT(ISNUMBER(VALUE(G1371))), "NA",IF(VALUE(G1371)&gt;190,"HIGH",IF(VALUE(G1371)&lt;110,"LOW", "VALUE IN RANGE")))</f>
        <v>VALUE IN RANGE</v>
      </c>
    </row>
    <row r="1372" spans="3:8" x14ac:dyDescent="0.25">
      <c r="C1372" s="13"/>
      <c r="D1372" s="4" t="s">
        <v>1557</v>
      </c>
      <c r="E1372" s="4" t="s">
        <v>21</v>
      </c>
      <c r="F1372" s="3" t="s">
        <v>859</v>
      </c>
      <c r="G1372" s="3">
        <f t="shared" si="1437"/>
        <v>35.299999999999997</v>
      </c>
      <c r="H1372" s="14" t="str">
        <f t="shared" ref="H1372" si="1463">IF(NOT(ISNUMBER(VALUE(G1372))), "NA",IF(VALUE(G1372)&gt;56,"HIGH",IF(VALUE(G1372)&lt;39,"LOW", "VALUE IN RANGE")))</f>
        <v>LOW</v>
      </c>
    </row>
    <row r="1373" spans="3:8" x14ac:dyDescent="0.25">
      <c r="C1373" s="13"/>
      <c r="D1373" s="4" t="s">
        <v>1557</v>
      </c>
      <c r="E1373" s="1" t="s">
        <v>23</v>
      </c>
      <c r="F1373" s="5" t="s">
        <v>860</v>
      </c>
      <c r="G1373" s="3">
        <f t="shared" si="1437"/>
        <v>66.8</v>
      </c>
      <c r="H1373" s="14" t="str">
        <f t="shared" ref="H1373" si="1464">IF(NOT(ISNUMBER(VALUE(G1373))), "NA",IF(VALUE(G1373)&gt;72,"HIGH",IF(VALUE(G1373)&lt;62,"LOW", "VALUE IN RANGE")))</f>
        <v>VALUE IN RANGE</v>
      </c>
    </row>
    <row r="1374" spans="3:8" x14ac:dyDescent="0.25">
      <c r="C1374" s="13"/>
      <c r="D1374" s="4" t="s">
        <v>1557</v>
      </c>
      <c r="E1374" s="4" t="s">
        <v>25</v>
      </c>
      <c r="F1374" s="3" t="s">
        <v>669</v>
      </c>
      <c r="G1374" s="3">
        <f t="shared" si="1437"/>
        <v>21.7</v>
      </c>
      <c r="H1374" s="14" t="str">
        <f t="shared" ref="H1374" si="1465">IF(NOT(ISNUMBER(VALUE(G1374))), "NA",IF(VALUE(G1374)&gt;25,"HIGH",IF(VALUE(G1374)&lt;20,"LOW", "VALUE IN RANGE")))</f>
        <v>VALUE IN RANGE</v>
      </c>
    </row>
    <row r="1375" spans="3:8" x14ac:dyDescent="0.25">
      <c r="C1375" s="13"/>
      <c r="D1375" s="4" t="s">
        <v>1557</v>
      </c>
      <c r="E1375" s="1" t="s">
        <v>27</v>
      </c>
      <c r="F1375" s="5">
        <v>325</v>
      </c>
      <c r="G1375" s="3">
        <f t="shared" si="1437"/>
        <v>325</v>
      </c>
      <c r="H1375" s="14" t="str">
        <f t="shared" ref="H1375" si="1466">IF(NOT(ISNUMBER(VALUE(G1375))), "NA",IF(VALUE(G1375)&gt;380,"HIGH",IF(VALUE(G1375)&lt;300,"LOW", "VALUE IN RANGE")))</f>
        <v>VALUE IN RANGE</v>
      </c>
    </row>
    <row r="1376" spans="3:8" x14ac:dyDescent="0.25">
      <c r="C1376" s="13"/>
      <c r="D1376" s="4" t="s">
        <v>1557</v>
      </c>
      <c r="E1376" s="4" t="s">
        <v>29</v>
      </c>
      <c r="F1376" s="3" t="s">
        <v>383</v>
      </c>
      <c r="G1376" s="3">
        <f t="shared" si="1437"/>
        <v>12</v>
      </c>
      <c r="H1376" s="14" t="str">
        <f t="shared" ref="H1376" si="1467">IF(NOT(ISNUMBER(VALUE(G1376))), "NA",IF(VALUE(G1376)&gt;15.5,"HIGH",IF(VALUE(G1376)&lt;11,"LOW", "VALUE IN RANGE")))</f>
        <v>VALUE IN RANGE</v>
      </c>
    </row>
    <row r="1377" spans="3:8" x14ac:dyDescent="0.25">
      <c r="C1377" s="13"/>
      <c r="D1377" s="4" t="s">
        <v>1557</v>
      </c>
      <c r="E1377" s="1" t="s">
        <v>31</v>
      </c>
      <c r="F1377" s="5">
        <v>11</v>
      </c>
      <c r="G1377" s="3">
        <f t="shared" si="1437"/>
        <v>11</v>
      </c>
      <c r="H1377" s="14" t="str">
        <f t="shared" ref="H1377" si="1468">IF(NOT(ISNUMBER(VALUE(G1377))), "NA",IF(VALUE(G1377)&gt;460,"HIGH",IF(VALUE(G1377)&lt;117,"LOW", "VALUE IN RANGE")))</f>
        <v>LOW</v>
      </c>
    </row>
    <row r="1378" spans="3:8" x14ac:dyDescent="0.25">
      <c r="C1378" s="13"/>
      <c r="D1378" s="4" t="s">
        <v>1557</v>
      </c>
      <c r="E1378" s="4" t="s">
        <v>33</v>
      </c>
      <c r="F1378" s="3" t="s">
        <v>266</v>
      </c>
      <c r="G1378" s="3">
        <f t="shared" si="1437"/>
        <v>8.1</v>
      </c>
      <c r="H1378" s="14" t="str">
        <f t="shared" ref="H1378" si="1469">IF(NOT(ISNUMBER(VALUE(G1378))), "NA",IF(VALUE(G1378)&gt;12,"HIGH",IF(VALUE(G1378)&lt;7,"LOW", "VALUE IN RANGE")))</f>
        <v>VALUE IN RANGE</v>
      </c>
    </row>
    <row r="1379" spans="3:8" ht="15" customHeight="1" x14ac:dyDescent="0.25">
      <c r="C1379" s="13" t="str">
        <f t="shared" ref="C1379" si="1470">IF(D1379=D1394,D1393,"falso")</f>
        <v>PATIENT_0087</v>
      </c>
      <c r="D1379" s="4" t="s">
        <v>1558</v>
      </c>
      <c r="E1379" s="1" t="s">
        <v>134</v>
      </c>
      <c r="F1379" s="5" t="s">
        <v>120</v>
      </c>
      <c r="G1379" s="3">
        <f t="shared" si="1437"/>
        <v>17.2</v>
      </c>
      <c r="H1379" s="14" t="str">
        <f t="shared" ref="H1379" si="1471">IF(NOT(ISNUMBER(VALUE(G1379))), "NA",IF(VALUE(G1379)&gt;17,"HIGH",IF(VALUE(G1379)&lt;6,"LOW", "VALUE IN RANGE")))</f>
        <v>HIGH</v>
      </c>
    </row>
    <row r="1380" spans="3:8" x14ac:dyDescent="0.25">
      <c r="C1380" s="13"/>
      <c r="D1380" s="4" t="s">
        <v>1558</v>
      </c>
      <c r="E1380" s="4" t="s">
        <v>136</v>
      </c>
      <c r="F1380" s="3" t="s">
        <v>862</v>
      </c>
      <c r="G1380" s="3">
        <f t="shared" si="1437"/>
        <v>21.6</v>
      </c>
      <c r="H1380" s="14" t="str">
        <f t="shared" ref="H1380" si="1472">IF(NOT(ISNUMBER(VALUE(G1380))), "NA",IF(VALUE(G1380)&gt;30,"HIGH",IF(VALUE(G1380)&lt;12,"LOW", "VALUE IN RANGE")))</f>
        <v>VALUE IN RANGE</v>
      </c>
    </row>
    <row r="1381" spans="3:8" x14ac:dyDescent="0.25">
      <c r="C1381" s="13"/>
      <c r="D1381" s="4" t="s">
        <v>1558</v>
      </c>
      <c r="E1381" s="1" t="s">
        <v>7</v>
      </c>
      <c r="F1381" s="5" t="s">
        <v>702</v>
      </c>
      <c r="G1381" s="3">
        <f t="shared" si="1437"/>
        <v>17.8</v>
      </c>
      <c r="H1381" s="14" t="str">
        <f t="shared" ref="H1381" si="1473">IF(NOT(ISNUMBER(VALUE(G1381))), "NA",IF(VALUE(G1381)&gt;9,"HIGH",IF(VALUE(G1381)&lt;2,"LOW", "VALUE IN RANGE")))</f>
        <v>HIGH</v>
      </c>
    </row>
    <row r="1382" spans="3:8" x14ac:dyDescent="0.25">
      <c r="C1382" s="13"/>
      <c r="D1382" s="4" t="s">
        <v>1558</v>
      </c>
      <c r="E1382" s="4" t="s">
        <v>139</v>
      </c>
      <c r="F1382" s="3" t="s">
        <v>863</v>
      </c>
      <c r="G1382" s="3">
        <f t="shared" si="1437"/>
        <v>60.6</v>
      </c>
      <c r="H1382" s="14" t="str">
        <f t="shared" ref="H1382" si="1474">IF(NOT(ISNUMBER(VALUE(G1382))), "NA",IF(VALUE(G1382)&gt;83,"HIGH",IF(VALUE(G1382)&lt;60,"LOW", "VALUE IN RANGE")))</f>
        <v>VALUE IN RANGE</v>
      </c>
    </row>
    <row r="1383" spans="3:8" x14ac:dyDescent="0.25">
      <c r="C1383" s="13"/>
      <c r="D1383" s="4" t="s">
        <v>1558</v>
      </c>
      <c r="E1383" s="1" t="s">
        <v>141</v>
      </c>
      <c r="F1383" s="5">
        <v>3700</v>
      </c>
      <c r="G1383" s="3">
        <f t="shared" si="1437"/>
        <v>3700</v>
      </c>
      <c r="H1383" s="14" t="str">
        <f t="shared" ref="H1383" si="1475">IF(NOT(ISNUMBER(VALUE(G1383))), "NA",IF(VALUE(G1383)&gt;5.1,"HIGH",IF(VALUE(G1383)&lt;0.8,"LOW", "VALUE IN RANGE")))</f>
        <v>HIGH</v>
      </c>
    </row>
    <row r="1384" spans="3:8" x14ac:dyDescent="0.25">
      <c r="C1384" s="13"/>
      <c r="D1384" s="4" t="s">
        <v>1558</v>
      </c>
      <c r="E1384" s="4" t="s">
        <v>143</v>
      </c>
      <c r="F1384" s="3">
        <v>3000</v>
      </c>
      <c r="G1384" s="3">
        <f t="shared" si="1437"/>
        <v>3000</v>
      </c>
      <c r="H1384" s="14" t="str">
        <f t="shared" ref="H1384" si="1476">IF(NOT(ISNUMBER(VALUE(G1384))), "NA",IF(VALUE(G1384)&gt;1.8,"HIGH",IF(VALUE(G1384)&lt;0,"LOW", "VALUE IN RANGE")))</f>
        <v>HIGH</v>
      </c>
    </row>
    <row r="1385" spans="3:8" x14ac:dyDescent="0.25">
      <c r="C1385" s="13"/>
      <c r="D1385" s="4" t="s">
        <v>1558</v>
      </c>
      <c r="E1385" s="1" t="s">
        <v>144</v>
      </c>
      <c r="F1385" s="5">
        <v>10500</v>
      </c>
      <c r="G1385" s="3">
        <f t="shared" si="1437"/>
        <v>10500</v>
      </c>
      <c r="H1385" s="14" t="str">
        <f t="shared" ref="H1385" si="1477">IF(NOT(ISNUMBER(VALUE(G1385))), "NA",IF(VALUE(G1385)&gt;12.6,"HIGH",IF(VALUE(G1385)&lt;4,"LOW", "VALUE IN RANGE")))</f>
        <v>HIGH</v>
      </c>
    </row>
    <row r="1386" spans="3:8" x14ac:dyDescent="0.25">
      <c r="C1386" s="13"/>
      <c r="D1386" s="4" t="s">
        <v>1558</v>
      </c>
      <c r="E1386" s="4" t="s">
        <v>146</v>
      </c>
      <c r="F1386" s="3" t="s">
        <v>601</v>
      </c>
      <c r="G1386" s="3">
        <f t="shared" si="1437"/>
        <v>8.64</v>
      </c>
      <c r="H1386" s="14" t="str">
        <f t="shared" ref="H1386" si="1478">IF(NOT(ISNUMBER(VALUE(G1386))), "NA",IF(VALUE(G1386)&gt;8.5,"HIGH",IF(VALUE(G1386)&lt;5.5,"LOW", "VALUE IN RANGE")))</f>
        <v>HIGH</v>
      </c>
    </row>
    <row r="1387" spans="3:8" x14ac:dyDescent="0.25">
      <c r="C1387" s="13"/>
      <c r="D1387" s="4" t="s">
        <v>1558</v>
      </c>
      <c r="E1387" s="1" t="s">
        <v>148</v>
      </c>
      <c r="F1387" s="5">
        <v>124</v>
      </c>
      <c r="G1387" s="3">
        <f t="shared" si="1437"/>
        <v>124</v>
      </c>
      <c r="H1387" s="14" t="str">
        <f t="shared" ref="H1387" si="1479">IF(NOT(ISNUMBER(VALUE(G1387))), "NA",IF(VALUE(G1387)&gt;190,"HIGH",IF(VALUE(G1387)&lt;110,"LOW", "VALUE IN RANGE")))</f>
        <v>VALUE IN RANGE</v>
      </c>
    </row>
    <row r="1388" spans="3:8" x14ac:dyDescent="0.25">
      <c r="C1388" s="13"/>
      <c r="D1388" s="4" t="s">
        <v>1558</v>
      </c>
      <c r="E1388" s="4" t="s">
        <v>150</v>
      </c>
      <c r="F1388" s="3" t="s">
        <v>619</v>
      </c>
      <c r="G1388" s="3">
        <f t="shared" si="1437"/>
        <v>43.2</v>
      </c>
      <c r="H1388" s="14" t="str">
        <f t="shared" ref="H1388" si="1480">IF(NOT(ISNUMBER(VALUE(G1388))), "NA",IF(VALUE(G1388)&gt;56,"HIGH",IF(VALUE(G1388)&lt;39,"LOW", "VALUE IN RANGE")))</f>
        <v>VALUE IN RANGE</v>
      </c>
    </row>
    <row r="1389" spans="3:8" x14ac:dyDescent="0.25">
      <c r="C1389" s="13"/>
      <c r="D1389" s="4" t="s">
        <v>1558</v>
      </c>
      <c r="E1389" s="1" t="s">
        <v>152</v>
      </c>
      <c r="F1389" s="5" t="s">
        <v>865</v>
      </c>
      <c r="G1389" s="3">
        <f t="shared" si="1437"/>
        <v>50.1</v>
      </c>
      <c r="H1389" s="14" t="str">
        <f t="shared" ref="H1389" si="1481">IF(NOT(ISNUMBER(VALUE(G1389))), "NA",IF(VALUE(G1389)&gt;72,"HIGH",IF(VALUE(G1389)&lt;62,"LOW", "VALUE IN RANGE")))</f>
        <v>LOW</v>
      </c>
    </row>
    <row r="1390" spans="3:8" x14ac:dyDescent="0.25">
      <c r="C1390" s="13"/>
      <c r="D1390" s="4" t="s">
        <v>1558</v>
      </c>
      <c r="E1390" s="4" t="s">
        <v>154</v>
      </c>
      <c r="F1390" s="3" t="s">
        <v>130</v>
      </c>
      <c r="G1390" s="3">
        <f t="shared" si="1437"/>
        <v>14.3</v>
      </c>
      <c r="H1390" s="14" t="str">
        <f t="shared" ref="H1390" si="1482">IF(NOT(ISNUMBER(VALUE(G1390))), "NA",IF(VALUE(G1390)&gt;25,"HIGH",IF(VALUE(G1390)&lt;20,"LOW", "VALUE IN RANGE")))</f>
        <v>LOW</v>
      </c>
    </row>
    <row r="1391" spans="3:8" x14ac:dyDescent="0.25">
      <c r="C1391" s="13"/>
      <c r="D1391" s="4" t="s">
        <v>1558</v>
      </c>
      <c r="E1391" s="1" t="s">
        <v>27</v>
      </c>
      <c r="F1391" s="5">
        <v>287</v>
      </c>
      <c r="G1391" s="3">
        <f t="shared" si="1437"/>
        <v>287</v>
      </c>
      <c r="H1391" s="14" t="str">
        <f t="shared" ref="H1391" si="1483">IF(NOT(ISNUMBER(VALUE(G1391))), "NA",IF(VALUE(G1391)&gt;380,"HIGH",IF(VALUE(G1391)&lt;300,"LOW", "VALUE IN RANGE")))</f>
        <v>LOW</v>
      </c>
    </row>
    <row r="1392" spans="3:8" x14ac:dyDescent="0.25">
      <c r="C1392" s="13"/>
      <c r="D1392" s="4" t="s">
        <v>1558</v>
      </c>
      <c r="E1392" s="4" t="s">
        <v>157</v>
      </c>
      <c r="F1392" s="3" t="s">
        <v>867</v>
      </c>
      <c r="G1392" s="3">
        <f t="shared" si="1437"/>
        <v>16.600000000000001</v>
      </c>
      <c r="H1392" s="14" t="str">
        <f t="shared" ref="H1392" si="1484">IF(NOT(ISNUMBER(VALUE(G1392))), "NA",IF(VALUE(G1392)&gt;15.5,"HIGH",IF(VALUE(G1392)&lt;11,"LOW", "VALUE IN RANGE")))</f>
        <v>HIGH</v>
      </c>
    </row>
    <row r="1393" spans="3:8" x14ac:dyDescent="0.25">
      <c r="C1393" s="13"/>
      <c r="D1393" s="4" t="s">
        <v>1558</v>
      </c>
      <c r="E1393" s="1" t="s">
        <v>159</v>
      </c>
      <c r="F1393" s="5">
        <v>130</v>
      </c>
      <c r="G1393" s="3">
        <f t="shared" si="1437"/>
        <v>130</v>
      </c>
      <c r="H1393" s="14" t="str">
        <f t="shared" ref="H1393" si="1485">IF(NOT(ISNUMBER(VALUE(G1393))), "NA",IF(VALUE(G1393)&gt;460,"HIGH",IF(VALUE(G1393)&lt;117,"LOW", "VALUE IN RANGE")))</f>
        <v>VALUE IN RANGE</v>
      </c>
    </row>
    <row r="1394" spans="3:8" x14ac:dyDescent="0.25">
      <c r="C1394" s="13"/>
      <c r="D1394" s="4" t="s">
        <v>1558</v>
      </c>
      <c r="E1394" s="4" t="s">
        <v>161</v>
      </c>
      <c r="F1394" s="3" t="s">
        <v>816</v>
      </c>
      <c r="G1394" s="3">
        <f t="shared" si="1437"/>
        <v>11.5</v>
      </c>
      <c r="H1394" s="14" t="str">
        <f t="shared" ref="H1394" si="1486">IF(NOT(ISNUMBER(VALUE(G1394))), "NA",IF(VALUE(G1394)&gt;12,"HIGH",IF(VALUE(G1394)&lt;7,"LOW", "VALUE IN RANGE")))</f>
        <v>VALUE IN RANGE</v>
      </c>
    </row>
    <row r="1395" spans="3:8" ht="15" customHeight="1" x14ac:dyDescent="0.25">
      <c r="C1395" s="13" t="str">
        <f t="shared" ref="C1395" si="1487">IF(D1395=D1410,D1409,"falso")</f>
        <v>PATIENT_0088</v>
      </c>
      <c r="D1395" s="4" t="s">
        <v>1559</v>
      </c>
      <c r="E1395" s="1" t="s">
        <v>3</v>
      </c>
      <c r="F1395" s="5" t="s">
        <v>516</v>
      </c>
      <c r="G1395" s="3">
        <f t="shared" si="1437"/>
        <v>11.1</v>
      </c>
      <c r="H1395" s="14" t="str">
        <f t="shared" ref="H1395" si="1488">IF(NOT(ISNUMBER(VALUE(G1395))), "NA",IF(VALUE(G1395)&gt;17,"HIGH",IF(VALUE(G1395)&lt;6,"LOW", "VALUE IN RANGE")))</f>
        <v>VALUE IN RANGE</v>
      </c>
    </row>
    <row r="1396" spans="3:8" x14ac:dyDescent="0.25">
      <c r="C1396" s="13"/>
      <c r="D1396" s="4" t="s">
        <v>1559</v>
      </c>
      <c r="E1396" s="4" t="s">
        <v>5</v>
      </c>
      <c r="F1396" s="3" t="s">
        <v>868</v>
      </c>
      <c r="G1396" s="3">
        <f t="shared" si="1437"/>
        <v>11.8</v>
      </c>
      <c r="H1396" s="14" t="str">
        <f t="shared" ref="H1396" si="1489">IF(NOT(ISNUMBER(VALUE(G1396))), "NA",IF(VALUE(G1396)&gt;30,"HIGH",IF(VALUE(G1396)&lt;12,"LOW", "VALUE IN RANGE")))</f>
        <v>LOW</v>
      </c>
    </row>
    <row r="1397" spans="3:8" x14ac:dyDescent="0.25">
      <c r="C1397" s="13"/>
      <c r="D1397" s="4" t="s">
        <v>1559</v>
      </c>
      <c r="E1397" s="1" t="s">
        <v>7</v>
      </c>
      <c r="F1397" s="5" t="s">
        <v>135</v>
      </c>
      <c r="G1397" s="3">
        <f t="shared" si="1437"/>
        <v>3.8</v>
      </c>
      <c r="H1397" s="14" t="str">
        <f t="shared" ref="H1397" si="1490">IF(NOT(ISNUMBER(VALUE(G1397))), "NA",IF(VALUE(G1397)&gt;9,"HIGH",IF(VALUE(G1397)&lt;2,"LOW", "VALUE IN RANGE")))</f>
        <v>VALUE IN RANGE</v>
      </c>
    </row>
    <row r="1398" spans="3:8" x14ac:dyDescent="0.25">
      <c r="C1398" s="13"/>
      <c r="D1398" s="4" t="s">
        <v>1559</v>
      </c>
      <c r="E1398" s="4" t="s">
        <v>9</v>
      </c>
      <c r="F1398" s="3" t="s">
        <v>823</v>
      </c>
      <c r="G1398" s="3">
        <f t="shared" si="1437"/>
        <v>84.4</v>
      </c>
      <c r="H1398" s="14" t="str">
        <f t="shared" ref="H1398" si="1491">IF(NOT(ISNUMBER(VALUE(G1398))), "NA",IF(VALUE(G1398)&gt;83,"HIGH",IF(VALUE(G1398)&lt;60,"LOW", "VALUE IN RANGE")))</f>
        <v>HIGH</v>
      </c>
    </row>
    <row r="1399" spans="3:8" x14ac:dyDescent="0.25">
      <c r="C1399" s="13"/>
      <c r="D1399" s="4" t="s">
        <v>1559</v>
      </c>
      <c r="E1399" s="1" t="s">
        <v>11</v>
      </c>
      <c r="F1399" s="5">
        <v>1300</v>
      </c>
      <c r="G1399" s="3">
        <f t="shared" si="1437"/>
        <v>1300</v>
      </c>
      <c r="H1399" s="14" t="str">
        <f t="shared" ref="H1399" si="1492">IF(NOT(ISNUMBER(VALUE(G1399))), "NA",IF(VALUE(G1399)&gt;5.1,"HIGH",IF(VALUE(G1399)&lt;0.8,"LOW", "VALUE IN RANGE")))</f>
        <v>HIGH</v>
      </c>
    </row>
    <row r="1400" spans="3:8" x14ac:dyDescent="0.25">
      <c r="C1400" s="13"/>
      <c r="D1400" s="4" t="s">
        <v>1559</v>
      </c>
      <c r="E1400" s="4" t="s">
        <v>13</v>
      </c>
      <c r="F1400" s="3" t="s">
        <v>167</v>
      </c>
      <c r="G1400" s="3">
        <f t="shared" si="1437"/>
        <v>0.4</v>
      </c>
      <c r="H1400" s="14" t="str">
        <f t="shared" ref="H1400" si="1493">IF(NOT(ISNUMBER(VALUE(G1400))), "NA",IF(VALUE(G1400)&gt;1.8,"HIGH",IF(VALUE(G1400)&lt;0,"LOW", "VALUE IN RANGE")))</f>
        <v>VALUE IN RANGE</v>
      </c>
    </row>
    <row r="1401" spans="3:8" x14ac:dyDescent="0.25">
      <c r="C1401" s="13"/>
      <c r="D1401" s="4" t="s">
        <v>1559</v>
      </c>
      <c r="E1401" s="1" t="s">
        <v>15</v>
      </c>
      <c r="F1401" s="5">
        <v>9400</v>
      </c>
      <c r="G1401" s="3">
        <f t="shared" si="1437"/>
        <v>9400</v>
      </c>
      <c r="H1401" s="14" t="str">
        <f t="shared" ref="H1401" si="1494">IF(NOT(ISNUMBER(VALUE(G1401))), "NA",IF(VALUE(G1401)&gt;12.6,"HIGH",IF(VALUE(G1401)&lt;4,"LOW", "VALUE IN RANGE")))</f>
        <v>HIGH</v>
      </c>
    </row>
    <row r="1402" spans="3:8" x14ac:dyDescent="0.25">
      <c r="C1402" s="13"/>
      <c r="D1402" s="4" t="s">
        <v>1559</v>
      </c>
      <c r="E1402" s="4" t="s">
        <v>17</v>
      </c>
      <c r="F1402" s="3" t="s">
        <v>869</v>
      </c>
      <c r="G1402" s="3">
        <f t="shared" si="1437"/>
        <v>4.54</v>
      </c>
      <c r="H1402" s="14" t="str">
        <f t="shared" ref="H1402" si="1495">IF(NOT(ISNUMBER(VALUE(G1402))), "NA",IF(VALUE(G1402)&gt;8.5,"HIGH",IF(VALUE(G1402)&lt;5.5,"LOW", "VALUE IN RANGE")))</f>
        <v>LOW</v>
      </c>
    </row>
    <row r="1403" spans="3:8" x14ac:dyDescent="0.25">
      <c r="C1403" s="13"/>
      <c r="D1403" s="4" t="s">
        <v>1559</v>
      </c>
      <c r="E1403" s="1" t="s">
        <v>19</v>
      </c>
      <c r="F1403" s="5">
        <v>95</v>
      </c>
      <c r="G1403" s="3">
        <f t="shared" si="1437"/>
        <v>95</v>
      </c>
      <c r="H1403" s="14" t="str">
        <f t="shared" ref="H1403" si="1496">IF(NOT(ISNUMBER(VALUE(G1403))), "NA",IF(VALUE(G1403)&gt;190,"HIGH",IF(VALUE(G1403)&lt;110,"LOW", "VALUE IN RANGE")))</f>
        <v>LOW</v>
      </c>
    </row>
    <row r="1404" spans="3:8" x14ac:dyDescent="0.25">
      <c r="C1404" s="13"/>
      <c r="D1404" s="4" t="s">
        <v>1559</v>
      </c>
      <c r="E1404" s="4" t="s">
        <v>21</v>
      </c>
      <c r="F1404" s="3" t="s">
        <v>770</v>
      </c>
      <c r="G1404" s="3">
        <f t="shared" si="1437"/>
        <v>29.1</v>
      </c>
      <c r="H1404" s="14" t="str">
        <f t="shared" ref="H1404" si="1497">IF(NOT(ISNUMBER(VALUE(G1404))), "NA",IF(VALUE(G1404)&gt;56,"HIGH",IF(VALUE(G1404)&lt;39,"LOW", "VALUE IN RANGE")))</f>
        <v>LOW</v>
      </c>
    </row>
    <row r="1405" spans="3:8" x14ac:dyDescent="0.25">
      <c r="C1405" s="13"/>
      <c r="D1405" s="4" t="s">
        <v>1559</v>
      </c>
      <c r="E1405" s="1" t="s">
        <v>23</v>
      </c>
      <c r="F1405" s="5" t="s">
        <v>522</v>
      </c>
      <c r="G1405" s="3">
        <f t="shared" si="1437"/>
        <v>64.3</v>
      </c>
      <c r="H1405" s="14" t="str">
        <f t="shared" ref="H1405" si="1498">IF(NOT(ISNUMBER(VALUE(G1405))), "NA",IF(VALUE(G1405)&gt;72,"HIGH",IF(VALUE(G1405)&lt;62,"LOW", "VALUE IN RANGE")))</f>
        <v>VALUE IN RANGE</v>
      </c>
    </row>
    <row r="1406" spans="3:8" x14ac:dyDescent="0.25">
      <c r="C1406" s="13"/>
      <c r="D1406" s="4" t="s">
        <v>1559</v>
      </c>
      <c r="E1406" s="4" t="s">
        <v>25</v>
      </c>
      <c r="F1406" s="3" t="s">
        <v>101</v>
      </c>
      <c r="G1406" s="3">
        <f t="shared" si="1437"/>
        <v>20.9</v>
      </c>
      <c r="H1406" s="14" t="str">
        <f t="shared" ref="H1406" si="1499">IF(NOT(ISNUMBER(VALUE(G1406))), "NA",IF(VALUE(G1406)&gt;25,"HIGH",IF(VALUE(G1406)&lt;20,"LOW", "VALUE IN RANGE")))</f>
        <v>VALUE IN RANGE</v>
      </c>
    </row>
    <row r="1407" spans="3:8" x14ac:dyDescent="0.25">
      <c r="C1407" s="13"/>
      <c r="D1407" s="4" t="s">
        <v>1559</v>
      </c>
      <c r="E1407" s="1" t="s">
        <v>27</v>
      </c>
      <c r="F1407" s="5">
        <v>326</v>
      </c>
      <c r="G1407" s="3">
        <f t="shared" si="1437"/>
        <v>326</v>
      </c>
      <c r="H1407" s="14" t="str">
        <f t="shared" ref="H1407" si="1500">IF(NOT(ISNUMBER(VALUE(G1407))), "NA",IF(VALUE(G1407)&gt;380,"HIGH",IF(VALUE(G1407)&lt;300,"LOW", "VALUE IN RANGE")))</f>
        <v>VALUE IN RANGE</v>
      </c>
    </row>
    <row r="1408" spans="3:8" x14ac:dyDescent="0.25">
      <c r="C1408" s="13"/>
      <c r="D1408" s="4" t="s">
        <v>1559</v>
      </c>
      <c r="E1408" s="4" t="s">
        <v>29</v>
      </c>
      <c r="F1408" s="3" t="s">
        <v>327</v>
      </c>
      <c r="G1408" s="3">
        <f t="shared" si="1437"/>
        <v>13.7</v>
      </c>
      <c r="H1408" s="14" t="str">
        <f t="shared" ref="H1408" si="1501">IF(NOT(ISNUMBER(VALUE(G1408))), "NA",IF(VALUE(G1408)&gt;15.5,"HIGH",IF(VALUE(G1408)&lt;11,"LOW", "VALUE IN RANGE")))</f>
        <v>VALUE IN RANGE</v>
      </c>
    </row>
    <row r="1409" spans="3:8" x14ac:dyDescent="0.25">
      <c r="C1409" s="13"/>
      <c r="D1409" s="4" t="s">
        <v>1559</v>
      </c>
      <c r="E1409" s="1" t="s">
        <v>31</v>
      </c>
      <c r="F1409" s="5">
        <v>231</v>
      </c>
      <c r="G1409" s="3">
        <f t="shared" si="1437"/>
        <v>231</v>
      </c>
      <c r="H1409" s="14" t="str">
        <f t="shared" ref="H1409" si="1502">IF(NOT(ISNUMBER(VALUE(G1409))), "NA",IF(VALUE(G1409)&gt;460,"HIGH",IF(VALUE(G1409)&lt;117,"LOW", "VALUE IN RANGE")))</f>
        <v>VALUE IN RANGE</v>
      </c>
    </row>
    <row r="1410" spans="3:8" x14ac:dyDescent="0.25">
      <c r="C1410" s="13"/>
      <c r="D1410" s="4" t="s">
        <v>1559</v>
      </c>
      <c r="E1410" s="4" t="s">
        <v>33</v>
      </c>
      <c r="F1410" s="3" t="s">
        <v>463</v>
      </c>
      <c r="G1410" s="3">
        <f t="shared" si="1437"/>
        <v>9</v>
      </c>
      <c r="H1410" s="14" t="str">
        <f t="shared" ref="H1410" si="1503">IF(NOT(ISNUMBER(VALUE(G1410))), "NA",IF(VALUE(G1410)&gt;12,"HIGH",IF(VALUE(G1410)&lt;7,"LOW", "VALUE IN RANGE")))</f>
        <v>VALUE IN RANGE</v>
      </c>
    </row>
    <row r="1411" spans="3:8" ht="15" customHeight="1" x14ac:dyDescent="0.25">
      <c r="C1411" s="13" t="str">
        <f t="shared" ref="C1411" si="1504">IF(D1411=D1426,D1425,"falso")</f>
        <v>PATIENT_0089</v>
      </c>
      <c r="D1411" s="4" t="s">
        <v>1560</v>
      </c>
      <c r="E1411" s="1" t="s">
        <v>3</v>
      </c>
      <c r="F1411" s="5" t="s">
        <v>190</v>
      </c>
      <c r="G1411" s="3">
        <f t="shared" si="1437"/>
        <v>5.4</v>
      </c>
      <c r="H1411" s="14" t="str">
        <f t="shared" ref="H1411" si="1505">IF(NOT(ISNUMBER(VALUE(G1411))), "NA",IF(VALUE(G1411)&gt;17,"HIGH",IF(VALUE(G1411)&lt;6,"LOW", "VALUE IN RANGE")))</f>
        <v>LOW</v>
      </c>
    </row>
    <row r="1412" spans="3:8" x14ac:dyDescent="0.25">
      <c r="C1412" s="13"/>
      <c r="D1412" s="4" t="s">
        <v>1560</v>
      </c>
      <c r="E1412" s="4" t="s">
        <v>5</v>
      </c>
      <c r="F1412" s="3" t="s">
        <v>35</v>
      </c>
      <c r="G1412" s="3">
        <f t="shared" ref="G1412:G1475" si="1506">IFERROR(
   VALUE(
      SUBSTITUTE(
         CLEAN(
            TRIM(F1412)
         ),
         ".",
         ","
      )
   ),
   ""
)</f>
        <v>1</v>
      </c>
      <c r="H1412" s="14" t="str">
        <f t="shared" ref="H1412" si="1507">IF(NOT(ISNUMBER(VALUE(G1412))), "NA",IF(VALUE(G1412)&gt;30,"HIGH",IF(VALUE(G1412)&lt;12,"LOW", "VALUE IN RANGE")))</f>
        <v>LOW</v>
      </c>
    </row>
    <row r="1413" spans="3:8" x14ac:dyDescent="0.25">
      <c r="C1413" s="13"/>
      <c r="D1413" s="4" t="s">
        <v>1560</v>
      </c>
      <c r="E1413" s="1" t="s">
        <v>7</v>
      </c>
      <c r="F1413" s="5" t="s">
        <v>486</v>
      </c>
      <c r="G1413" s="3">
        <f t="shared" si="1506"/>
        <v>2.8</v>
      </c>
      <c r="H1413" s="14" t="str">
        <f t="shared" ref="H1413" si="1508">IF(NOT(ISNUMBER(VALUE(G1413))), "NA",IF(VALUE(G1413)&gt;9,"HIGH",IF(VALUE(G1413)&lt;2,"LOW", "VALUE IN RANGE")))</f>
        <v>VALUE IN RANGE</v>
      </c>
    </row>
    <row r="1414" spans="3:8" x14ac:dyDescent="0.25">
      <c r="C1414" s="13"/>
      <c r="D1414" s="4" t="s">
        <v>1560</v>
      </c>
      <c r="E1414" s="4" t="s">
        <v>9</v>
      </c>
      <c r="F1414" s="3" t="s">
        <v>871</v>
      </c>
      <c r="G1414" s="3">
        <f t="shared" si="1506"/>
        <v>96.2</v>
      </c>
      <c r="H1414" s="14" t="str">
        <f t="shared" ref="H1414" si="1509">IF(NOT(ISNUMBER(VALUE(G1414))), "NA",IF(VALUE(G1414)&gt;83,"HIGH",IF(VALUE(G1414)&lt;60,"LOW", "VALUE IN RANGE")))</f>
        <v>HIGH</v>
      </c>
    </row>
    <row r="1415" spans="3:8" x14ac:dyDescent="0.25">
      <c r="C1415" s="13"/>
      <c r="D1415" s="4" t="s">
        <v>1560</v>
      </c>
      <c r="E1415" s="1" t="s">
        <v>11</v>
      </c>
      <c r="F1415" s="5" t="s">
        <v>39</v>
      </c>
      <c r="G1415" s="3">
        <f t="shared" si="1506"/>
        <v>0</v>
      </c>
      <c r="H1415" s="14" t="str">
        <f t="shared" ref="H1415" si="1510">IF(NOT(ISNUMBER(VALUE(G1415))), "NA",IF(VALUE(G1415)&gt;5.1,"HIGH",IF(VALUE(G1415)&lt;0.8,"LOW", "VALUE IN RANGE")))</f>
        <v>LOW</v>
      </c>
    </row>
    <row r="1416" spans="3:8" x14ac:dyDescent="0.25">
      <c r="C1416" s="13"/>
      <c r="D1416" s="4" t="s">
        <v>1560</v>
      </c>
      <c r="E1416" s="4" t="s">
        <v>13</v>
      </c>
      <c r="F1416" s="3" t="s">
        <v>40</v>
      </c>
      <c r="G1416" s="3">
        <f t="shared" si="1506"/>
        <v>0.1</v>
      </c>
      <c r="H1416" s="14" t="str">
        <f t="shared" ref="H1416" si="1511">IF(NOT(ISNUMBER(VALUE(G1416))), "NA",IF(VALUE(G1416)&gt;1.8,"HIGH",IF(VALUE(G1416)&lt;0,"LOW", "VALUE IN RANGE")))</f>
        <v>VALUE IN RANGE</v>
      </c>
    </row>
    <row r="1417" spans="3:8" x14ac:dyDescent="0.25">
      <c r="C1417" s="13"/>
      <c r="D1417" s="4" t="s">
        <v>1560</v>
      </c>
      <c r="E1417" s="1" t="s">
        <v>15</v>
      </c>
      <c r="F1417" s="5">
        <v>5300</v>
      </c>
      <c r="G1417" s="3">
        <f t="shared" si="1506"/>
        <v>5300</v>
      </c>
      <c r="H1417" s="14" t="str">
        <f t="shared" ref="H1417" si="1512">IF(NOT(ISNUMBER(VALUE(G1417))), "NA",IF(VALUE(G1417)&gt;12.6,"HIGH",IF(VALUE(G1417)&lt;4,"LOW", "VALUE IN RANGE")))</f>
        <v>HIGH</v>
      </c>
    </row>
    <row r="1418" spans="3:8" x14ac:dyDescent="0.25">
      <c r="C1418" s="13"/>
      <c r="D1418" s="4" t="s">
        <v>1560</v>
      </c>
      <c r="E1418" s="4" t="s">
        <v>17</v>
      </c>
      <c r="F1418" s="3" t="s">
        <v>872</v>
      </c>
      <c r="G1418" s="3">
        <f t="shared" si="1506"/>
        <v>5.55</v>
      </c>
      <c r="H1418" s="14" t="str">
        <f t="shared" ref="H1418" si="1513">IF(NOT(ISNUMBER(VALUE(G1418))), "NA",IF(VALUE(G1418)&gt;8.5,"HIGH",IF(VALUE(G1418)&lt;5.5,"LOW", "VALUE IN RANGE")))</f>
        <v>VALUE IN RANGE</v>
      </c>
    </row>
    <row r="1419" spans="3:8" x14ac:dyDescent="0.25">
      <c r="C1419" s="13"/>
      <c r="D1419" s="4" t="s">
        <v>1560</v>
      </c>
      <c r="E1419" s="1" t="s">
        <v>19</v>
      </c>
      <c r="F1419" s="5">
        <v>126</v>
      </c>
      <c r="G1419" s="3">
        <f t="shared" si="1506"/>
        <v>126</v>
      </c>
      <c r="H1419" s="14" t="str">
        <f t="shared" ref="H1419" si="1514">IF(NOT(ISNUMBER(VALUE(G1419))), "NA",IF(VALUE(G1419)&gt;190,"HIGH",IF(VALUE(G1419)&lt;110,"LOW", "VALUE IN RANGE")))</f>
        <v>VALUE IN RANGE</v>
      </c>
    </row>
    <row r="1420" spans="3:8" x14ac:dyDescent="0.25">
      <c r="C1420" s="13"/>
      <c r="D1420" s="4" t="s">
        <v>1560</v>
      </c>
      <c r="E1420" s="4" t="s">
        <v>21</v>
      </c>
      <c r="F1420" s="3" t="s">
        <v>874</v>
      </c>
      <c r="G1420" s="3">
        <f t="shared" si="1506"/>
        <v>39.1</v>
      </c>
      <c r="H1420" s="14" t="str">
        <f t="shared" ref="H1420" si="1515">IF(NOT(ISNUMBER(VALUE(G1420))), "NA",IF(VALUE(G1420)&gt;56,"HIGH",IF(VALUE(G1420)&lt;39,"LOW", "VALUE IN RANGE")))</f>
        <v>VALUE IN RANGE</v>
      </c>
    </row>
    <row r="1421" spans="3:8" x14ac:dyDescent="0.25">
      <c r="C1421" s="13"/>
      <c r="D1421" s="4" t="s">
        <v>1560</v>
      </c>
      <c r="E1421" s="1" t="s">
        <v>23</v>
      </c>
      <c r="F1421" s="5" t="s">
        <v>251</v>
      </c>
      <c r="G1421" s="3">
        <f t="shared" si="1506"/>
        <v>70.5</v>
      </c>
      <c r="H1421" s="14" t="str">
        <f t="shared" ref="H1421" si="1516">IF(NOT(ISNUMBER(VALUE(G1421))), "NA",IF(VALUE(G1421)&gt;72,"HIGH",IF(VALUE(G1421)&lt;62,"LOW", "VALUE IN RANGE")))</f>
        <v>VALUE IN RANGE</v>
      </c>
    </row>
    <row r="1422" spans="3:8" x14ac:dyDescent="0.25">
      <c r="C1422" s="13"/>
      <c r="D1422" s="4" t="s">
        <v>1560</v>
      </c>
      <c r="E1422" s="4" t="s">
        <v>25</v>
      </c>
      <c r="F1422" s="3" t="s">
        <v>381</v>
      </c>
      <c r="G1422" s="3">
        <f t="shared" si="1506"/>
        <v>22.7</v>
      </c>
      <c r="H1422" s="14" t="str">
        <f t="shared" ref="H1422" si="1517">IF(NOT(ISNUMBER(VALUE(G1422))), "NA",IF(VALUE(G1422)&gt;25,"HIGH",IF(VALUE(G1422)&lt;20,"LOW", "VALUE IN RANGE")))</f>
        <v>VALUE IN RANGE</v>
      </c>
    </row>
    <row r="1423" spans="3:8" x14ac:dyDescent="0.25">
      <c r="C1423" s="13"/>
      <c r="D1423" s="4" t="s">
        <v>1560</v>
      </c>
      <c r="E1423" s="1" t="s">
        <v>27</v>
      </c>
      <c r="F1423" s="5">
        <v>322</v>
      </c>
      <c r="G1423" s="3">
        <f t="shared" si="1506"/>
        <v>322</v>
      </c>
      <c r="H1423" s="14" t="str">
        <f t="shared" ref="H1423" si="1518">IF(NOT(ISNUMBER(VALUE(G1423))), "NA",IF(VALUE(G1423)&gt;380,"HIGH",IF(VALUE(G1423)&lt;300,"LOW", "VALUE IN RANGE")))</f>
        <v>VALUE IN RANGE</v>
      </c>
    </row>
    <row r="1424" spans="3:8" x14ac:dyDescent="0.25">
      <c r="C1424" s="13"/>
      <c r="D1424" s="4" t="s">
        <v>1560</v>
      </c>
      <c r="E1424" s="4" t="s">
        <v>29</v>
      </c>
      <c r="F1424" s="3" t="s">
        <v>174</v>
      </c>
      <c r="G1424" s="3">
        <f t="shared" si="1506"/>
        <v>12.5</v>
      </c>
      <c r="H1424" s="14" t="str">
        <f t="shared" ref="H1424" si="1519">IF(NOT(ISNUMBER(VALUE(G1424))), "NA",IF(VALUE(G1424)&gt;15.5,"HIGH",IF(VALUE(G1424)&lt;11,"LOW", "VALUE IN RANGE")))</f>
        <v>VALUE IN RANGE</v>
      </c>
    </row>
    <row r="1425" spans="3:8" x14ac:dyDescent="0.25">
      <c r="C1425" s="13"/>
      <c r="D1425" s="4" t="s">
        <v>1560</v>
      </c>
      <c r="E1425" s="1" t="s">
        <v>31</v>
      </c>
      <c r="F1425" s="5">
        <v>254</v>
      </c>
      <c r="G1425" s="3">
        <f t="shared" si="1506"/>
        <v>254</v>
      </c>
      <c r="H1425" s="14" t="str">
        <f t="shared" ref="H1425" si="1520">IF(NOT(ISNUMBER(VALUE(G1425))), "NA",IF(VALUE(G1425)&gt;460,"HIGH",IF(VALUE(G1425)&lt;117,"LOW", "VALUE IN RANGE")))</f>
        <v>VALUE IN RANGE</v>
      </c>
    </row>
    <row r="1426" spans="3:8" x14ac:dyDescent="0.25">
      <c r="C1426" s="13"/>
      <c r="D1426" s="4" t="s">
        <v>1560</v>
      </c>
      <c r="E1426" s="4" t="s">
        <v>33</v>
      </c>
      <c r="F1426" s="3" t="s">
        <v>875</v>
      </c>
      <c r="G1426" s="3">
        <f t="shared" si="1506"/>
        <v>7.2</v>
      </c>
      <c r="H1426" s="14" t="str">
        <f t="shared" ref="H1426" si="1521">IF(NOT(ISNUMBER(VALUE(G1426))), "NA",IF(VALUE(G1426)&gt;12,"HIGH",IF(VALUE(G1426)&lt;7,"LOW", "VALUE IN RANGE")))</f>
        <v>VALUE IN RANGE</v>
      </c>
    </row>
    <row r="1427" spans="3:8" ht="15" customHeight="1" x14ac:dyDescent="0.25">
      <c r="C1427" s="13" t="str">
        <f t="shared" ref="C1427" si="1522">IF(D1427=D1442,D1441,"falso")</f>
        <v>PATIENT_0090</v>
      </c>
      <c r="D1427" s="4" t="s">
        <v>1561</v>
      </c>
      <c r="E1427" s="1" t="s">
        <v>3</v>
      </c>
      <c r="F1427" s="5" t="s">
        <v>280</v>
      </c>
      <c r="G1427" s="3">
        <f t="shared" si="1506"/>
        <v>8.8000000000000007</v>
      </c>
      <c r="H1427" s="14" t="str">
        <f t="shared" ref="H1427" si="1523">IF(NOT(ISNUMBER(VALUE(G1427))), "NA",IF(VALUE(G1427)&gt;17,"HIGH",IF(VALUE(G1427)&lt;6,"LOW", "VALUE IN RANGE")))</f>
        <v>VALUE IN RANGE</v>
      </c>
    </row>
    <row r="1428" spans="3:8" x14ac:dyDescent="0.25">
      <c r="C1428" s="13"/>
      <c r="D1428" s="4" t="s">
        <v>1561</v>
      </c>
      <c r="E1428" s="4" t="s">
        <v>5</v>
      </c>
      <c r="F1428" s="3" t="s">
        <v>439</v>
      </c>
      <c r="G1428" s="3">
        <f t="shared" si="1506"/>
        <v>12.3</v>
      </c>
      <c r="H1428" s="14" t="str">
        <f t="shared" ref="H1428" si="1524">IF(NOT(ISNUMBER(VALUE(G1428))), "NA",IF(VALUE(G1428)&gt;30,"HIGH",IF(VALUE(G1428)&lt;12,"LOW", "VALUE IN RANGE")))</f>
        <v>VALUE IN RANGE</v>
      </c>
    </row>
    <row r="1429" spans="3:8" x14ac:dyDescent="0.25">
      <c r="C1429" s="13"/>
      <c r="D1429" s="4" t="s">
        <v>1561</v>
      </c>
      <c r="E1429" s="1" t="s">
        <v>7</v>
      </c>
      <c r="F1429" s="5" t="s">
        <v>417</v>
      </c>
      <c r="G1429" s="3">
        <f t="shared" si="1506"/>
        <v>4.2</v>
      </c>
      <c r="H1429" s="14" t="str">
        <f t="shared" ref="H1429" si="1525">IF(NOT(ISNUMBER(VALUE(G1429))), "NA",IF(VALUE(G1429)&gt;9,"HIGH",IF(VALUE(G1429)&lt;2,"LOW", "VALUE IN RANGE")))</f>
        <v>VALUE IN RANGE</v>
      </c>
    </row>
    <row r="1430" spans="3:8" x14ac:dyDescent="0.25">
      <c r="C1430" s="13"/>
      <c r="D1430" s="4" t="s">
        <v>1561</v>
      </c>
      <c r="E1430" s="4" t="s">
        <v>9</v>
      </c>
      <c r="F1430" s="3" t="s">
        <v>876</v>
      </c>
      <c r="G1430" s="3">
        <f t="shared" si="1506"/>
        <v>83.5</v>
      </c>
      <c r="H1430" s="14" t="str">
        <f t="shared" ref="H1430" si="1526">IF(NOT(ISNUMBER(VALUE(G1430))), "NA",IF(VALUE(G1430)&gt;83,"HIGH",IF(VALUE(G1430)&lt;60,"LOW", "VALUE IN RANGE")))</f>
        <v>HIGH</v>
      </c>
    </row>
    <row r="1431" spans="3:8" x14ac:dyDescent="0.25">
      <c r="C1431" s="13"/>
      <c r="D1431" s="4" t="s">
        <v>1561</v>
      </c>
      <c r="E1431" s="1" t="s">
        <v>11</v>
      </c>
      <c r="F1431" s="5">
        <v>1000</v>
      </c>
      <c r="G1431" s="3">
        <f t="shared" si="1506"/>
        <v>1000</v>
      </c>
      <c r="H1431" s="14" t="str">
        <f t="shared" ref="H1431" si="1527">IF(NOT(ISNUMBER(VALUE(G1431))), "NA",IF(VALUE(G1431)&gt;5.1,"HIGH",IF(VALUE(G1431)&lt;0.8,"LOW", "VALUE IN RANGE")))</f>
        <v>HIGH</v>
      </c>
    </row>
    <row r="1432" spans="3:8" x14ac:dyDescent="0.25">
      <c r="C1432" s="13"/>
      <c r="D1432" s="4" t="s">
        <v>1561</v>
      </c>
      <c r="E1432" s="4" t="s">
        <v>13</v>
      </c>
      <c r="F1432" s="3" t="s">
        <v>14</v>
      </c>
      <c r="G1432" s="3">
        <f t="shared" si="1506"/>
        <v>0.3</v>
      </c>
      <c r="H1432" s="14" t="str">
        <f t="shared" ref="H1432" si="1528">IF(NOT(ISNUMBER(VALUE(G1432))), "NA",IF(VALUE(G1432)&gt;1.8,"HIGH",IF(VALUE(G1432)&lt;0,"LOW", "VALUE IN RANGE")))</f>
        <v>VALUE IN RANGE</v>
      </c>
    </row>
    <row r="1433" spans="3:8" x14ac:dyDescent="0.25">
      <c r="C1433" s="13"/>
      <c r="D1433" s="4" t="s">
        <v>1561</v>
      </c>
      <c r="E1433" s="1" t="s">
        <v>15</v>
      </c>
      <c r="F1433" s="5">
        <v>7500</v>
      </c>
      <c r="G1433" s="3">
        <f t="shared" si="1506"/>
        <v>7500</v>
      </c>
      <c r="H1433" s="14" t="str">
        <f t="shared" ref="H1433" si="1529">IF(NOT(ISNUMBER(VALUE(G1433))), "NA",IF(VALUE(G1433)&gt;12.6,"HIGH",IF(VALUE(G1433)&lt;4,"LOW", "VALUE IN RANGE")))</f>
        <v>HIGH</v>
      </c>
    </row>
    <row r="1434" spans="3:8" x14ac:dyDescent="0.25">
      <c r="C1434" s="13"/>
      <c r="D1434" s="4" t="s">
        <v>1561</v>
      </c>
      <c r="E1434" s="4" t="s">
        <v>17</v>
      </c>
      <c r="F1434" s="3" t="s">
        <v>877</v>
      </c>
      <c r="G1434" s="3">
        <f t="shared" si="1506"/>
        <v>5.85</v>
      </c>
      <c r="H1434" s="14" t="str">
        <f t="shared" ref="H1434" si="1530">IF(NOT(ISNUMBER(VALUE(G1434))), "NA",IF(VALUE(G1434)&gt;8.5,"HIGH",IF(VALUE(G1434)&lt;5.5,"LOW", "VALUE IN RANGE")))</f>
        <v>VALUE IN RANGE</v>
      </c>
    </row>
    <row r="1435" spans="3:8" x14ac:dyDescent="0.25">
      <c r="C1435" s="13"/>
      <c r="D1435" s="4" t="s">
        <v>1561</v>
      </c>
      <c r="E1435" s="1" t="s">
        <v>19</v>
      </c>
      <c r="F1435" s="5">
        <v>132</v>
      </c>
      <c r="G1435" s="3">
        <f t="shared" si="1506"/>
        <v>132</v>
      </c>
      <c r="H1435" s="14" t="str">
        <f t="shared" ref="H1435" si="1531">IF(NOT(ISNUMBER(VALUE(G1435))), "NA",IF(VALUE(G1435)&gt;190,"HIGH",IF(VALUE(G1435)&lt;110,"LOW", "VALUE IN RANGE")))</f>
        <v>VALUE IN RANGE</v>
      </c>
    </row>
    <row r="1436" spans="3:8" x14ac:dyDescent="0.25">
      <c r="C1436" s="13"/>
      <c r="D1436" s="4" t="s">
        <v>1561</v>
      </c>
      <c r="E1436" s="4" t="s">
        <v>21</v>
      </c>
      <c r="F1436" s="3" t="s">
        <v>878</v>
      </c>
      <c r="G1436" s="3">
        <f t="shared" si="1506"/>
        <v>36.9</v>
      </c>
      <c r="H1436" s="14" t="str">
        <f t="shared" ref="H1436" si="1532">IF(NOT(ISNUMBER(VALUE(G1436))), "NA",IF(VALUE(G1436)&gt;56,"HIGH",IF(VALUE(G1436)&lt;39,"LOW", "VALUE IN RANGE")))</f>
        <v>LOW</v>
      </c>
    </row>
    <row r="1437" spans="3:8" x14ac:dyDescent="0.25">
      <c r="C1437" s="13"/>
      <c r="D1437" s="4" t="s">
        <v>1561</v>
      </c>
      <c r="E1437" s="1" t="s">
        <v>23</v>
      </c>
      <c r="F1437" s="5" t="s">
        <v>879</v>
      </c>
      <c r="G1437" s="3">
        <f t="shared" si="1506"/>
        <v>63.2</v>
      </c>
      <c r="H1437" s="14" t="str">
        <f t="shared" ref="H1437" si="1533">IF(NOT(ISNUMBER(VALUE(G1437))), "NA",IF(VALUE(G1437)&gt;72,"HIGH",IF(VALUE(G1437)&lt;62,"LOW", "VALUE IN RANGE")))</f>
        <v>VALUE IN RANGE</v>
      </c>
    </row>
    <row r="1438" spans="3:8" x14ac:dyDescent="0.25">
      <c r="C1438" s="13"/>
      <c r="D1438" s="4" t="s">
        <v>1561</v>
      </c>
      <c r="E1438" s="4" t="s">
        <v>25</v>
      </c>
      <c r="F1438" s="3" t="s">
        <v>290</v>
      </c>
      <c r="G1438" s="3">
        <f t="shared" si="1506"/>
        <v>22.5</v>
      </c>
      <c r="H1438" s="14" t="str">
        <f t="shared" ref="H1438" si="1534">IF(NOT(ISNUMBER(VALUE(G1438))), "NA",IF(VALUE(G1438)&gt;25,"HIGH",IF(VALUE(G1438)&lt;20,"LOW", "VALUE IN RANGE")))</f>
        <v>VALUE IN RANGE</v>
      </c>
    </row>
    <row r="1439" spans="3:8" x14ac:dyDescent="0.25">
      <c r="C1439" s="13"/>
      <c r="D1439" s="4" t="s">
        <v>1561</v>
      </c>
      <c r="E1439" s="1" t="s">
        <v>27</v>
      </c>
      <c r="F1439" s="5">
        <v>357</v>
      </c>
      <c r="G1439" s="3">
        <f t="shared" si="1506"/>
        <v>357</v>
      </c>
      <c r="H1439" s="14" t="str">
        <f t="shared" ref="H1439" si="1535">IF(NOT(ISNUMBER(VALUE(G1439))), "NA",IF(VALUE(G1439)&gt;380,"HIGH",IF(VALUE(G1439)&lt;300,"LOW", "VALUE IN RANGE")))</f>
        <v>VALUE IN RANGE</v>
      </c>
    </row>
    <row r="1440" spans="3:8" x14ac:dyDescent="0.25">
      <c r="C1440" s="13"/>
      <c r="D1440" s="4" t="s">
        <v>1561</v>
      </c>
      <c r="E1440" s="4" t="s">
        <v>29</v>
      </c>
      <c r="F1440" s="3" t="s">
        <v>58</v>
      </c>
      <c r="G1440" s="3">
        <f t="shared" si="1506"/>
        <v>12.7</v>
      </c>
      <c r="H1440" s="14" t="str">
        <f t="shared" ref="H1440" si="1536">IF(NOT(ISNUMBER(VALUE(G1440))), "NA",IF(VALUE(G1440)&gt;15.5,"HIGH",IF(VALUE(G1440)&lt;11,"LOW", "VALUE IN RANGE")))</f>
        <v>VALUE IN RANGE</v>
      </c>
    </row>
    <row r="1441" spans="3:8" x14ac:dyDescent="0.25">
      <c r="C1441" s="13"/>
      <c r="D1441" s="4" t="s">
        <v>1561</v>
      </c>
      <c r="E1441" s="1" t="s">
        <v>31</v>
      </c>
      <c r="F1441" s="5">
        <v>446</v>
      </c>
      <c r="G1441" s="3">
        <f t="shared" si="1506"/>
        <v>446</v>
      </c>
      <c r="H1441" s="14" t="str">
        <f t="shared" ref="H1441" si="1537">IF(NOT(ISNUMBER(VALUE(G1441))), "NA",IF(VALUE(G1441)&gt;460,"HIGH",IF(VALUE(G1441)&lt;117,"LOW", "VALUE IN RANGE")))</f>
        <v>VALUE IN RANGE</v>
      </c>
    </row>
    <row r="1442" spans="3:8" x14ac:dyDescent="0.25">
      <c r="C1442" s="13"/>
      <c r="D1442" s="4" t="s">
        <v>1561</v>
      </c>
      <c r="E1442" s="4" t="s">
        <v>33</v>
      </c>
      <c r="F1442" s="3" t="s">
        <v>645</v>
      </c>
      <c r="G1442" s="3">
        <f t="shared" si="1506"/>
        <v>7.5</v>
      </c>
      <c r="H1442" s="14" t="str">
        <f t="shared" ref="H1442" si="1538">IF(NOT(ISNUMBER(VALUE(G1442))), "NA",IF(VALUE(G1442)&gt;12,"HIGH",IF(VALUE(G1442)&lt;7,"LOW", "VALUE IN RANGE")))</f>
        <v>VALUE IN RANGE</v>
      </c>
    </row>
    <row r="1443" spans="3:8" ht="15" customHeight="1" x14ac:dyDescent="0.25">
      <c r="C1443" s="13" t="str">
        <f t="shared" ref="C1443" si="1539">IF(D1443=D1458,D1457,"falso")</f>
        <v>PATIENT_0091</v>
      </c>
      <c r="D1443" s="4" t="s">
        <v>1562</v>
      </c>
      <c r="E1443" s="1" t="s">
        <v>3</v>
      </c>
      <c r="F1443" s="5" t="s">
        <v>593</v>
      </c>
      <c r="G1443" s="3">
        <f t="shared" si="1506"/>
        <v>4.3</v>
      </c>
      <c r="H1443" s="14" t="str">
        <f t="shared" ref="H1443" si="1540">IF(NOT(ISNUMBER(VALUE(G1443))), "NA",IF(VALUE(G1443)&gt;17,"HIGH",IF(VALUE(G1443)&lt;6,"LOW", "VALUE IN RANGE")))</f>
        <v>LOW</v>
      </c>
    </row>
    <row r="1444" spans="3:8" x14ac:dyDescent="0.25">
      <c r="C1444" s="13"/>
      <c r="D1444" s="4" t="s">
        <v>1562</v>
      </c>
      <c r="E1444" s="4" t="s">
        <v>5</v>
      </c>
      <c r="F1444" s="3" t="s">
        <v>684</v>
      </c>
      <c r="G1444" s="3">
        <f t="shared" si="1506"/>
        <v>3.2</v>
      </c>
      <c r="H1444" s="14" t="str">
        <f t="shared" ref="H1444" si="1541">IF(NOT(ISNUMBER(VALUE(G1444))), "NA",IF(VALUE(G1444)&gt;30,"HIGH",IF(VALUE(G1444)&lt;12,"LOW", "VALUE IN RANGE")))</f>
        <v>LOW</v>
      </c>
    </row>
    <row r="1445" spans="3:8" x14ac:dyDescent="0.25">
      <c r="C1445" s="13"/>
      <c r="D1445" s="4" t="s">
        <v>1562</v>
      </c>
      <c r="E1445" s="1" t="s">
        <v>7</v>
      </c>
      <c r="F1445" s="5" t="s">
        <v>631</v>
      </c>
      <c r="G1445" s="3">
        <f t="shared" si="1506"/>
        <v>5.6</v>
      </c>
      <c r="H1445" s="14" t="str">
        <f t="shared" ref="H1445" si="1542">IF(NOT(ISNUMBER(VALUE(G1445))), "NA",IF(VALUE(G1445)&gt;9,"HIGH",IF(VALUE(G1445)&lt;2,"LOW", "VALUE IN RANGE")))</f>
        <v>VALUE IN RANGE</v>
      </c>
    </row>
    <row r="1446" spans="3:8" x14ac:dyDescent="0.25">
      <c r="C1446" s="13"/>
      <c r="D1446" s="4" t="s">
        <v>1562</v>
      </c>
      <c r="E1446" s="4" t="s">
        <v>9</v>
      </c>
      <c r="F1446" s="3" t="s">
        <v>882</v>
      </c>
      <c r="G1446" s="3">
        <f t="shared" si="1506"/>
        <v>91.2</v>
      </c>
      <c r="H1446" s="14" t="str">
        <f t="shared" ref="H1446" si="1543">IF(NOT(ISNUMBER(VALUE(G1446))), "NA",IF(VALUE(G1446)&gt;83,"HIGH",IF(VALUE(G1446)&lt;60,"LOW", "VALUE IN RANGE")))</f>
        <v>HIGH</v>
      </c>
    </row>
    <row r="1447" spans="3:8" x14ac:dyDescent="0.25">
      <c r="C1447" s="13"/>
      <c r="D1447" s="4" t="s">
        <v>1562</v>
      </c>
      <c r="E1447" s="1" t="s">
        <v>11</v>
      </c>
      <c r="F1447" s="5" t="s">
        <v>40</v>
      </c>
      <c r="G1447" s="3">
        <f t="shared" si="1506"/>
        <v>0.1</v>
      </c>
      <c r="H1447" s="14" t="str">
        <f t="shared" ref="H1447" si="1544">IF(NOT(ISNUMBER(VALUE(G1447))), "NA",IF(VALUE(G1447)&gt;5.1,"HIGH",IF(VALUE(G1447)&lt;0.8,"LOW", "VALUE IN RANGE")))</f>
        <v>LOW</v>
      </c>
    </row>
    <row r="1448" spans="3:8" x14ac:dyDescent="0.25">
      <c r="C1448" s="13"/>
      <c r="D1448" s="4" t="s">
        <v>1562</v>
      </c>
      <c r="E1448" s="4" t="s">
        <v>13</v>
      </c>
      <c r="F1448" s="3" t="s">
        <v>51</v>
      </c>
      <c r="G1448" s="3">
        <f t="shared" si="1506"/>
        <v>0.2</v>
      </c>
      <c r="H1448" s="14" t="str">
        <f t="shared" ref="H1448" si="1545">IF(NOT(ISNUMBER(VALUE(G1448))), "NA",IF(VALUE(G1448)&gt;1.8,"HIGH",IF(VALUE(G1448)&lt;0,"LOW", "VALUE IN RANGE")))</f>
        <v>VALUE IN RANGE</v>
      </c>
    </row>
    <row r="1449" spans="3:8" x14ac:dyDescent="0.25">
      <c r="C1449" s="13"/>
      <c r="D1449" s="4" t="s">
        <v>1562</v>
      </c>
      <c r="E1449" s="1" t="s">
        <v>15</v>
      </c>
      <c r="F1449" s="5">
        <v>4000</v>
      </c>
      <c r="G1449" s="3">
        <f t="shared" si="1506"/>
        <v>4000</v>
      </c>
      <c r="H1449" s="14" t="str">
        <f t="shared" ref="H1449" si="1546">IF(NOT(ISNUMBER(VALUE(G1449))), "NA",IF(VALUE(G1449)&gt;12.6,"HIGH",IF(VALUE(G1449)&lt;4,"LOW", "VALUE IN RANGE")))</f>
        <v>HIGH</v>
      </c>
    </row>
    <row r="1450" spans="3:8" x14ac:dyDescent="0.25">
      <c r="C1450" s="13"/>
      <c r="D1450" s="4" t="s">
        <v>1562</v>
      </c>
      <c r="E1450" s="4" t="s">
        <v>17</v>
      </c>
      <c r="F1450" s="3" t="s">
        <v>884</v>
      </c>
      <c r="G1450" s="3">
        <f t="shared" si="1506"/>
        <v>8.49</v>
      </c>
      <c r="H1450" s="14" t="str">
        <f t="shared" ref="H1450" si="1547">IF(NOT(ISNUMBER(VALUE(G1450))), "NA",IF(VALUE(G1450)&gt;8.5,"HIGH",IF(VALUE(G1450)&lt;5.5,"LOW", "VALUE IN RANGE")))</f>
        <v>VALUE IN RANGE</v>
      </c>
    </row>
    <row r="1451" spans="3:8" x14ac:dyDescent="0.25">
      <c r="C1451" s="13"/>
      <c r="D1451" s="4" t="s">
        <v>1562</v>
      </c>
      <c r="E1451" s="1" t="s">
        <v>19</v>
      </c>
      <c r="F1451" s="5">
        <v>196</v>
      </c>
      <c r="G1451" s="3">
        <f t="shared" si="1506"/>
        <v>196</v>
      </c>
      <c r="H1451" s="14" t="str">
        <f t="shared" ref="H1451" si="1548">IF(NOT(ISNUMBER(VALUE(G1451))), "NA",IF(VALUE(G1451)&gt;190,"HIGH",IF(VALUE(G1451)&lt;110,"LOW", "VALUE IN RANGE")))</f>
        <v>HIGH</v>
      </c>
    </row>
    <row r="1452" spans="3:8" x14ac:dyDescent="0.25">
      <c r="C1452" s="13"/>
      <c r="D1452" s="4" t="s">
        <v>1562</v>
      </c>
      <c r="E1452" s="4" t="s">
        <v>21</v>
      </c>
      <c r="F1452" s="3" t="s">
        <v>197</v>
      </c>
      <c r="G1452" s="3">
        <f t="shared" si="1506"/>
        <v>59</v>
      </c>
      <c r="H1452" s="14" t="str">
        <f t="shared" ref="H1452" si="1549">IF(NOT(ISNUMBER(VALUE(G1452))), "NA",IF(VALUE(G1452)&gt;56,"HIGH",IF(VALUE(G1452)&lt;39,"LOW", "VALUE IN RANGE")))</f>
        <v>HIGH</v>
      </c>
    </row>
    <row r="1453" spans="3:8" x14ac:dyDescent="0.25">
      <c r="C1453" s="13"/>
      <c r="D1453" s="4" t="s">
        <v>1562</v>
      </c>
      <c r="E1453" s="1" t="s">
        <v>23</v>
      </c>
      <c r="F1453" s="5" t="s">
        <v>885</v>
      </c>
      <c r="G1453" s="3">
        <f t="shared" si="1506"/>
        <v>69.599999999999994</v>
      </c>
      <c r="H1453" s="14" t="str">
        <f t="shared" ref="H1453" si="1550">IF(NOT(ISNUMBER(VALUE(G1453))), "NA",IF(VALUE(G1453)&gt;72,"HIGH",IF(VALUE(G1453)&lt;62,"LOW", "VALUE IN RANGE")))</f>
        <v>VALUE IN RANGE</v>
      </c>
    </row>
    <row r="1454" spans="3:8" x14ac:dyDescent="0.25">
      <c r="C1454" s="13"/>
      <c r="D1454" s="4" t="s">
        <v>1562</v>
      </c>
      <c r="E1454" s="4" t="s">
        <v>25</v>
      </c>
      <c r="F1454" s="3" t="s">
        <v>524</v>
      </c>
      <c r="G1454" s="3">
        <f t="shared" si="1506"/>
        <v>23</v>
      </c>
      <c r="H1454" s="14" t="str">
        <f t="shared" ref="H1454" si="1551">IF(NOT(ISNUMBER(VALUE(G1454))), "NA",IF(VALUE(G1454)&gt;25,"HIGH",IF(VALUE(G1454)&lt;20,"LOW", "VALUE IN RANGE")))</f>
        <v>VALUE IN RANGE</v>
      </c>
    </row>
    <row r="1455" spans="3:8" x14ac:dyDescent="0.25">
      <c r="C1455" s="13"/>
      <c r="D1455" s="4" t="s">
        <v>1562</v>
      </c>
      <c r="E1455" s="1" t="s">
        <v>27</v>
      </c>
      <c r="F1455" s="5">
        <v>332</v>
      </c>
      <c r="G1455" s="3">
        <f t="shared" si="1506"/>
        <v>332</v>
      </c>
      <c r="H1455" s="14" t="str">
        <f t="shared" ref="H1455" si="1552">IF(NOT(ISNUMBER(VALUE(G1455))), "NA",IF(VALUE(G1455)&gt;380,"HIGH",IF(VALUE(G1455)&lt;300,"LOW", "VALUE IN RANGE")))</f>
        <v>VALUE IN RANGE</v>
      </c>
    </row>
    <row r="1456" spans="3:8" x14ac:dyDescent="0.25">
      <c r="C1456" s="13"/>
      <c r="D1456" s="4" t="s">
        <v>1562</v>
      </c>
      <c r="E1456" s="4" t="s">
        <v>29</v>
      </c>
      <c r="F1456" s="3" t="s">
        <v>414</v>
      </c>
      <c r="G1456" s="3">
        <f t="shared" si="1506"/>
        <v>12.1</v>
      </c>
      <c r="H1456" s="14" t="str">
        <f t="shared" ref="H1456" si="1553">IF(NOT(ISNUMBER(VALUE(G1456))), "NA",IF(VALUE(G1456)&gt;15.5,"HIGH",IF(VALUE(G1456)&lt;11,"LOW", "VALUE IN RANGE")))</f>
        <v>VALUE IN RANGE</v>
      </c>
    </row>
    <row r="1457" spans="3:8" x14ac:dyDescent="0.25">
      <c r="C1457" s="13"/>
      <c r="D1457" s="4" t="s">
        <v>1562</v>
      </c>
      <c r="E1457" s="1" t="s">
        <v>31</v>
      </c>
      <c r="F1457" s="5">
        <v>255</v>
      </c>
      <c r="G1457" s="3">
        <f t="shared" si="1506"/>
        <v>255</v>
      </c>
      <c r="H1457" s="14" t="str">
        <f t="shared" ref="H1457" si="1554">IF(NOT(ISNUMBER(VALUE(G1457))), "NA",IF(VALUE(G1457)&gt;460,"HIGH",IF(VALUE(G1457)&lt;117,"LOW", "VALUE IN RANGE")))</f>
        <v>VALUE IN RANGE</v>
      </c>
    </row>
    <row r="1458" spans="3:8" x14ac:dyDescent="0.25">
      <c r="C1458" s="13"/>
      <c r="D1458" s="4" t="s">
        <v>1562</v>
      </c>
      <c r="E1458" s="4" t="s">
        <v>33</v>
      </c>
      <c r="F1458" s="3" t="s">
        <v>34</v>
      </c>
      <c r="G1458" s="3">
        <f t="shared" si="1506"/>
        <v>8.8000000000000007</v>
      </c>
      <c r="H1458" s="14" t="str">
        <f t="shared" ref="H1458" si="1555">IF(NOT(ISNUMBER(VALUE(G1458))), "NA",IF(VALUE(G1458)&gt;12,"HIGH",IF(VALUE(G1458)&lt;7,"LOW", "VALUE IN RANGE")))</f>
        <v>VALUE IN RANGE</v>
      </c>
    </row>
    <row r="1459" spans="3:8" ht="15" customHeight="1" x14ac:dyDescent="0.25">
      <c r="C1459" s="13" t="str">
        <f t="shared" ref="C1459" si="1556">IF(D1459=D1474,D1473,"falso")</f>
        <v>PATIENT_0092</v>
      </c>
      <c r="D1459" s="4" t="s">
        <v>1563</v>
      </c>
      <c r="E1459" s="1" t="s">
        <v>134</v>
      </c>
      <c r="F1459" s="5" t="s">
        <v>165</v>
      </c>
      <c r="G1459" s="3">
        <f t="shared" si="1506"/>
        <v>4.5999999999999996</v>
      </c>
      <c r="H1459" s="14" t="str">
        <f t="shared" ref="H1459" si="1557">IF(NOT(ISNUMBER(VALUE(G1459))), "NA",IF(VALUE(G1459)&gt;17,"HIGH",IF(VALUE(G1459)&lt;6,"LOW", "VALUE IN RANGE")))</f>
        <v>LOW</v>
      </c>
    </row>
    <row r="1460" spans="3:8" x14ac:dyDescent="0.25">
      <c r="C1460" s="13"/>
      <c r="D1460" s="4" t="s">
        <v>1563</v>
      </c>
      <c r="E1460" s="4" t="s">
        <v>136</v>
      </c>
      <c r="F1460" s="3" t="s">
        <v>178</v>
      </c>
      <c r="G1460" s="3">
        <f t="shared" si="1506"/>
        <v>10.6</v>
      </c>
      <c r="H1460" s="14" t="str">
        <f t="shared" ref="H1460" si="1558">IF(NOT(ISNUMBER(VALUE(G1460))), "NA",IF(VALUE(G1460)&gt;30,"HIGH",IF(VALUE(G1460)&lt;12,"LOW", "VALUE IN RANGE")))</f>
        <v>LOW</v>
      </c>
    </row>
    <row r="1461" spans="3:8" x14ac:dyDescent="0.25">
      <c r="C1461" s="13"/>
      <c r="D1461" s="4" t="s">
        <v>1563</v>
      </c>
      <c r="E1461" s="1" t="s">
        <v>7</v>
      </c>
      <c r="F1461" s="5" t="s">
        <v>63</v>
      </c>
      <c r="G1461" s="3">
        <f t="shared" si="1506"/>
        <v>6.8</v>
      </c>
      <c r="H1461" s="14" t="str">
        <f t="shared" ref="H1461" si="1559">IF(NOT(ISNUMBER(VALUE(G1461))), "NA",IF(VALUE(G1461)&gt;9,"HIGH",IF(VALUE(G1461)&lt;2,"LOW", "VALUE IN RANGE")))</f>
        <v>VALUE IN RANGE</v>
      </c>
    </row>
    <row r="1462" spans="3:8" x14ac:dyDescent="0.25">
      <c r="C1462" s="13"/>
      <c r="D1462" s="4" t="s">
        <v>1563</v>
      </c>
      <c r="E1462" s="4" t="s">
        <v>139</v>
      </c>
      <c r="F1462" s="3" t="s">
        <v>588</v>
      </c>
      <c r="G1462" s="3">
        <f t="shared" si="1506"/>
        <v>82.6</v>
      </c>
      <c r="H1462" s="14" t="str">
        <f t="shared" ref="H1462" si="1560">IF(NOT(ISNUMBER(VALUE(G1462))), "NA",IF(VALUE(G1462)&gt;83,"HIGH",IF(VALUE(G1462)&lt;60,"LOW", "VALUE IN RANGE")))</f>
        <v>VALUE IN RANGE</v>
      </c>
    </row>
    <row r="1463" spans="3:8" x14ac:dyDescent="0.25">
      <c r="C1463" s="13"/>
      <c r="D1463" s="4" t="s">
        <v>1563</v>
      </c>
      <c r="E1463" s="1" t="s">
        <v>141</v>
      </c>
      <c r="F1463" s="5" t="s">
        <v>167</v>
      </c>
      <c r="G1463" s="3">
        <f t="shared" si="1506"/>
        <v>0.4</v>
      </c>
      <c r="H1463" s="14" t="str">
        <f t="shared" ref="H1463" si="1561">IF(NOT(ISNUMBER(VALUE(G1463))), "NA",IF(VALUE(G1463)&gt;5.1,"HIGH",IF(VALUE(G1463)&lt;0.8,"LOW", "VALUE IN RANGE")))</f>
        <v>LOW</v>
      </c>
    </row>
    <row r="1464" spans="3:8" x14ac:dyDescent="0.25">
      <c r="C1464" s="13"/>
      <c r="D1464" s="4" t="s">
        <v>1563</v>
      </c>
      <c r="E1464" s="4" t="s">
        <v>143</v>
      </c>
      <c r="F1464" s="3" t="s">
        <v>14</v>
      </c>
      <c r="G1464" s="3">
        <f t="shared" si="1506"/>
        <v>0.3</v>
      </c>
      <c r="H1464" s="14" t="str">
        <f t="shared" ref="H1464" si="1562">IF(NOT(ISNUMBER(VALUE(G1464))), "NA",IF(VALUE(G1464)&gt;1.8,"HIGH",IF(VALUE(G1464)&lt;0,"LOW", "VALUE IN RANGE")))</f>
        <v>VALUE IN RANGE</v>
      </c>
    </row>
    <row r="1465" spans="3:8" x14ac:dyDescent="0.25">
      <c r="C1465" s="13"/>
      <c r="D1465" s="4" t="s">
        <v>1563</v>
      </c>
      <c r="E1465" s="1" t="s">
        <v>144</v>
      </c>
      <c r="F1465" s="5">
        <v>3900</v>
      </c>
      <c r="G1465" s="3">
        <f t="shared" si="1506"/>
        <v>3900</v>
      </c>
      <c r="H1465" s="14" t="str">
        <f t="shared" ref="H1465" si="1563">IF(NOT(ISNUMBER(VALUE(G1465))), "NA",IF(VALUE(G1465)&gt;12.6,"HIGH",IF(VALUE(G1465)&lt;4,"LOW", "VALUE IN RANGE")))</f>
        <v>HIGH</v>
      </c>
    </row>
    <row r="1466" spans="3:8" x14ac:dyDescent="0.25">
      <c r="C1466" s="13"/>
      <c r="D1466" s="4" t="s">
        <v>1563</v>
      </c>
      <c r="E1466" s="4" t="s">
        <v>146</v>
      </c>
      <c r="F1466" s="3" t="s">
        <v>750</v>
      </c>
      <c r="G1466" s="3">
        <f t="shared" si="1506"/>
        <v>7.2</v>
      </c>
      <c r="H1466" s="14" t="str">
        <f t="shared" ref="H1466" si="1564">IF(NOT(ISNUMBER(VALUE(G1466))), "NA",IF(VALUE(G1466)&gt;8.5,"HIGH",IF(VALUE(G1466)&lt;5.5,"LOW", "VALUE IN RANGE")))</f>
        <v>VALUE IN RANGE</v>
      </c>
    </row>
    <row r="1467" spans="3:8" x14ac:dyDescent="0.25">
      <c r="C1467" s="13"/>
      <c r="D1467" s="4" t="s">
        <v>1563</v>
      </c>
      <c r="E1467" s="1" t="s">
        <v>148</v>
      </c>
      <c r="F1467" s="5">
        <v>94</v>
      </c>
      <c r="G1467" s="3">
        <f t="shared" si="1506"/>
        <v>94</v>
      </c>
      <c r="H1467" s="14" t="str">
        <f t="shared" ref="H1467" si="1565">IF(NOT(ISNUMBER(VALUE(G1467))), "NA",IF(VALUE(G1467)&gt;190,"HIGH",IF(VALUE(G1467)&lt;110,"LOW", "VALUE IN RANGE")))</f>
        <v>LOW</v>
      </c>
    </row>
    <row r="1468" spans="3:8" x14ac:dyDescent="0.25">
      <c r="C1468" s="13"/>
      <c r="D1468" s="4" t="s">
        <v>1563</v>
      </c>
      <c r="E1468" s="4" t="s">
        <v>150</v>
      </c>
      <c r="F1468" s="3" t="s">
        <v>888</v>
      </c>
      <c r="G1468" s="3">
        <f t="shared" si="1506"/>
        <v>33.9</v>
      </c>
      <c r="H1468" s="14" t="str">
        <f t="shared" ref="H1468" si="1566">IF(NOT(ISNUMBER(VALUE(G1468))), "NA",IF(VALUE(G1468)&gt;56,"HIGH",IF(VALUE(G1468)&lt;39,"LOW", "VALUE IN RANGE")))</f>
        <v>LOW</v>
      </c>
    </row>
    <row r="1469" spans="3:8" x14ac:dyDescent="0.25">
      <c r="C1469" s="13"/>
      <c r="D1469" s="4" t="s">
        <v>1563</v>
      </c>
      <c r="E1469" s="1" t="s">
        <v>152</v>
      </c>
      <c r="F1469" s="5" t="s">
        <v>889</v>
      </c>
      <c r="G1469" s="3">
        <f t="shared" si="1506"/>
        <v>47.1</v>
      </c>
      <c r="H1469" s="14" t="str">
        <f t="shared" ref="H1469" si="1567">IF(NOT(ISNUMBER(VALUE(G1469))), "NA",IF(VALUE(G1469)&gt;72,"HIGH",IF(VALUE(G1469)&lt;62,"LOW", "VALUE IN RANGE")))</f>
        <v>LOW</v>
      </c>
    </row>
    <row r="1470" spans="3:8" x14ac:dyDescent="0.25">
      <c r="C1470" s="13"/>
      <c r="D1470" s="4" t="s">
        <v>1563</v>
      </c>
      <c r="E1470" s="4" t="s">
        <v>154</v>
      </c>
      <c r="F1470" s="3" t="s">
        <v>188</v>
      </c>
      <c r="G1470" s="3">
        <f t="shared" si="1506"/>
        <v>13</v>
      </c>
      <c r="H1470" s="14" t="str">
        <f t="shared" ref="H1470" si="1568">IF(NOT(ISNUMBER(VALUE(G1470))), "NA",IF(VALUE(G1470)&gt;25,"HIGH",IF(VALUE(G1470)&lt;20,"LOW", "VALUE IN RANGE")))</f>
        <v>LOW</v>
      </c>
    </row>
    <row r="1471" spans="3:8" x14ac:dyDescent="0.25">
      <c r="C1471" s="13"/>
      <c r="D1471" s="4" t="s">
        <v>1563</v>
      </c>
      <c r="E1471" s="1" t="s">
        <v>27</v>
      </c>
      <c r="F1471" s="5">
        <v>277</v>
      </c>
      <c r="G1471" s="3">
        <f t="shared" si="1506"/>
        <v>277</v>
      </c>
      <c r="H1471" s="14" t="str">
        <f t="shared" ref="H1471" si="1569">IF(NOT(ISNUMBER(VALUE(G1471))), "NA",IF(VALUE(G1471)&gt;380,"HIGH",IF(VALUE(G1471)&lt;300,"LOW", "VALUE IN RANGE")))</f>
        <v>LOW</v>
      </c>
    </row>
    <row r="1472" spans="3:8" x14ac:dyDescent="0.25">
      <c r="C1472" s="13"/>
      <c r="D1472" s="4" t="s">
        <v>1563</v>
      </c>
      <c r="E1472" s="4" t="s">
        <v>157</v>
      </c>
      <c r="F1472" s="3" t="s">
        <v>88</v>
      </c>
      <c r="G1472" s="3">
        <f t="shared" si="1506"/>
        <v>14.1</v>
      </c>
      <c r="H1472" s="14" t="str">
        <f t="shared" ref="H1472" si="1570">IF(NOT(ISNUMBER(VALUE(G1472))), "NA",IF(VALUE(G1472)&gt;15.5,"HIGH",IF(VALUE(G1472)&lt;11,"LOW", "VALUE IN RANGE")))</f>
        <v>VALUE IN RANGE</v>
      </c>
    </row>
    <row r="1473" spans="3:8" x14ac:dyDescent="0.25">
      <c r="C1473" s="13"/>
      <c r="D1473" s="4" t="s">
        <v>1563</v>
      </c>
      <c r="E1473" s="1" t="s">
        <v>159</v>
      </c>
      <c r="F1473" s="5">
        <v>47</v>
      </c>
      <c r="G1473" s="3">
        <f t="shared" si="1506"/>
        <v>47</v>
      </c>
      <c r="H1473" s="14" t="str">
        <f t="shared" ref="H1473" si="1571">IF(NOT(ISNUMBER(VALUE(G1473))), "NA",IF(VALUE(G1473)&gt;460,"HIGH",IF(VALUE(G1473)&lt;117,"LOW", "VALUE IN RANGE")))</f>
        <v>LOW</v>
      </c>
    </row>
    <row r="1474" spans="3:8" x14ac:dyDescent="0.25">
      <c r="C1474" s="13"/>
      <c r="D1474" s="4" t="s">
        <v>1563</v>
      </c>
      <c r="E1474" s="4" t="s">
        <v>161</v>
      </c>
      <c r="F1474" s="3" t="s">
        <v>537</v>
      </c>
      <c r="G1474" s="3">
        <f t="shared" si="1506"/>
        <v>10.7</v>
      </c>
      <c r="H1474" s="14" t="str">
        <f t="shared" ref="H1474" si="1572">IF(NOT(ISNUMBER(VALUE(G1474))), "NA",IF(VALUE(G1474)&gt;12,"HIGH",IF(VALUE(G1474)&lt;7,"LOW", "VALUE IN RANGE")))</f>
        <v>VALUE IN RANGE</v>
      </c>
    </row>
    <row r="1475" spans="3:8" ht="15" customHeight="1" x14ac:dyDescent="0.25">
      <c r="C1475" s="13" t="str">
        <f t="shared" ref="C1475" si="1573">IF(D1475=D1490,D1489,"falso")</f>
        <v>PATIENT_0093</v>
      </c>
      <c r="D1475" s="4" t="s">
        <v>1564</v>
      </c>
      <c r="E1475" s="1" t="s">
        <v>3</v>
      </c>
      <c r="F1475" s="5" t="s">
        <v>836</v>
      </c>
      <c r="G1475" s="3">
        <f t="shared" si="1506"/>
        <v>12.4</v>
      </c>
      <c r="H1475" s="14" t="str">
        <f t="shared" ref="H1475" si="1574">IF(NOT(ISNUMBER(VALUE(G1475))), "NA",IF(VALUE(G1475)&gt;17,"HIGH",IF(VALUE(G1475)&lt;6,"LOW", "VALUE IN RANGE")))</f>
        <v>VALUE IN RANGE</v>
      </c>
    </row>
    <row r="1476" spans="3:8" x14ac:dyDescent="0.25">
      <c r="C1476" s="13"/>
      <c r="D1476" s="4" t="s">
        <v>1564</v>
      </c>
      <c r="E1476" s="4" t="s">
        <v>5</v>
      </c>
      <c r="F1476" s="3" t="s">
        <v>178</v>
      </c>
      <c r="G1476" s="3">
        <f t="shared" ref="G1476:G1539" si="1575">IFERROR(
   VALUE(
      SUBSTITUTE(
         CLEAN(
            TRIM(F1476)
         ),
         ".",
         ","
      )
   ),
   ""
)</f>
        <v>10.6</v>
      </c>
      <c r="H1476" s="14" t="str">
        <f t="shared" ref="H1476" si="1576">IF(NOT(ISNUMBER(VALUE(G1476))), "NA",IF(VALUE(G1476)&gt;30,"HIGH",IF(VALUE(G1476)&lt;12,"LOW", "VALUE IN RANGE")))</f>
        <v>LOW</v>
      </c>
    </row>
    <row r="1477" spans="3:8" x14ac:dyDescent="0.25">
      <c r="C1477" s="13"/>
      <c r="D1477" s="4" t="s">
        <v>1564</v>
      </c>
      <c r="E1477" s="1" t="s">
        <v>7</v>
      </c>
      <c r="F1477" s="5" t="s">
        <v>417</v>
      </c>
      <c r="G1477" s="3">
        <f t="shared" si="1575"/>
        <v>4.2</v>
      </c>
      <c r="H1477" s="14" t="str">
        <f t="shared" ref="H1477" si="1577">IF(NOT(ISNUMBER(VALUE(G1477))), "NA",IF(VALUE(G1477)&gt;9,"HIGH",IF(VALUE(G1477)&lt;2,"LOW", "VALUE IN RANGE")))</f>
        <v>VALUE IN RANGE</v>
      </c>
    </row>
    <row r="1478" spans="3:8" x14ac:dyDescent="0.25">
      <c r="C1478" s="13"/>
      <c r="D1478" s="4" t="s">
        <v>1564</v>
      </c>
      <c r="E1478" s="4" t="s">
        <v>9</v>
      </c>
      <c r="F1478" s="3" t="s">
        <v>891</v>
      </c>
      <c r="G1478" s="3">
        <f t="shared" si="1575"/>
        <v>85.2</v>
      </c>
      <c r="H1478" s="14" t="str">
        <f t="shared" ref="H1478" si="1578">IF(NOT(ISNUMBER(VALUE(G1478))), "NA",IF(VALUE(G1478)&gt;83,"HIGH",IF(VALUE(G1478)&lt;60,"LOW", "VALUE IN RANGE")))</f>
        <v>HIGH</v>
      </c>
    </row>
    <row r="1479" spans="3:8" x14ac:dyDescent="0.25">
      <c r="C1479" s="13"/>
      <c r="D1479" s="4" t="s">
        <v>1564</v>
      </c>
      <c r="E1479" s="1" t="s">
        <v>11</v>
      </c>
      <c r="F1479" s="5">
        <v>1300</v>
      </c>
      <c r="G1479" s="3">
        <f t="shared" si="1575"/>
        <v>1300</v>
      </c>
      <c r="H1479" s="14" t="str">
        <f t="shared" ref="H1479" si="1579">IF(NOT(ISNUMBER(VALUE(G1479))), "NA",IF(VALUE(G1479)&gt;5.1,"HIGH",IF(VALUE(G1479)&lt;0.8,"LOW", "VALUE IN RANGE")))</f>
        <v>HIGH</v>
      </c>
    </row>
    <row r="1480" spans="3:8" x14ac:dyDescent="0.25">
      <c r="C1480" s="13"/>
      <c r="D1480" s="4" t="s">
        <v>1564</v>
      </c>
      <c r="E1480" s="4" t="s">
        <v>13</v>
      </c>
      <c r="F1480" s="3" t="s">
        <v>109</v>
      </c>
      <c r="G1480" s="3">
        <f t="shared" si="1575"/>
        <v>0.5</v>
      </c>
      <c r="H1480" s="14" t="str">
        <f t="shared" ref="H1480" si="1580">IF(NOT(ISNUMBER(VALUE(G1480))), "NA",IF(VALUE(G1480)&gt;1.8,"HIGH",IF(VALUE(G1480)&lt;0,"LOW", "VALUE IN RANGE")))</f>
        <v>VALUE IN RANGE</v>
      </c>
    </row>
    <row r="1481" spans="3:8" x14ac:dyDescent="0.25">
      <c r="C1481" s="13"/>
      <c r="D1481" s="4" t="s">
        <v>1564</v>
      </c>
      <c r="E1481" s="1" t="s">
        <v>15</v>
      </c>
      <c r="F1481" s="5">
        <v>10600</v>
      </c>
      <c r="G1481" s="3">
        <f t="shared" si="1575"/>
        <v>10600</v>
      </c>
      <c r="H1481" s="14" t="str">
        <f t="shared" ref="H1481" si="1581">IF(NOT(ISNUMBER(VALUE(G1481))), "NA",IF(VALUE(G1481)&gt;12.6,"HIGH",IF(VALUE(G1481)&lt;4,"LOW", "VALUE IN RANGE")))</f>
        <v>HIGH</v>
      </c>
    </row>
    <row r="1482" spans="3:8" x14ac:dyDescent="0.25">
      <c r="C1482" s="13"/>
      <c r="D1482" s="4" t="s">
        <v>1564</v>
      </c>
      <c r="E1482" s="4" t="s">
        <v>17</v>
      </c>
      <c r="F1482" s="3" t="s">
        <v>893</v>
      </c>
      <c r="G1482" s="3">
        <f t="shared" si="1575"/>
        <v>6.11</v>
      </c>
      <c r="H1482" s="14" t="str">
        <f t="shared" ref="H1482" si="1582">IF(NOT(ISNUMBER(VALUE(G1482))), "NA",IF(VALUE(G1482)&gt;8.5,"HIGH",IF(VALUE(G1482)&lt;5.5,"LOW", "VALUE IN RANGE")))</f>
        <v>VALUE IN RANGE</v>
      </c>
    </row>
    <row r="1483" spans="3:8" x14ac:dyDescent="0.25">
      <c r="C1483" s="13"/>
      <c r="D1483" s="4" t="s">
        <v>1564</v>
      </c>
      <c r="E1483" s="1" t="s">
        <v>19</v>
      </c>
      <c r="F1483" s="5">
        <v>136</v>
      </c>
      <c r="G1483" s="3">
        <f t="shared" si="1575"/>
        <v>136</v>
      </c>
      <c r="H1483" s="14" t="str">
        <f t="shared" ref="H1483" si="1583">IF(NOT(ISNUMBER(VALUE(G1483))), "NA",IF(VALUE(G1483)&gt;190,"HIGH",IF(VALUE(G1483)&lt;110,"LOW", "VALUE IN RANGE")))</f>
        <v>VALUE IN RANGE</v>
      </c>
    </row>
    <row r="1484" spans="3:8" x14ac:dyDescent="0.25">
      <c r="C1484" s="13"/>
      <c r="D1484" s="4" t="s">
        <v>1564</v>
      </c>
      <c r="E1484" s="4" t="s">
        <v>21</v>
      </c>
      <c r="F1484" s="3" t="s">
        <v>560</v>
      </c>
      <c r="G1484" s="3">
        <f t="shared" si="1575"/>
        <v>42.1</v>
      </c>
      <c r="H1484" s="14" t="str">
        <f t="shared" ref="H1484" si="1584">IF(NOT(ISNUMBER(VALUE(G1484))), "NA",IF(VALUE(G1484)&gt;56,"HIGH",IF(VALUE(G1484)&lt;39,"LOW", "VALUE IN RANGE")))</f>
        <v>VALUE IN RANGE</v>
      </c>
    </row>
    <row r="1485" spans="3:8" x14ac:dyDescent="0.25">
      <c r="C1485" s="13"/>
      <c r="D1485" s="4" t="s">
        <v>1564</v>
      </c>
      <c r="E1485" s="1" t="s">
        <v>23</v>
      </c>
      <c r="F1485" s="5" t="s">
        <v>821</v>
      </c>
      <c r="G1485" s="3">
        <f t="shared" si="1575"/>
        <v>69</v>
      </c>
      <c r="H1485" s="14" t="str">
        <f t="shared" ref="H1485" si="1585">IF(NOT(ISNUMBER(VALUE(G1485))), "NA",IF(VALUE(G1485)&gt;72,"HIGH",IF(VALUE(G1485)&lt;62,"LOW", "VALUE IN RANGE")))</f>
        <v>VALUE IN RANGE</v>
      </c>
    </row>
    <row r="1486" spans="3:8" x14ac:dyDescent="0.25">
      <c r="C1486" s="13"/>
      <c r="D1486" s="4" t="s">
        <v>1564</v>
      </c>
      <c r="E1486" s="4" t="s">
        <v>25</v>
      </c>
      <c r="F1486" s="3" t="s">
        <v>450</v>
      </c>
      <c r="G1486" s="3">
        <f t="shared" si="1575"/>
        <v>22.2</v>
      </c>
      <c r="H1486" s="14" t="str">
        <f t="shared" ref="H1486" si="1586">IF(NOT(ISNUMBER(VALUE(G1486))), "NA",IF(VALUE(G1486)&gt;25,"HIGH",IF(VALUE(G1486)&lt;20,"LOW", "VALUE IN RANGE")))</f>
        <v>VALUE IN RANGE</v>
      </c>
    </row>
    <row r="1487" spans="3:8" x14ac:dyDescent="0.25">
      <c r="C1487" s="13"/>
      <c r="D1487" s="4" t="s">
        <v>1564</v>
      </c>
      <c r="E1487" s="1" t="s">
        <v>27</v>
      </c>
      <c r="F1487" s="5">
        <v>323</v>
      </c>
      <c r="G1487" s="3">
        <f t="shared" si="1575"/>
        <v>323</v>
      </c>
      <c r="H1487" s="14" t="str">
        <f t="shared" ref="H1487" si="1587">IF(NOT(ISNUMBER(VALUE(G1487))), "NA",IF(VALUE(G1487)&gt;380,"HIGH",IF(VALUE(G1487)&lt;300,"LOW", "VALUE IN RANGE")))</f>
        <v>VALUE IN RANGE</v>
      </c>
    </row>
    <row r="1488" spans="3:8" x14ac:dyDescent="0.25">
      <c r="C1488" s="13"/>
      <c r="D1488" s="4" t="s">
        <v>1564</v>
      </c>
      <c r="E1488" s="4" t="s">
        <v>29</v>
      </c>
      <c r="F1488" s="3" t="s">
        <v>360</v>
      </c>
      <c r="G1488" s="3">
        <f t="shared" si="1575"/>
        <v>12.2</v>
      </c>
      <c r="H1488" s="14" t="str">
        <f t="shared" ref="H1488" si="1588">IF(NOT(ISNUMBER(VALUE(G1488))), "NA",IF(VALUE(G1488)&gt;15.5,"HIGH",IF(VALUE(G1488)&lt;11,"LOW", "VALUE IN RANGE")))</f>
        <v>VALUE IN RANGE</v>
      </c>
    </row>
    <row r="1489" spans="3:8" x14ac:dyDescent="0.25">
      <c r="C1489" s="13"/>
      <c r="D1489" s="4" t="s">
        <v>1564</v>
      </c>
      <c r="E1489" s="1" t="s">
        <v>31</v>
      </c>
      <c r="F1489" s="5">
        <v>153</v>
      </c>
      <c r="G1489" s="3">
        <f t="shared" si="1575"/>
        <v>153</v>
      </c>
      <c r="H1489" s="14" t="str">
        <f t="shared" ref="H1489" si="1589">IF(NOT(ISNUMBER(VALUE(G1489))), "NA",IF(VALUE(G1489)&gt;460,"HIGH",IF(VALUE(G1489)&lt;117,"LOW", "VALUE IN RANGE")))</f>
        <v>VALUE IN RANGE</v>
      </c>
    </row>
    <row r="1490" spans="3:8" x14ac:dyDescent="0.25">
      <c r="C1490" s="13"/>
      <c r="D1490" s="4" t="s">
        <v>1564</v>
      </c>
      <c r="E1490" s="4" t="s">
        <v>33</v>
      </c>
      <c r="F1490" s="3" t="s">
        <v>34</v>
      </c>
      <c r="G1490" s="3">
        <f t="shared" si="1575"/>
        <v>8.8000000000000007</v>
      </c>
      <c r="H1490" s="14" t="str">
        <f t="shared" ref="H1490" si="1590">IF(NOT(ISNUMBER(VALUE(G1490))), "NA",IF(VALUE(G1490)&gt;12,"HIGH",IF(VALUE(G1490)&lt;7,"LOW", "VALUE IN RANGE")))</f>
        <v>VALUE IN RANGE</v>
      </c>
    </row>
    <row r="1491" spans="3:8" ht="15" customHeight="1" x14ac:dyDescent="0.25">
      <c r="C1491" s="13" t="str">
        <f t="shared" ref="C1491" si="1591">IF(D1491=D1506,D1505,"falso")</f>
        <v>PATIENT_0094</v>
      </c>
      <c r="D1491" s="4" t="s">
        <v>1565</v>
      </c>
      <c r="E1491" s="1" t="s">
        <v>134</v>
      </c>
      <c r="F1491" s="5" t="s">
        <v>218</v>
      </c>
      <c r="G1491" s="3">
        <f t="shared" si="1575"/>
        <v>17.100000000000001</v>
      </c>
      <c r="H1491" s="14" t="str">
        <f t="shared" ref="H1491" si="1592">IF(NOT(ISNUMBER(VALUE(G1491))), "NA",IF(VALUE(G1491)&gt;17,"HIGH",IF(VALUE(G1491)&lt;6,"LOW", "VALUE IN RANGE")))</f>
        <v>HIGH</v>
      </c>
    </row>
    <row r="1492" spans="3:8" x14ac:dyDescent="0.25">
      <c r="C1492" s="13"/>
      <c r="D1492" s="4" t="s">
        <v>1565</v>
      </c>
      <c r="E1492" s="4" t="s">
        <v>136</v>
      </c>
      <c r="F1492" s="3" t="s">
        <v>895</v>
      </c>
      <c r="G1492" s="3">
        <f t="shared" si="1575"/>
        <v>25</v>
      </c>
      <c r="H1492" s="14" t="str">
        <f t="shared" ref="H1492" si="1593">IF(NOT(ISNUMBER(VALUE(G1492))), "NA",IF(VALUE(G1492)&gt;30,"HIGH",IF(VALUE(G1492)&lt;12,"LOW", "VALUE IN RANGE")))</f>
        <v>VALUE IN RANGE</v>
      </c>
    </row>
    <row r="1493" spans="3:8" x14ac:dyDescent="0.25">
      <c r="C1493" s="13"/>
      <c r="D1493" s="4" t="s">
        <v>1565</v>
      </c>
      <c r="E1493" s="1" t="s">
        <v>7</v>
      </c>
      <c r="F1493" s="5" t="s">
        <v>498</v>
      </c>
      <c r="G1493" s="3">
        <f t="shared" si="1575"/>
        <v>15.9</v>
      </c>
      <c r="H1493" s="14" t="str">
        <f t="shared" ref="H1493" si="1594">IF(NOT(ISNUMBER(VALUE(G1493))), "NA",IF(VALUE(G1493)&gt;9,"HIGH",IF(VALUE(G1493)&lt;2,"LOW", "VALUE IN RANGE")))</f>
        <v>HIGH</v>
      </c>
    </row>
    <row r="1494" spans="3:8" x14ac:dyDescent="0.25">
      <c r="C1494" s="13"/>
      <c r="D1494" s="4" t="s">
        <v>1565</v>
      </c>
      <c r="E1494" s="4" t="s">
        <v>139</v>
      </c>
      <c r="F1494" s="3" t="s">
        <v>896</v>
      </c>
      <c r="G1494" s="3">
        <f t="shared" si="1575"/>
        <v>59.1</v>
      </c>
      <c r="H1494" s="14" t="str">
        <f t="shared" ref="H1494" si="1595">IF(NOT(ISNUMBER(VALUE(G1494))), "NA",IF(VALUE(G1494)&gt;83,"HIGH",IF(VALUE(G1494)&lt;60,"LOW", "VALUE IN RANGE")))</f>
        <v>LOW</v>
      </c>
    </row>
    <row r="1495" spans="3:8" x14ac:dyDescent="0.25">
      <c r="C1495" s="13"/>
      <c r="D1495" s="4" t="s">
        <v>1565</v>
      </c>
      <c r="E1495" s="1" t="s">
        <v>141</v>
      </c>
      <c r="F1495" s="5">
        <v>4200</v>
      </c>
      <c r="G1495" s="3">
        <f t="shared" si="1575"/>
        <v>4200</v>
      </c>
      <c r="H1495" s="14" t="str">
        <f t="shared" ref="H1495" si="1596">IF(NOT(ISNUMBER(VALUE(G1495))), "NA",IF(VALUE(G1495)&gt;5.1,"HIGH",IF(VALUE(G1495)&lt;0.8,"LOW", "VALUE IN RANGE")))</f>
        <v>HIGH</v>
      </c>
    </row>
    <row r="1496" spans="3:8" x14ac:dyDescent="0.25">
      <c r="C1496" s="13"/>
      <c r="D1496" s="4" t="s">
        <v>1565</v>
      </c>
      <c r="E1496" s="4" t="s">
        <v>143</v>
      </c>
      <c r="F1496" s="3">
        <v>2700</v>
      </c>
      <c r="G1496" s="3">
        <f t="shared" si="1575"/>
        <v>2700</v>
      </c>
      <c r="H1496" s="14" t="str">
        <f t="shared" ref="H1496" si="1597">IF(NOT(ISNUMBER(VALUE(G1496))), "NA",IF(VALUE(G1496)&gt;1.8,"HIGH",IF(VALUE(G1496)&lt;0,"LOW", "VALUE IN RANGE")))</f>
        <v>HIGH</v>
      </c>
    </row>
    <row r="1497" spans="3:8" x14ac:dyDescent="0.25">
      <c r="C1497" s="13"/>
      <c r="D1497" s="4" t="s">
        <v>1565</v>
      </c>
      <c r="E1497" s="1" t="s">
        <v>144</v>
      </c>
      <c r="F1497" s="5">
        <v>10200</v>
      </c>
      <c r="G1497" s="3">
        <f t="shared" si="1575"/>
        <v>10200</v>
      </c>
      <c r="H1497" s="14" t="str">
        <f t="shared" ref="H1497" si="1598">IF(NOT(ISNUMBER(VALUE(G1497))), "NA",IF(VALUE(G1497)&gt;12.6,"HIGH",IF(VALUE(G1497)&lt;4,"LOW", "VALUE IN RANGE")))</f>
        <v>HIGH</v>
      </c>
    </row>
    <row r="1498" spans="3:8" x14ac:dyDescent="0.25">
      <c r="C1498" s="13"/>
      <c r="D1498" s="4" t="s">
        <v>1565</v>
      </c>
      <c r="E1498" s="4" t="s">
        <v>146</v>
      </c>
      <c r="F1498" s="3" t="s">
        <v>898</v>
      </c>
      <c r="G1498" s="3">
        <f t="shared" si="1575"/>
        <v>10.43</v>
      </c>
      <c r="H1498" s="14" t="str">
        <f t="shared" ref="H1498" si="1599">IF(NOT(ISNUMBER(VALUE(G1498))), "NA",IF(VALUE(G1498)&gt;8.5,"HIGH",IF(VALUE(G1498)&lt;5.5,"LOW", "VALUE IN RANGE")))</f>
        <v>HIGH</v>
      </c>
    </row>
    <row r="1499" spans="3:8" x14ac:dyDescent="0.25">
      <c r="C1499" s="13"/>
      <c r="D1499" s="4" t="s">
        <v>1565</v>
      </c>
      <c r="E1499" s="1" t="s">
        <v>148</v>
      </c>
      <c r="F1499" s="5">
        <v>144</v>
      </c>
      <c r="G1499" s="3">
        <f t="shared" si="1575"/>
        <v>144</v>
      </c>
      <c r="H1499" s="14" t="str">
        <f t="shared" ref="H1499" si="1600">IF(NOT(ISNUMBER(VALUE(G1499))), "NA",IF(VALUE(G1499)&gt;190,"HIGH",IF(VALUE(G1499)&lt;110,"LOW", "VALUE IN RANGE")))</f>
        <v>VALUE IN RANGE</v>
      </c>
    </row>
    <row r="1500" spans="3:8" x14ac:dyDescent="0.25">
      <c r="C1500" s="13"/>
      <c r="D1500" s="4" t="s">
        <v>1565</v>
      </c>
      <c r="E1500" s="4" t="s">
        <v>150</v>
      </c>
      <c r="F1500" s="3" t="s">
        <v>275</v>
      </c>
      <c r="G1500" s="3">
        <f t="shared" si="1575"/>
        <v>52.4</v>
      </c>
      <c r="H1500" s="14" t="str">
        <f t="shared" ref="H1500" si="1601">IF(NOT(ISNUMBER(VALUE(G1500))), "NA",IF(VALUE(G1500)&gt;56,"HIGH",IF(VALUE(G1500)&lt;39,"LOW", "VALUE IN RANGE")))</f>
        <v>VALUE IN RANGE</v>
      </c>
    </row>
    <row r="1501" spans="3:8" x14ac:dyDescent="0.25">
      <c r="C1501" s="13"/>
      <c r="D1501" s="4" t="s">
        <v>1565</v>
      </c>
      <c r="E1501" s="1" t="s">
        <v>152</v>
      </c>
      <c r="F1501" s="5" t="s">
        <v>899</v>
      </c>
      <c r="G1501" s="3">
        <f t="shared" si="1575"/>
        <v>50.3</v>
      </c>
      <c r="H1501" s="14" t="str">
        <f t="shared" ref="H1501" si="1602">IF(NOT(ISNUMBER(VALUE(G1501))), "NA",IF(VALUE(G1501)&gt;72,"HIGH",IF(VALUE(G1501)&lt;62,"LOW", "VALUE IN RANGE")))</f>
        <v>LOW</v>
      </c>
    </row>
    <row r="1502" spans="3:8" x14ac:dyDescent="0.25">
      <c r="C1502" s="13"/>
      <c r="D1502" s="4" t="s">
        <v>1565</v>
      </c>
      <c r="E1502" s="4" t="s">
        <v>154</v>
      </c>
      <c r="F1502" s="3" t="s">
        <v>900</v>
      </c>
      <c r="G1502" s="3">
        <f t="shared" si="1575"/>
        <v>13.8</v>
      </c>
      <c r="H1502" s="14" t="str">
        <f t="shared" ref="H1502" si="1603">IF(NOT(ISNUMBER(VALUE(G1502))), "NA",IF(VALUE(G1502)&gt;25,"HIGH",IF(VALUE(G1502)&lt;20,"LOW", "VALUE IN RANGE")))</f>
        <v>LOW</v>
      </c>
    </row>
    <row r="1503" spans="3:8" x14ac:dyDescent="0.25">
      <c r="C1503" s="13"/>
      <c r="D1503" s="4" t="s">
        <v>1565</v>
      </c>
      <c r="E1503" s="1" t="s">
        <v>27</v>
      </c>
      <c r="F1503" s="5">
        <v>274</v>
      </c>
      <c r="G1503" s="3">
        <f t="shared" si="1575"/>
        <v>274</v>
      </c>
      <c r="H1503" s="14" t="str">
        <f t="shared" ref="H1503" si="1604">IF(NOT(ISNUMBER(VALUE(G1503))), "NA",IF(VALUE(G1503)&gt;380,"HIGH",IF(VALUE(G1503)&lt;300,"LOW", "VALUE IN RANGE")))</f>
        <v>LOW</v>
      </c>
    </row>
    <row r="1504" spans="3:8" x14ac:dyDescent="0.25">
      <c r="C1504" s="13"/>
      <c r="D1504" s="4" t="s">
        <v>1565</v>
      </c>
      <c r="E1504" s="4" t="s">
        <v>157</v>
      </c>
      <c r="F1504" s="3" t="s">
        <v>482</v>
      </c>
      <c r="G1504" s="3">
        <f t="shared" si="1575"/>
        <v>14.9</v>
      </c>
      <c r="H1504" s="14" t="str">
        <f t="shared" ref="H1504" si="1605">IF(NOT(ISNUMBER(VALUE(G1504))), "NA",IF(VALUE(G1504)&gt;15.5,"HIGH",IF(VALUE(G1504)&lt;11,"LOW", "VALUE IN RANGE")))</f>
        <v>VALUE IN RANGE</v>
      </c>
    </row>
    <row r="1505" spans="3:8" x14ac:dyDescent="0.25">
      <c r="C1505" s="13"/>
      <c r="D1505" s="4" t="s">
        <v>1565</v>
      </c>
      <c r="E1505" s="1" t="s">
        <v>159</v>
      </c>
      <c r="F1505" s="5">
        <v>119</v>
      </c>
      <c r="G1505" s="3">
        <f t="shared" si="1575"/>
        <v>119</v>
      </c>
      <c r="H1505" s="14" t="str">
        <f t="shared" ref="H1505" si="1606">IF(NOT(ISNUMBER(VALUE(G1505))), "NA",IF(VALUE(G1505)&gt;460,"HIGH",IF(VALUE(G1505)&lt;117,"LOW", "VALUE IN RANGE")))</f>
        <v>VALUE IN RANGE</v>
      </c>
    </row>
    <row r="1506" spans="3:8" x14ac:dyDescent="0.25">
      <c r="C1506" s="13"/>
      <c r="D1506" s="4" t="s">
        <v>1565</v>
      </c>
      <c r="E1506" s="4" t="s">
        <v>161</v>
      </c>
      <c r="F1506" s="3" t="s">
        <v>901</v>
      </c>
      <c r="G1506" s="3">
        <f t="shared" si="1575"/>
        <v>10.4</v>
      </c>
      <c r="H1506" s="14" t="str">
        <f t="shared" ref="H1506" si="1607">IF(NOT(ISNUMBER(VALUE(G1506))), "NA",IF(VALUE(G1506)&gt;12,"HIGH",IF(VALUE(G1506)&lt;7,"LOW", "VALUE IN RANGE")))</f>
        <v>VALUE IN RANGE</v>
      </c>
    </row>
    <row r="1507" spans="3:8" ht="15" customHeight="1" x14ac:dyDescent="0.25">
      <c r="C1507" s="13" t="str">
        <f t="shared" ref="C1507" si="1608">IF(D1507=D1522,D1521,"falso")</f>
        <v>PATIENT_0095</v>
      </c>
      <c r="D1507" s="4" t="s">
        <v>1566</v>
      </c>
      <c r="E1507" s="1" t="s">
        <v>3</v>
      </c>
      <c r="F1507" s="5" t="s">
        <v>163</v>
      </c>
      <c r="G1507" s="3">
        <f t="shared" si="1575"/>
        <v>9.6</v>
      </c>
      <c r="H1507" s="14" t="str">
        <f t="shared" ref="H1507" si="1609">IF(NOT(ISNUMBER(VALUE(G1507))), "NA",IF(VALUE(G1507)&gt;17,"HIGH",IF(VALUE(G1507)&lt;6,"LOW", "VALUE IN RANGE")))</f>
        <v>VALUE IN RANGE</v>
      </c>
    </row>
    <row r="1508" spans="3:8" x14ac:dyDescent="0.25">
      <c r="C1508" s="13"/>
      <c r="D1508" s="4" t="s">
        <v>1566</v>
      </c>
      <c r="E1508" s="4" t="s">
        <v>5</v>
      </c>
      <c r="F1508" s="3" t="s">
        <v>902</v>
      </c>
      <c r="G1508" s="3">
        <f t="shared" si="1575"/>
        <v>2</v>
      </c>
      <c r="H1508" s="14" t="str">
        <f t="shared" ref="H1508" si="1610">IF(NOT(ISNUMBER(VALUE(G1508))), "NA",IF(VALUE(G1508)&gt;30,"HIGH",IF(VALUE(G1508)&lt;12,"LOW", "VALUE IN RANGE")))</f>
        <v>LOW</v>
      </c>
    </row>
    <row r="1509" spans="3:8" x14ac:dyDescent="0.25">
      <c r="C1509" s="13"/>
      <c r="D1509" s="4" t="s">
        <v>1566</v>
      </c>
      <c r="E1509" s="1" t="s">
        <v>7</v>
      </c>
      <c r="F1509" s="5" t="s">
        <v>903</v>
      </c>
      <c r="G1509" s="3">
        <f t="shared" si="1575"/>
        <v>4.7</v>
      </c>
      <c r="H1509" s="14" t="str">
        <f t="shared" ref="H1509" si="1611">IF(NOT(ISNUMBER(VALUE(G1509))), "NA",IF(VALUE(G1509)&gt;9,"HIGH",IF(VALUE(G1509)&lt;2,"LOW", "VALUE IN RANGE")))</f>
        <v>VALUE IN RANGE</v>
      </c>
    </row>
    <row r="1510" spans="3:8" x14ac:dyDescent="0.25">
      <c r="C1510" s="13"/>
      <c r="D1510" s="4" t="s">
        <v>1566</v>
      </c>
      <c r="E1510" s="4" t="s">
        <v>9</v>
      </c>
      <c r="F1510" s="3" t="s">
        <v>904</v>
      </c>
      <c r="G1510" s="3">
        <f t="shared" si="1575"/>
        <v>93.3</v>
      </c>
      <c r="H1510" s="14" t="str">
        <f t="shared" ref="H1510" si="1612">IF(NOT(ISNUMBER(VALUE(G1510))), "NA",IF(VALUE(G1510)&gt;83,"HIGH",IF(VALUE(G1510)&lt;60,"LOW", "VALUE IN RANGE")))</f>
        <v>HIGH</v>
      </c>
    </row>
    <row r="1511" spans="3:8" x14ac:dyDescent="0.25">
      <c r="C1511" s="13"/>
      <c r="D1511" s="4" t="s">
        <v>1566</v>
      </c>
      <c r="E1511" s="1" t="s">
        <v>11</v>
      </c>
      <c r="F1511" s="5" t="s">
        <v>40</v>
      </c>
      <c r="G1511" s="3">
        <f t="shared" si="1575"/>
        <v>0.1</v>
      </c>
      <c r="H1511" s="14" t="str">
        <f t="shared" ref="H1511" si="1613">IF(NOT(ISNUMBER(VALUE(G1511))), "NA",IF(VALUE(G1511)&gt;5.1,"HIGH",IF(VALUE(G1511)&lt;0.8,"LOW", "VALUE IN RANGE")))</f>
        <v>LOW</v>
      </c>
    </row>
    <row r="1512" spans="3:8" x14ac:dyDescent="0.25">
      <c r="C1512" s="13"/>
      <c r="D1512" s="4" t="s">
        <v>1566</v>
      </c>
      <c r="E1512" s="4" t="s">
        <v>13</v>
      </c>
      <c r="F1512" s="3" t="s">
        <v>167</v>
      </c>
      <c r="G1512" s="3">
        <f t="shared" si="1575"/>
        <v>0.4</v>
      </c>
      <c r="H1512" s="14" t="str">
        <f t="shared" ref="H1512" si="1614">IF(NOT(ISNUMBER(VALUE(G1512))), "NA",IF(VALUE(G1512)&gt;1.8,"HIGH",IF(VALUE(G1512)&lt;0,"LOW", "VALUE IN RANGE")))</f>
        <v>VALUE IN RANGE</v>
      </c>
    </row>
    <row r="1513" spans="3:8" x14ac:dyDescent="0.25">
      <c r="C1513" s="13"/>
      <c r="D1513" s="4" t="s">
        <v>1566</v>
      </c>
      <c r="E1513" s="1" t="s">
        <v>15</v>
      </c>
      <c r="F1513" s="5">
        <v>9100</v>
      </c>
      <c r="G1513" s="3">
        <f t="shared" si="1575"/>
        <v>9100</v>
      </c>
      <c r="H1513" s="14" t="str">
        <f t="shared" ref="H1513" si="1615">IF(NOT(ISNUMBER(VALUE(G1513))), "NA",IF(VALUE(G1513)&gt;12.6,"HIGH",IF(VALUE(G1513)&lt;4,"LOW", "VALUE IN RANGE")))</f>
        <v>HIGH</v>
      </c>
    </row>
    <row r="1514" spans="3:8" x14ac:dyDescent="0.25">
      <c r="C1514" s="13"/>
      <c r="D1514" s="4" t="s">
        <v>1566</v>
      </c>
      <c r="E1514" s="4" t="s">
        <v>17</v>
      </c>
      <c r="F1514" s="3" t="s">
        <v>905</v>
      </c>
      <c r="G1514" s="3">
        <f t="shared" si="1575"/>
        <v>6.14</v>
      </c>
      <c r="H1514" s="14" t="str">
        <f t="shared" ref="H1514" si="1616">IF(NOT(ISNUMBER(VALUE(G1514))), "NA",IF(VALUE(G1514)&gt;8.5,"HIGH",IF(VALUE(G1514)&lt;5.5,"LOW", "VALUE IN RANGE")))</f>
        <v>VALUE IN RANGE</v>
      </c>
    </row>
    <row r="1515" spans="3:8" x14ac:dyDescent="0.25">
      <c r="C1515" s="13"/>
      <c r="D1515" s="4" t="s">
        <v>1566</v>
      </c>
      <c r="E1515" s="1" t="s">
        <v>19</v>
      </c>
      <c r="F1515" s="5">
        <v>137</v>
      </c>
      <c r="G1515" s="3">
        <f t="shared" si="1575"/>
        <v>137</v>
      </c>
      <c r="H1515" s="14" t="str">
        <f t="shared" ref="H1515" si="1617">IF(NOT(ISNUMBER(VALUE(G1515))), "NA",IF(VALUE(G1515)&gt;190,"HIGH",IF(VALUE(G1515)&lt;110,"LOW", "VALUE IN RANGE")))</f>
        <v>VALUE IN RANGE</v>
      </c>
    </row>
    <row r="1516" spans="3:8" x14ac:dyDescent="0.25">
      <c r="C1516" s="13"/>
      <c r="D1516" s="4" t="s">
        <v>1566</v>
      </c>
      <c r="E1516" s="4" t="s">
        <v>21</v>
      </c>
      <c r="F1516" s="3" t="s">
        <v>619</v>
      </c>
      <c r="G1516" s="3">
        <f t="shared" si="1575"/>
        <v>43.2</v>
      </c>
      <c r="H1516" s="14" t="str">
        <f t="shared" ref="H1516" si="1618">IF(NOT(ISNUMBER(VALUE(G1516))), "NA",IF(VALUE(G1516)&gt;56,"HIGH",IF(VALUE(G1516)&lt;39,"LOW", "VALUE IN RANGE")))</f>
        <v>VALUE IN RANGE</v>
      </c>
    </row>
    <row r="1517" spans="3:8" x14ac:dyDescent="0.25">
      <c r="C1517" s="13"/>
      <c r="D1517" s="4" t="s">
        <v>1566</v>
      </c>
      <c r="E1517" s="1" t="s">
        <v>23</v>
      </c>
      <c r="F1517" s="5" t="s">
        <v>907</v>
      </c>
      <c r="G1517" s="3">
        <f t="shared" si="1575"/>
        <v>70.400000000000006</v>
      </c>
      <c r="H1517" s="14" t="str">
        <f t="shared" ref="H1517" si="1619">IF(NOT(ISNUMBER(VALUE(G1517))), "NA",IF(VALUE(G1517)&gt;72,"HIGH",IF(VALUE(G1517)&lt;62,"LOW", "VALUE IN RANGE")))</f>
        <v>VALUE IN RANGE</v>
      </c>
    </row>
    <row r="1518" spans="3:8" x14ac:dyDescent="0.25">
      <c r="C1518" s="13"/>
      <c r="D1518" s="4" t="s">
        <v>1566</v>
      </c>
      <c r="E1518" s="4" t="s">
        <v>25</v>
      </c>
      <c r="F1518" s="3" t="s">
        <v>572</v>
      </c>
      <c r="G1518" s="3">
        <f t="shared" si="1575"/>
        <v>22.3</v>
      </c>
      <c r="H1518" s="14" t="str">
        <f t="shared" ref="H1518" si="1620">IF(NOT(ISNUMBER(VALUE(G1518))), "NA",IF(VALUE(G1518)&gt;25,"HIGH",IF(VALUE(G1518)&lt;20,"LOW", "VALUE IN RANGE")))</f>
        <v>VALUE IN RANGE</v>
      </c>
    </row>
    <row r="1519" spans="3:8" x14ac:dyDescent="0.25">
      <c r="C1519" s="13"/>
      <c r="D1519" s="4" t="s">
        <v>1566</v>
      </c>
      <c r="E1519" s="1" t="s">
        <v>27</v>
      </c>
      <c r="F1519" s="5">
        <v>317</v>
      </c>
      <c r="G1519" s="3">
        <f t="shared" si="1575"/>
        <v>317</v>
      </c>
      <c r="H1519" s="14" t="str">
        <f t="shared" ref="H1519" si="1621">IF(NOT(ISNUMBER(VALUE(G1519))), "NA",IF(VALUE(G1519)&gt;380,"HIGH",IF(VALUE(G1519)&lt;300,"LOW", "VALUE IN RANGE")))</f>
        <v>VALUE IN RANGE</v>
      </c>
    </row>
    <row r="1520" spans="3:8" x14ac:dyDescent="0.25">
      <c r="C1520" s="13"/>
      <c r="D1520" s="4" t="s">
        <v>1566</v>
      </c>
      <c r="E1520" s="4" t="s">
        <v>29</v>
      </c>
      <c r="F1520" s="3" t="s">
        <v>174</v>
      </c>
      <c r="G1520" s="3">
        <f t="shared" si="1575"/>
        <v>12.5</v>
      </c>
      <c r="H1520" s="14" t="str">
        <f t="shared" ref="H1520" si="1622">IF(NOT(ISNUMBER(VALUE(G1520))), "NA",IF(VALUE(G1520)&gt;15.5,"HIGH",IF(VALUE(G1520)&lt;11,"LOW", "VALUE IN RANGE")))</f>
        <v>VALUE IN RANGE</v>
      </c>
    </row>
    <row r="1521" spans="3:8" x14ac:dyDescent="0.25">
      <c r="C1521" s="13"/>
      <c r="D1521" s="4" t="s">
        <v>1566</v>
      </c>
      <c r="E1521" s="1" t="s">
        <v>31</v>
      </c>
      <c r="F1521" s="5">
        <v>435</v>
      </c>
      <c r="G1521" s="3">
        <f t="shared" si="1575"/>
        <v>435</v>
      </c>
      <c r="H1521" s="14" t="str">
        <f t="shared" ref="H1521" si="1623">IF(NOT(ISNUMBER(VALUE(G1521))), "NA",IF(VALUE(G1521)&gt;460,"HIGH",IF(VALUE(G1521)&lt;117,"LOW", "VALUE IN RANGE")))</f>
        <v>VALUE IN RANGE</v>
      </c>
    </row>
    <row r="1522" spans="3:8" x14ac:dyDescent="0.25">
      <c r="C1522" s="13"/>
      <c r="D1522" s="4" t="s">
        <v>1566</v>
      </c>
      <c r="E1522" s="4" t="s">
        <v>33</v>
      </c>
      <c r="F1522" s="3" t="s">
        <v>176</v>
      </c>
      <c r="G1522" s="3">
        <f t="shared" si="1575"/>
        <v>8.5</v>
      </c>
      <c r="H1522" s="14" t="str">
        <f t="shared" ref="H1522" si="1624">IF(NOT(ISNUMBER(VALUE(G1522))), "NA",IF(VALUE(G1522)&gt;12,"HIGH",IF(VALUE(G1522)&lt;7,"LOW", "VALUE IN RANGE")))</f>
        <v>VALUE IN RANGE</v>
      </c>
    </row>
    <row r="1523" spans="3:8" ht="15" customHeight="1" x14ac:dyDescent="0.25">
      <c r="C1523" s="13" t="str">
        <f t="shared" ref="C1523" si="1625">IF(D1523=D1538,D1537,"falso")</f>
        <v>PATIENT_0096</v>
      </c>
      <c r="D1523" s="4" t="s">
        <v>1567</v>
      </c>
      <c r="E1523" s="1" t="s">
        <v>134</v>
      </c>
      <c r="F1523" s="5" t="s">
        <v>309</v>
      </c>
      <c r="G1523" s="3">
        <f t="shared" si="1575"/>
        <v>8.4</v>
      </c>
      <c r="H1523" s="14" t="str">
        <f t="shared" ref="H1523" si="1626">IF(NOT(ISNUMBER(VALUE(G1523))), "NA",IF(VALUE(G1523)&gt;17,"HIGH",IF(VALUE(G1523)&lt;6,"LOW", "VALUE IN RANGE")))</f>
        <v>VALUE IN RANGE</v>
      </c>
    </row>
    <row r="1524" spans="3:8" x14ac:dyDescent="0.25">
      <c r="C1524" s="13"/>
      <c r="D1524" s="4" t="s">
        <v>1567</v>
      </c>
      <c r="E1524" s="4" t="s">
        <v>136</v>
      </c>
      <c r="F1524" s="3" t="s">
        <v>910</v>
      </c>
      <c r="G1524" s="3">
        <f t="shared" si="1575"/>
        <v>24.9</v>
      </c>
      <c r="H1524" s="14" t="str">
        <f t="shared" ref="H1524" si="1627">IF(NOT(ISNUMBER(VALUE(G1524))), "NA",IF(VALUE(G1524)&gt;30,"HIGH",IF(VALUE(G1524)&lt;12,"LOW", "VALUE IN RANGE")))</f>
        <v>VALUE IN RANGE</v>
      </c>
    </row>
    <row r="1525" spans="3:8" x14ac:dyDescent="0.25">
      <c r="C1525" s="13"/>
      <c r="D1525" s="4" t="s">
        <v>1567</v>
      </c>
      <c r="E1525" s="1" t="s">
        <v>7</v>
      </c>
      <c r="F1525" s="5" t="s">
        <v>47</v>
      </c>
      <c r="G1525" s="3">
        <f t="shared" si="1575"/>
        <v>5.5</v>
      </c>
      <c r="H1525" s="14" t="str">
        <f t="shared" ref="H1525" si="1628">IF(NOT(ISNUMBER(VALUE(G1525))), "NA",IF(VALUE(G1525)&gt;9,"HIGH",IF(VALUE(G1525)&lt;2,"LOW", "VALUE IN RANGE")))</f>
        <v>VALUE IN RANGE</v>
      </c>
    </row>
    <row r="1526" spans="3:8" x14ac:dyDescent="0.25">
      <c r="C1526" s="13"/>
      <c r="D1526" s="4" t="s">
        <v>1567</v>
      </c>
      <c r="E1526" s="4" t="s">
        <v>139</v>
      </c>
      <c r="F1526" s="3" t="s">
        <v>911</v>
      </c>
      <c r="G1526" s="3">
        <f t="shared" si="1575"/>
        <v>69.599999999999994</v>
      </c>
      <c r="H1526" s="14" t="str">
        <f t="shared" ref="H1526" si="1629">IF(NOT(ISNUMBER(VALUE(G1526))), "NA",IF(VALUE(G1526)&gt;83,"HIGH",IF(VALUE(G1526)&lt;60,"LOW", "VALUE IN RANGE")))</f>
        <v>VALUE IN RANGE</v>
      </c>
    </row>
    <row r="1527" spans="3:8" x14ac:dyDescent="0.25">
      <c r="C1527" s="13"/>
      <c r="D1527" s="4" t="s">
        <v>1567</v>
      </c>
      <c r="E1527" s="1" t="s">
        <v>141</v>
      </c>
      <c r="F1527" s="5">
        <v>2000</v>
      </c>
      <c r="G1527" s="3">
        <f t="shared" si="1575"/>
        <v>2000</v>
      </c>
      <c r="H1527" s="14" t="str">
        <f t="shared" ref="H1527" si="1630">IF(NOT(ISNUMBER(VALUE(G1527))), "NA",IF(VALUE(G1527)&gt;5.1,"HIGH",IF(VALUE(G1527)&lt;0.8,"LOW", "VALUE IN RANGE")))</f>
        <v>HIGH</v>
      </c>
    </row>
    <row r="1528" spans="3:8" x14ac:dyDescent="0.25">
      <c r="C1528" s="13"/>
      <c r="D1528" s="4" t="s">
        <v>1567</v>
      </c>
      <c r="E1528" s="4" t="s">
        <v>143</v>
      </c>
      <c r="F1528" s="3" t="s">
        <v>167</v>
      </c>
      <c r="G1528" s="3">
        <f t="shared" si="1575"/>
        <v>0.4</v>
      </c>
      <c r="H1528" s="14" t="str">
        <f t="shared" ref="H1528" si="1631">IF(NOT(ISNUMBER(VALUE(G1528))), "NA",IF(VALUE(G1528)&gt;1.8,"HIGH",IF(VALUE(G1528)&lt;0,"LOW", "VALUE IN RANGE")))</f>
        <v>VALUE IN RANGE</v>
      </c>
    </row>
    <row r="1529" spans="3:8" x14ac:dyDescent="0.25">
      <c r="C1529" s="13"/>
      <c r="D1529" s="4" t="s">
        <v>1567</v>
      </c>
      <c r="E1529" s="1" t="s">
        <v>144</v>
      </c>
      <c r="F1529" s="5">
        <v>6000</v>
      </c>
      <c r="G1529" s="3">
        <f t="shared" si="1575"/>
        <v>6000</v>
      </c>
      <c r="H1529" s="14" t="str">
        <f t="shared" ref="H1529" si="1632">IF(NOT(ISNUMBER(VALUE(G1529))), "NA",IF(VALUE(G1529)&gt;12.6,"HIGH",IF(VALUE(G1529)&lt;4,"LOW", "VALUE IN RANGE")))</f>
        <v>HIGH</v>
      </c>
    </row>
    <row r="1530" spans="3:8" x14ac:dyDescent="0.25">
      <c r="C1530" s="13"/>
      <c r="D1530" s="4" t="s">
        <v>1567</v>
      </c>
      <c r="E1530" s="4" t="s">
        <v>146</v>
      </c>
      <c r="F1530" s="3" t="s">
        <v>912</v>
      </c>
      <c r="G1530" s="3">
        <f t="shared" si="1575"/>
        <v>8.48</v>
      </c>
      <c r="H1530" s="14" t="str">
        <f t="shared" ref="H1530" si="1633">IF(NOT(ISNUMBER(VALUE(G1530))), "NA",IF(VALUE(G1530)&gt;8.5,"HIGH",IF(VALUE(G1530)&lt;5.5,"LOW", "VALUE IN RANGE")))</f>
        <v>VALUE IN RANGE</v>
      </c>
    </row>
    <row r="1531" spans="3:8" x14ac:dyDescent="0.25">
      <c r="C1531" s="13"/>
      <c r="D1531" s="4" t="s">
        <v>1567</v>
      </c>
      <c r="E1531" s="1" t="s">
        <v>148</v>
      </c>
      <c r="F1531" s="5">
        <v>105</v>
      </c>
      <c r="G1531" s="3">
        <f t="shared" si="1575"/>
        <v>105</v>
      </c>
      <c r="H1531" s="14" t="str">
        <f t="shared" ref="H1531" si="1634">IF(NOT(ISNUMBER(VALUE(G1531))), "NA",IF(VALUE(G1531)&gt;190,"HIGH",IF(VALUE(G1531)&lt;110,"LOW", "VALUE IN RANGE")))</f>
        <v>LOW</v>
      </c>
    </row>
    <row r="1532" spans="3:8" x14ac:dyDescent="0.25">
      <c r="C1532" s="13"/>
      <c r="D1532" s="4" t="s">
        <v>1567</v>
      </c>
      <c r="E1532" s="4" t="s">
        <v>150</v>
      </c>
      <c r="F1532" s="3" t="s">
        <v>511</v>
      </c>
      <c r="G1532" s="3">
        <f t="shared" si="1575"/>
        <v>37.6</v>
      </c>
      <c r="H1532" s="14" t="str">
        <f t="shared" ref="H1532" si="1635">IF(NOT(ISNUMBER(VALUE(G1532))), "NA",IF(VALUE(G1532)&gt;56,"HIGH",IF(VALUE(G1532)&lt;39,"LOW", "VALUE IN RANGE")))</f>
        <v>LOW</v>
      </c>
    </row>
    <row r="1533" spans="3:8" x14ac:dyDescent="0.25">
      <c r="C1533" s="13"/>
      <c r="D1533" s="4" t="s">
        <v>1567</v>
      </c>
      <c r="E1533" s="1" t="s">
        <v>152</v>
      </c>
      <c r="F1533" s="5" t="s">
        <v>913</v>
      </c>
      <c r="G1533" s="3">
        <f t="shared" si="1575"/>
        <v>44.4</v>
      </c>
      <c r="H1533" s="14" t="str">
        <f t="shared" ref="H1533" si="1636">IF(NOT(ISNUMBER(VALUE(G1533))), "NA",IF(VALUE(G1533)&gt;72,"HIGH",IF(VALUE(G1533)&lt;62,"LOW", "VALUE IN RANGE")))</f>
        <v>LOW</v>
      </c>
    </row>
    <row r="1534" spans="3:8" x14ac:dyDescent="0.25">
      <c r="C1534" s="13"/>
      <c r="D1534" s="4" t="s">
        <v>1567</v>
      </c>
      <c r="E1534" s="4" t="s">
        <v>154</v>
      </c>
      <c r="F1534" s="3" t="s">
        <v>494</v>
      </c>
      <c r="G1534" s="3">
        <f t="shared" si="1575"/>
        <v>12.3</v>
      </c>
      <c r="H1534" s="14" t="str">
        <f t="shared" ref="H1534" si="1637">IF(NOT(ISNUMBER(VALUE(G1534))), "NA",IF(VALUE(G1534)&gt;25,"HIGH",IF(VALUE(G1534)&lt;20,"LOW", "VALUE IN RANGE")))</f>
        <v>LOW</v>
      </c>
    </row>
    <row r="1535" spans="3:8" x14ac:dyDescent="0.25">
      <c r="C1535" s="13"/>
      <c r="D1535" s="4" t="s">
        <v>1567</v>
      </c>
      <c r="E1535" s="1" t="s">
        <v>27</v>
      </c>
      <c r="F1535" s="5">
        <v>279</v>
      </c>
      <c r="G1535" s="3">
        <f t="shared" si="1575"/>
        <v>279</v>
      </c>
      <c r="H1535" s="14" t="str">
        <f t="shared" ref="H1535" si="1638">IF(NOT(ISNUMBER(VALUE(G1535))), "NA",IF(VALUE(G1535)&gt;380,"HIGH",IF(VALUE(G1535)&lt;300,"LOW", "VALUE IN RANGE")))</f>
        <v>LOW</v>
      </c>
    </row>
    <row r="1536" spans="3:8" x14ac:dyDescent="0.25">
      <c r="C1536" s="13"/>
      <c r="D1536" s="4" t="s">
        <v>1567</v>
      </c>
      <c r="E1536" s="4" t="s">
        <v>157</v>
      </c>
      <c r="F1536" s="3" t="s">
        <v>200</v>
      </c>
      <c r="G1536" s="3">
        <f t="shared" si="1575"/>
        <v>15</v>
      </c>
      <c r="H1536" s="14" t="str">
        <f t="shared" ref="H1536" si="1639">IF(NOT(ISNUMBER(VALUE(G1536))), "NA",IF(VALUE(G1536)&gt;15.5,"HIGH",IF(VALUE(G1536)&lt;11,"LOW", "VALUE IN RANGE")))</f>
        <v>VALUE IN RANGE</v>
      </c>
    </row>
    <row r="1537" spans="3:8" x14ac:dyDescent="0.25">
      <c r="C1537" s="13"/>
      <c r="D1537" s="4" t="s">
        <v>1567</v>
      </c>
      <c r="E1537" s="1" t="s">
        <v>159</v>
      </c>
      <c r="F1537" s="5">
        <v>282</v>
      </c>
      <c r="G1537" s="3">
        <f t="shared" si="1575"/>
        <v>282</v>
      </c>
      <c r="H1537" s="14" t="str">
        <f t="shared" ref="H1537" si="1640">IF(NOT(ISNUMBER(VALUE(G1537))), "NA",IF(VALUE(G1537)&gt;460,"HIGH",IF(VALUE(G1537)&lt;117,"LOW", "VALUE IN RANGE")))</f>
        <v>VALUE IN RANGE</v>
      </c>
    </row>
    <row r="1538" spans="3:8" x14ac:dyDescent="0.25">
      <c r="C1538" s="13"/>
      <c r="D1538" s="4" t="s">
        <v>1567</v>
      </c>
      <c r="E1538" s="4" t="s">
        <v>161</v>
      </c>
      <c r="F1538" s="3" t="s">
        <v>718</v>
      </c>
      <c r="G1538" s="3">
        <f t="shared" si="1575"/>
        <v>11.2</v>
      </c>
      <c r="H1538" s="14" t="str">
        <f t="shared" ref="H1538" si="1641">IF(NOT(ISNUMBER(VALUE(G1538))), "NA",IF(VALUE(G1538)&gt;12,"HIGH",IF(VALUE(G1538)&lt;7,"LOW", "VALUE IN RANGE")))</f>
        <v>VALUE IN RANGE</v>
      </c>
    </row>
    <row r="1539" spans="3:8" ht="15" customHeight="1" x14ac:dyDescent="0.25">
      <c r="C1539" s="13" t="str">
        <f t="shared" ref="C1539" si="1642">IF(D1539=D1554,D1553,"falso")</f>
        <v>PATIENT_0097</v>
      </c>
      <c r="D1539" s="4" t="s">
        <v>1568</v>
      </c>
      <c r="E1539" s="1" t="s">
        <v>3</v>
      </c>
      <c r="F1539" s="5" t="s">
        <v>517</v>
      </c>
      <c r="G1539" s="3">
        <f t="shared" si="1575"/>
        <v>5.8</v>
      </c>
      <c r="H1539" s="14" t="str">
        <f t="shared" ref="H1539" si="1643">IF(NOT(ISNUMBER(VALUE(G1539))), "NA",IF(VALUE(G1539)&gt;17,"HIGH",IF(VALUE(G1539)&lt;6,"LOW", "VALUE IN RANGE")))</f>
        <v>LOW</v>
      </c>
    </row>
    <row r="1540" spans="3:8" x14ac:dyDescent="0.25">
      <c r="C1540" s="13"/>
      <c r="D1540" s="4" t="s">
        <v>1568</v>
      </c>
      <c r="E1540" s="4" t="s">
        <v>5</v>
      </c>
      <c r="F1540" s="3" t="s">
        <v>915</v>
      </c>
      <c r="G1540" s="3">
        <f t="shared" ref="G1540:G1603" si="1644">IFERROR(
   VALUE(
      SUBSTITUTE(
         CLEAN(
            TRIM(F1540)
         ),
         ".",
         ","
      )
   ),
   ""
)</f>
        <v>10.5</v>
      </c>
      <c r="H1540" s="14" t="str">
        <f t="shared" ref="H1540" si="1645">IF(NOT(ISNUMBER(VALUE(G1540))), "NA",IF(VALUE(G1540)&gt;30,"HIGH",IF(VALUE(G1540)&lt;12,"LOW", "VALUE IN RANGE")))</f>
        <v>LOW</v>
      </c>
    </row>
    <row r="1541" spans="3:8" x14ac:dyDescent="0.25">
      <c r="C1541" s="13"/>
      <c r="D1541" s="4" t="s">
        <v>1568</v>
      </c>
      <c r="E1541" s="1" t="s">
        <v>7</v>
      </c>
      <c r="F1541" s="5" t="s">
        <v>190</v>
      </c>
      <c r="G1541" s="3">
        <f t="shared" si="1644"/>
        <v>5.4</v>
      </c>
      <c r="H1541" s="14" t="str">
        <f t="shared" ref="H1541" si="1646">IF(NOT(ISNUMBER(VALUE(G1541))), "NA",IF(VALUE(G1541)&gt;9,"HIGH",IF(VALUE(G1541)&lt;2,"LOW", "VALUE IN RANGE")))</f>
        <v>VALUE IN RANGE</v>
      </c>
    </row>
    <row r="1542" spans="3:8" x14ac:dyDescent="0.25">
      <c r="C1542" s="13"/>
      <c r="D1542" s="4" t="s">
        <v>1568</v>
      </c>
      <c r="E1542" s="4" t="s">
        <v>9</v>
      </c>
      <c r="F1542" s="3" t="s">
        <v>916</v>
      </c>
      <c r="G1542" s="3">
        <f t="shared" si="1644"/>
        <v>84.1</v>
      </c>
      <c r="H1542" s="14" t="str">
        <f t="shared" ref="H1542" si="1647">IF(NOT(ISNUMBER(VALUE(G1542))), "NA",IF(VALUE(G1542)&gt;83,"HIGH",IF(VALUE(G1542)&lt;60,"LOW", "VALUE IN RANGE")))</f>
        <v>HIGH</v>
      </c>
    </row>
    <row r="1543" spans="3:8" x14ac:dyDescent="0.25">
      <c r="C1543" s="13"/>
      <c r="D1543" s="4" t="s">
        <v>1568</v>
      </c>
      <c r="E1543" s="1" t="s">
        <v>11</v>
      </c>
      <c r="F1543" s="5" t="s">
        <v>52</v>
      </c>
      <c r="G1543" s="3">
        <f t="shared" si="1644"/>
        <v>0.6</v>
      </c>
      <c r="H1543" s="14" t="str">
        <f t="shared" ref="H1543" si="1648">IF(NOT(ISNUMBER(VALUE(G1543))), "NA",IF(VALUE(G1543)&gt;5.1,"HIGH",IF(VALUE(G1543)&lt;0.8,"LOW", "VALUE IN RANGE")))</f>
        <v>LOW</v>
      </c>
    </row>
    <row r="1544" spans="3:8" x14ac:dyDescent="0.25">
      <c r="C1544" s="13"/>
      <c r="D1544" s="4" t="s">
        <v>1568</v>
      </c>
      <c r="E1544" s="4" t="s">
        <v>13</v>
      </c>
      <c r="F1544" s="3" t="s">
        <v>14</v>
      </c>
      <c r="G1544" s="3">
        <f t="shared" si="1644"/>
        <v>0.3</v>
      </c>
      <c r="H1544" s="14" t="str">
        <f t="shared" ref="H1544" si="1649">IF(NOT(ISNUMBER(VALUE(G1544))), "NA",IF(VALUE(G1544)&gt;1.8,"HIGH",IF(VALUE(G1544)&lt;0,"LOW", "VALUE IN RANGE")))</f>
        <v>VALUE IN RANGE</v>
      </c>
    </row>
    <row r="1545" spans="3:8" x14ac:dyDescent="0.25">
      <c r="C1545" s="13"/>
      <c r="D1545" s="4" t="s">
        <v>1568</v>
      </c>
      <c r="E1545" s="1" t="s">
        <v>15</v>
      </c>
      <c r="F1545" s="5">
        <v>4900</v>
      </c>
      <c r="G1545" s="3">
        <f t="shared" si="1644"/>
        <v>4900</v>
      </c>
      <c r="H1545" s="14" t="str">
        <f t="shared" ref="H1545" si="1650">IF(NOT(ISNUMBER(VALUE(G1545))), "NA",IF(VALUE(G1545)&gt;12.6,"HIGH",IF(VALUE(G1545)&lt;4,"LOW", "VALUE IN RANGE")))</f>
        <v>HIGH</v>
      </c>
    </row>
    <row r="1546" spans="3:8" x14ac:dyDescent="0.25">
      <c r="C1546" s="13"/>
      <c r="D1546" s="4" t="s">
        <v>1568</v>
      </c>
      <c r="E1546" s="4" t="s">
        <v>17</v>
      </c>
      <c r="F1546" s="3" t="s">
        <v>917</v>
      </c>
      <c r="G1546" s="3">
        <f t="shared" si="1644"/>
        <v>7.17</v>
      </c>
      <c r="H1546" s="14" t="str">
        <f t="shared" ref="H1546" si="1651">IF(NOT(ISNUMBER(VALUE(G1546))), "NA",IF(VALUE(G1546)&gt;8.5,"HIGH",IF(VALUE(G1546)&lt;5.5,"LOW", "VALUE IN RANGE")))</f>
        <v>VALUE IN RANGE</v>
      </c>
    </row>
    <row r="1547" spans="3:8" x14ac:dyDescent="0.25">
      <c r="C1547" s="13"/>
      <c r="D1547" s="4" t="s">
        <v>1568</v>
      </c>
      <c r="E1547" s="1" t="s">
        <v>19</v>
      </c>
      <c r="F1547" s="5">
        <v>150</v>
      </c>
      <c r="G1547" s="3">
        <f t="shared" si="1644"/>
        <v>150</v>
      </c>
      <c r="H1547" s="14" t="str">
        <f t="shared" ref="H1547" si="1652">IF(NOT(ISNUMBER(VALUE(G1547))), "NA",IF(VALUE(G1547)&gt;190,"HIGH",IF(VALUE(G1547)&lt;110,"LOW", "VALUE IN RANGE")))</f>
        <v>VALUE IN RANGE</v>
      </c>
    </row>
    <row r="1548" spans="3:8" x14ac:dyDescent="0.25">
      <c r="C1548" s="13"/>
      <c r="D1548" s="4" t="s">
        <v>1568</v>
      </c>
      <c r="E1548" s="4" t="s">
        <v>21</v>
      </c>
      <c r="F1548" s="3" t="s">
        <v>918</v>
      </c>
      <c r="G1548" s="3">
        <f t="shared" si="1644"/>
        <v>44.8</v>
      </c>
      <c r="H1548" s="14" t="str">
        <f t="shared" ref="H1548" si="1653">IF(NOT(ISNUMBER(VALUE(G1548))), "NA",IF(VALUE(G1548)&gt;56,"HIGH",IF(VALUE(G1548)&lt;39,"LOW", "VALUE IN RANGE")))</f>
        <v>VALUE IN RANGE</v>
      </c>
    </row>
    <row r="1549" spans="3:8" x14ac:dyDescent="0.25">
      <c r="C1549" s="13"/>
      <c r="D1549" s="4" t="s">
        <v>1568</v>
      </c>
      <c r="E1549" s="1" t="s">
        <v>23</v>
      </c>
      <c r="F1549" s="5" t="s">
        <v>919</v>
      </c>
      <c r="G1549" s="3">
        <f t="shared" si="1644"/>
        <v>62.5</v>
      </c>
      <c r="H1549" s="14" t="str">
        <f t="shared" ref="H1549" si="1654">IF(NOT(ISNUMBER(VALUE(G1549))), "NA",IF(VALUE(G1549)&gt;72,"HIGH",IF(VALUE(G1549)&lt;62,"LOW", "VALUE IN RANGE")))</f>
        <v>VALUE IN RANGE</v>
      </c>
    </row>
    <row r="1550" spans="3:8" x14ac:dyDescent="0.25">
      <c r="C1550" s="13"/>
      <c r="D1550" s="4" t="s">
        <v>1568</v>
      </c>
      <c r="E1550" s="4" t="s">
        <v>25</v>
      </c>
      <c r="F1550" s="3" t="s">
        <v>101</v>
      </c>
      <c r="G1550" s="3">
        <f t="shared" si="1644"/>
        <v>20.9</v>
      </c>
      <c r="H1550" s="14" t="str">
        <f t="shared" ref="H1550" si="1655">IF(NOT(ISNUMBER(VALUE(G1550))), "NA",IF(VALUE(G1550)&gt;25,"HIGH",IF(VALUE(G1550)&lt;20,"LOW", "VALUE IN RANGE")))</f>
        <v>VALUE IN RANGE</v>
      </c>
    </row>
    <row r="1551" spans="3:8" x14ac:dyDescent="0.25">
      <c r="C1551" s="13"/>
      <c r="D1551" s="4" t="s">
        <v>1568</v>
      </c>
      <c r="E1551" s="1" t="s">
        <v>27</v>
      </c>
      <c r="F1551" s="5">
        <v>334</v>
      </c>
      <c r="G1551" s="3">
        <f t="shared" si="1644"/>
        <v>334</v>
      </c>
      <c r="H1551" s="14" t="str">
        <f t="shared" ref="H1551" si="1656">IF(NOT(ISNUMBER(VALUE(G1551))), "NA",IF(VALUE(G1551)&gt;380,"HIGH",IF(VALUE(G1551)&lt;300,"LOW", "VALUE IN RANGE")))</f>
        <v>VALUE IN RANGE</v>
      </c>
    </row>
    <row r="1552" spans="3:8" x14ac:dyDescent="0.25">
      <c r="C1552" s="13"/>
      <c r="D1552" s="4" t="s">
        <v>1568</v>
      </c>
      <c r="E1552" s="4" t="s">
        <v>29</v>
      </c>
      <c r="F1552" s="3" t="s">
        <v>671</v>
      </c>
      <c r="G1552" s="3">
        <f t="shared" si="1644"/>
        <v>13.5</v>
      </c>
      <c r="H1552" s="14" t="str">
        <f t="shared" ref="H1552" si="1657">IF(NOT(ISNUMBER(VALUE(G1552))), "NA",IF(VALUE(G1552)&gt;15.5,"HIGH",IF(VALUE(G1552)&lt;11,"LOW", "VALUE IN RANGE")))</f>
        <v>VALUE IN RANGE</v>
      </c>
    </row>
    <row r="1553" spans="3:8" x14ac:dyDescent="0.25">
      <c r="C1553" s="13"/>
      <c r="D1553" s="4" t="s">
        <v>1568</v>
      </c>
      <c r="E1553" s="1" t="s">
        <v>31</v>
      </c>
      <c r="F1553" s="5">
        <v>276</v>
      </c>
      <c r="G1553" s="3">
        <f t="shared" si="1644"/>
        <v>276</v>
      </c>
      <c r="H1553" s="14" t="str">
        <f t="shared" ref="H1553" si="1658">IF(NOT(ISNUMBER(VALUE(G1553))), "NA",IF(VALUE(G1553)&gt;460,"HIGH",IF(VALUE(G1553)&lt;117,"LOW", "VALUE IN RANGE")))</f>
        <v>VALUE IN RANGE</v>
      </c>
    </row>
    <row r="1554" spans="3:8" x14ac:dyDescent="0.25">
      <c r="C1554" s="13"/>
      <c r="D1554" s="4" t="s">
        <v>1568</v>
      </c>
      <c r="E1554" s="4" t="s">
        <v>33</v>
      </c>
      <c r="F1554" s="3" t="s">
        <v>920</v>
      </c>
      <c r="G1554" s="3">
        <f t="shared" si="1644"/>
        <v>10</v>
      </c>
      <c r="H1554" s="14" t="str">
        <f t="shared" ref="H1554" si="1659">IF(NOT(ISNUMBER(VALUE(G1554))), "NA",IF(VALUE(G1554)&gt;12,"HIGH",IF(VALUE(G1554)&lt;7,"LOW", "VALUE IN RANGE")))</f>
        <v>VALUE IN RANGE</v>
      </c>
    </row>
    <row r="1555" spans="3:8" ht="15" customHeight="1" x14ac:dyDescent="0.25">
      <c r="C1555" s="13" t="str">
        <f t="shared" ref="C1555" si="1660">IF(D1555=D1570,D1569,"falso")</f>
        <v>PATIENT_0098</v>
      </c>
      <c r="D1555" s="4" t="s">
        <v>1569</v>
      </c>
      <c r="E1555" s="1" t="s">
        <v>3</v>
      </c>
      <c r="F1555" s="5" t="s">
        <v>445</v>
      </c>
      <c r="G1555" s="3">
        <f t="shared" si="1644"/>
        <v>10.199999999999999</v>
      </c>
      <c r="H1555" s="14" t="str">
        <f t="shared" ref="H1555" si="1661">IF(NOT(ISNUMBER(VALUE(G1555))), "NA",IF(VALUE(G1555)&gt;17,"HIGH",IF(VALUE(G1555)&lt;6,"LOW", "VALUE IN RANGE")))</f>
        <v>VALUE IN RANGE</v>
      </c>
    </row>
    <row r="1556" spans="3:8" x14ac:dyDescent="0.25">
      <c r="C1556" s="13"/>
      <c r="D1556" s="4" t="s">
        <v>1569</v>
      </c>
      <c r="E1556" s="4" t="s">
        <v>5</v>
      </c>
      <c r="F1556" s="3" t="s">
        <v>757</v>
      </c>
      <c r="G1556" s="3">
        <f t="shared" si="1644"/>
        <v>6.7</v>
      </c>
      <c r="H1556" s="14" t="str">
        <f t="shared" ref="H1556" si="1662">IF(NOT(ISNUMBER(VALUE(G1556))), "NA",IF(VALUE(G1556)&gt;30,"HIGH",IF(VALUE(G1556)&lt;12,"LOW", "VALUE IN RANGE")))</f>
        <v>LOW</v>
      </c>
    </row>
    <row r="1557" spans="3:8" x14ac:dyDescent="0.25">
      <c r="C1557" s="13"/>
      <c r="D1557" s="4" t="s">
        <v>1569</v>
      </c>
      <c r="E1557" s="1" t="s">
        <v>7</v>
      </c>
      <c r="F1557" s="5" t="s">
        <v>453</v>
      </c>
      <c r="G1557" s="3">
        <f t="shared" si="1644"/>
        <v>5</v>
      </c>
      <c r="H1557" s="14" t="str">
        <f t="shared" ref="H1557" si="1663">IF(NOT(ISNUMBER(VALUE(G1557))), "NA",IF(VALUE(G1557)&gt;9,"HIGH",IF(VALUE(G1557)&lt;2,"LOW", "VALUE IN RANGE")))</f>
        <v>VALUE IN RANGE</v>
      </c>
    </row>
    <row r="1558" spans="3:8" x14ac:dyDescent="0.25">
      <c r="C1558" s="13"/>
      <c r="D1558" s="4" t="s">
        <v>1569</v>
      </c>
      <c r="E1558" s="4" t="s">
        <v>9</v>
      </c>
      <c r="F1558" s="3" t="s">
        <v>921</v>
      </c>
      <c r="G1558" s="3">
        <f t="shared" si="1644"/>
        <v>88.3</v>
      </c>
      <c r="H1558" s="14" t="str">
        <f t="shared" ref="H1558" si="1664">IF(NOT(ISNUMBER(VALUE(G1558))), "NA",IF(VALUE(G1558)&gt;83,"HIGH",IF(VALUE(G1558)&lt;60,"LOW", "VALUE IN RANGE")))</f>
        <v>HIGH</v>
      </c>
    </row>
    <row r="1559" spans="3:8" x14ac:dyDescent="0.25">
      <c r="C1559" s="13"/>
      <c r="D1559" s="4" t="s">
        <v>1569</v>
      </c>
      <c r="E1559" s="1" t="s">
        <v>11</v>
      </c>
      <c r="F1559" s="5" t="s">
        <v>52</v>
      </c>
      <c r="G1559" s="3">
        <f t="shared" si="1644"/>
        <v>0.6</v>
      </c>
      <c r="H1559" s="14" t="str">
        <f t="shared" ref="H1559" si="1665">IF(NOT(ISNUMBER(VALUE(G1559))), "NA",IF(VALUE(G1559)&gt;5.1,"HIGH",IF(VALUE(G1559)&lt;0.8,"LOW", "VALUE IN RANGE")))</f>
        <v>LOW</v>
      </c>
    </row>
    <row r="1560" spans="3:8" x14ac:dyDescent="0.25">
      <c r="C1560" s="13"/>
      <c r="D1560" s="4" t="s">
        <v>1569</v>
      </c>
      <c r="E1560" s="4" t="s">
        <v>13</v>
      </c>
      <c r="F1560" s="3" t="s">
        <v>109</v>
      </c>
      <c r="G1560" s="3">
        <f t="shared" si="1644"/>
        <v>0.5</v>
      </c>
      <c r="H1560" s="14" t="str">
        <f t="shared" ref="H1560" si="1666">IF(NOT(ISNUMBER(VALUE(G1560))), "NA",IF(VALUE(G1560)&gt;1.8,"HIGH",IF(VALUE(G1560)&lt;0,"LOW", "VALUE IN RANGE")))</f>
        <v>VALUE IN RANGE</v>
      </c>
    </row>
    <row r="1561" spans="3:8" x14ac:dyDescent="0.25">
      <c r="C1561" s="13"/>
      <c r="D1561" s="4" t="s">
        <v>1569</v>
      </c>
      <c r="E1561" s="1" t="s">
        <v>15</v>
      </c>
      <c r="F1561" s="5">
        <v>9100</v>
      </c>
      <c r="G1561" s="3">
        <f t="shared" si="1644"/>
        <v>9100</v>
      </c>
      <c r="H1561" s="14" t="str">
        <f t="shared" ref="H1561" si="1667">IF(NOT(ISNUMBER(VALUE(G1561))), "NA",IF(VALUE(G1561)&gt;12.6,"HIGH",IF(VALUE(G1561)&lt;4,"LOW", "VALUE IN RANGE")))</f>
        <v>HIGH</v>
      </c>
    </row>
    <row r="1562" spans="3:8" x14ac:dyDescent="0.25">
      <c r="C1562" s="13"/>
      <c r="D1562" s="4" t="s">
        <v>1569</v>
      </c>
      <c r="E1562" s="4" t="s">
        <v>17</v>
      </c>
      <c r="F1562" s="3" t="s">
        <v>755</v>
      </c>
      <c r="G1562" s="3">
        <f t="shared" si="1644"/>
        <v>3.6</v>
      </c>
      <c r="H1562" s="14" t="str">
        <f t="shared" ref="H1562" si="1668">IF(NOT(ISNUMBER(VALUE(G1562))), "NA",IF(VALUE(G1562)&gt;8.5,"HIGH",IF(VALUE(G1562)&lt;5.5,"LOW", "VALUE IN RANGE")))</f>
        <v>LOW</v>
      </c>
    </row>
    <row r="1563" spans="3:8" x14ac:dyDescent="0.25">
      <c r="C1563" s="13"/>
      <c r="D1563" s="4" t="s">
        <v>1569</v>
      </c>
      <c r="E1563" s="1" t="s">
        <v>19</v>
      </c>
      <c r="F1563" s="5">
        <v>74</v>
      </c>
      <c r="G1563" s="3">
        <f t="shared" si="1644"/>
        <v>74</v>
      </c>
      <c r="H1563" s="14" t="str">
        <f t="shared" ref="H1563" si="1669">IF(NOT(ISNUMBER(VALUE(G1563))), "NA",IF(VALUE(G1563)&gt;190,"HIGH",IF(VALUE(G1563)&lt;110,"LOW", "VALUE IN RANGE")))</f>
        <v>LOW</v>
      </c>
    </row>
    <row r="1564" spans="3:8" x14ac:dyDescent="0.25">
      <c r="C1564" s="13"/>
      <c r="D1564" s="4" t="s">
        <v>1569</v>
      </c>
      <c r="E1564" s="4" t="s">
        <v>21</v>
      </c>
      <c r="F1564" s="3" t="s">
        <v>803</v>
      </c>
      <c r="G1564" s="3">
        <f t="shared" si="1644"/>
        <v>23.9</v>
      </c>
      <c r="H1564" s="14" t="str">
        <f t="shared" ref="H1564" si="1670">IF(NOT(ISNUMBER(VALUE(G1564))), "NA",IF(VALUE(G1564)&gt;56,"HIGH",IF(VALUE(G1564)&lt;39,"LOW", "VALUE IN RANGE")))</f>
        <v>LOW</v>
      </c>
    </row>
    <row r="1565" spans="3:8" x14ac:dyDescent="0.25">
      <c r="C1565" s="13"/>
      <c r="D1565" s="4" t="s">
        <v>1569</v>
      </c>
      <c r="E1565" s="1" t="s">
        <v>23</v>
      </c>
      <c r="F1565" s="5" t="s">
        <v>923</v>
      </c>
      <c r="G1565" s="3">
        <f t="shared" si="1644"/>
        <v>66.400000000000006</v>
      </c>
      <c r="H1565" s="14" t="str">
        <f t="shared" ref="H1565" si="1671">IF(NOT(ISNUMBER(VALUE(G1565))), "NA",IF(VALUE(G1565)&gt;72,"HIGH",IF(VALUE(G1565)&lt;62,"LOW", "VALUE IN RANGE")))</f>
        <v>VALUE IN RANGE</v>
      </c>
    </row>
    <row r="1566" spans="3:8" x14ac:dyDescent="0.25">
      <c r="C1566" s="13"/>
      <c r="D1566" s="4" t="s">
        <v>1569</v>
      </c>
      <c r="E1566" s="4" t="s">
        <v>25</v>
      </c>
      <c r="F1566" s="3" t="s">
        <v>924</v>
      </c>
      <c r="G1566" s="3">
        <f t="shared" si="1644"/>
        <v>20.5</v>
      </c>
      <c r="H1566" s="14" t="str">
        <f t="shared" ref="H1566" si="1672">IF(NOT(ISNUMBER(VALUE(G1566))), "NA",IF(VALUE(G1566)&gt;25,"HIGH",IF(VALUE(G1566)&lt;20,"LOW", "VALUE IN RANGE")))</f>
        <v>VALUE IN RANGE</v>
      </c>
    </row>
    <row r="1567" spans="3:8" x14ac:dyDescent="0.25">
      <c r="C1567" s="13"/>
      <c r="D1567" s="4" t="s">
        <v>1569</v>
      </c>
      <c r="E1567" s="1" t="s">
        <v>27</v>
      </c>
      <c r="F1567" s="5">
        <v>309</v>
      </c>
      <c r="G1567" s="3">
        <f t="shared" si="1644"/>
        <v>309</v>
      </c>
      <c r="H1567" s="14" t="str">
        <f t="shared" ref="H1567" si="1673">IF(NOT(ISNUMBER(VALUE(G1567))), "NA",IF(VALUE(G1567)&gt;380,"HIGH",IF(VALUE(G1567)&lt;300,"LOW", "VALUE IN RANGE")))</f>
        <v>VALUE IN RANGE</v>
      </c>
    </row>
    <row r="1568" spans="3:8" x14ac:dyDescent="0.25">
      <c r="C1568" s="13"/>
      <c r="D1568" s="4" t="s">
        <v>1569</v>
      </c>
      <c r="E1568" s="4" t="s">
        <v>29</v>
      </c>
      <c r="F1568" s="3" t="s">
        <v>926</v>
      </c>
      <c r="G1568" s="3">
        <f t="shared" si="1644"/>
        <v>13.3</v>
      </c>
      <c r="H1568" s="14" t="str">
        <f t="shared" ref="H1568" si="1674">IF(NOT(ISNUMBER(VALUE(G1568))), "NA",IF(VALUE(G1568)&gt;15.5,"HIGH",IF(VALUE(G1568)&lt;11,"LOW", "VALUE IN RANGE")))</f>
        <v>VALUE IN RANGE</v>
      </c>
    </row>
    <row r="1569" spans="3:8" x14ac:dyDescent="0.25">
      <c r="C1569" s="13"/>
      <c r="D1569" s="4" t="s">
        <v>1569</v>
      </c>
      <c r="E1569" s="1" t="s">
        <v>31</v>
      </c>
      <c r="F1569" s="5">
        <v>5</v>
      </c>
      <c r="G1569" s="3">
        <f t="shared" si="1644"/>
        <v>5</v>
      </c>
      <c r="H1569" s="14" t="str">
        <f t="shared" ref="H1569" si="1675">IF(NOT(ISNUMBER(VALUE(G1569))), "NA",IF(VALUE(G1569)&gt;460,"HIGH",IF(VALUE(G1569)&lt;117,"LOW", "VALUE IN RANGE")))</f>
        <v>LOW</v>
      </c>
    </row>
    <row r="1570" spans="3:8" x14ac:dyDescent="0.25">
      <c r="C1570" s="13"/>
      <c r="D1570" s="4" t="s">
        <v>1569</v>
      </c>
      <c r="E1570" s="4" t="s">
        <v>33</v>
      </c>
      <c r="F1570" s="3" t="s">
        <v>928</v>
      </c>
      <c r="G1570" s="3">
        <f t="shared" si="1644"/>
        <v>6.5</v>
      </c>
      <c r="H1570" s="14" t="str">
        <f t="shared" ref="H1570" si="1676">IF(NOT(ISNUMBER(VALUE(G1570))), "NA",IF(VALUE(G1570)&gt;12,"HIGH",IF(VALUE(G1570)&lt;7,"LOW", "VALUE IN RANGE")))</f>
        <v>LOW</v>
      </c>
    </row>
    <row r="1571" spans="3:8" ht="15" customHeight="1" x14ac:dyDescent="0.25">
      <c r="C1571" s="13" t="str">
        <f t="shared" ref="C1571" si="1677">IF(D1571=D1586,D1585,"falso")</f>
        <v>PATIENT_0099</v>
      </c>
      <c r="D1571" s="4" t="s">
        <v>1570</v>
      </c>
      <c r="E1571" s="1" t="s">
        <v>134</v>
      </c>
      <c r="F1571" s="5" t="s">
        <v>929</v>
      </c>
      <c r="G1571" s="3">
        <f t="shared" si="1644"/>
        <v>16.3</v>
      </c>
      <c r="H1571" s="14" t="str">
        <f t="shared" ref="H1571" si="1678">IF(NOT(ISNUMBER(VALUE(G1571))), "NA",IF(VALUE(G1571)&gt;17,"HIGH",IF(VALUE(G1571)&lt;6,"LOW", "VALUE IN RANGE")))</f>
        <v>VALUE IN RANGE</v>
      </c>
    </row>
    <row r="1572" spans="3:8" x14ac:dyDescent="0.25">
      <c r="C1572" s="13"/>
      <c r="D1572" s="4" t="s">
        <v>1570</v>
      </c>
      <c r="E1572" s="4" t="s">
        <v>136</v>
      </c>
      <c r="F1572" s="3" t="s">
        <v>930</v>
      </c>
      <c r="G1572" s="3">
        <f t="shared" si="1644"/>
        <v>18.2</v>
      </c>
      <c r="H1572" s="14" t="str">
        <f t="shared" ref="H1572" si="1679">IF(NOT(ISNUMBER(VALUE(G1572))), "NA",IF(VALUE(G1572)&gt;30,"HIGH",IF(VALUE(G1572)&lt;12,"LOW", "VALUE IN RANGE")))</f>
        <v>VALUE IN RANGE</v>
      </c>
    </row>
    <row r="1573" spans="3:8" x14ac:dyDescent="0.25">
      <c r="C1573" s="13"/>
      <c r="D1573" s="4" t="s">
        <v>1570</v>
      </c>
      <c r="E1573" s="1" t="s">
        <v>7</v>
      </c>
      <c r="F1573" s="5" t="s">
        <v>407</v>
      </c>
      <c r="G1573" s="3">
        <f t="shared" si="1644"/>
        <v>3.7</v>
      </c>
      <c r="H1573" s="14" t="str">
        <f t="shared" ref="H1573" si="1680">IF(NOT(ISNUMBER(VALUE(G1573))), "NA",IF(VALUE(G1573)&gt;9,"HIGH",IF(VALUE(G1573)&lt;2,"LOW", "VALUE IN RANGE")))</f>
        <v>VALUE IN RANGE</v>
      </c>
    </row>
    <row r="1574" spans="3:8" x14ac:dyDescent="0.25">
      <c r="C1574" s="13"/>
      <c r="D1574" s="4" t="s">
        <v>1570</v>
      </c>
      <c r="E1574" s="4" t="s">
        <v>139</v>
      </c>
      <c r="F1574" s="3" t="s">
        <v>931</v>
      </c>
      <c r="G1574" s="3">
        <f t="shared" si="1644"/>
        <v>78.099999999999994</v>
      </c>
      <c r="H1574" s="14" t="str">
        <f t="shared" ref="H1574" si="1681">IF(NOT(ISNUMBER(VALUE(G1574))), "NA",IF(VALUE(G1574)&gt;83,"HIGH",IF(VALUE(G1574)&lt;60,"LOW", "VALUE IN RANGE")))</f>
        <v>VALUE IN RANGE</v>
      </c>
    </row>
    <row r="1575" spans="3:8" x14ac:dyDescent="0.25">
      <c r="C1575" s="13"/>
      <c r="D1575" s="4" t="s">
        <v>1570</v>
      </c>
      <c r="E1575" s="1" t="s">
        <v>141</v>
      </c>
      <c r="F1575" s="5">
        <v>2900</v>
      </c>
      <c r="G1575" s="3">
        <f t="shared" si="1644"/>
        <v>2900</v>
      </c>
      <c r="H1575" s="14" t="str">
        <f t="shared" ref="H1575" si="1682">IF(NOT(ISNUMBER(VALUE(G1575))), "NA",IF(VALUE(G1575)&gt;5.1,"HIGH",IF(VALUE(G1575)&lt;0.8,"LOW", "VALUE IN RANGE")))</f>
        <v>HIGH</v>
      </c>
    </row>
    <row r="1576" spans="3:8" x14ac:dyDescent="0.25">
      <c r="C1576" s="13"/>
      <c r="D1576" s="4" t="s">
        <v>1570</v>
      </c>
      <c r="E1576" s="4" t="s">
        <v>143</v>
      </c>
      <c r="F1576" s="3" t="s">
        <v>52</v>
      </c>
      <c r="G1576" s="3">
        <f t="shared" si="1644"/>
        <v>0.6</v>
      </c>
      <c r="H1576" s="14" t="str">
        <f t="shared" ref="H1576" si="1683">IF(NOT(ISNUMBER(VALUE(G1576))), "NA",IF(VALUE(G1576)&gt;1.8,"HIGH",IF(VALUE(G1576)&lt;0,"LOW", "VALUE IN RANGE")))</f>
        <v>VALUE IN RANGE</v>
      </c>
    </row>
    <row r="1577" spans="3:8" x14ac:dyDescent="0.25">
      <c r="C1577" s="13"/>
      <c r="D1577" s="4" t="s">
        <v>1570</v>
      </c>
      <c r="E1577" s="1" t="s">
        <v>144</v>
      </c>
      <c r="F1577" s="5">
        <v>12800</v>
      </c>
      <c r="G1577" s="3">
        <f t="shared" si="1644"/>
        <v>12800</v>
      </c>
      <c r="H1577" s="14" t="str">
        <f t="shared" ref="H1577" si="1684">IF(NOT(ISNUMBER(VALUE(G1577))), "NA",IF(VALUE(G1577)&gt;12.6,"HIGH",IF(VALUE(G1577)&lt;4,"LOW", "VALUE IN RANGE")))</f>
        <v>HIGH</v>
      </c>
    </row>
    <row r="1578" spans="3:8" x14ac:dyDescent="0.25">
      <c r="C1578" s="13"/>
      <c r="D1578" s="4" t="s">
        <v>1570</v>
      </c>
      <c r="E1578" s="4" t="s">
        <v>146</v>
      </c>
      <c r="F1578" s="3" t="s">
        <v>806</v>
      </c>
      <c r="G1578" s="3">
        <f t="shared" si="1644"/>
        <v>9.6999999999999993</v>
      </c>
      <c r="H1578" s="14" t="str">
        <f t="shared" ref="H1578" si="1685">IF(NOT(ISNUMBER(VALUE(G1578))), "NA",IF(VALUE(G1578)&gt;8.5,"HIGH",IF(VALUE(G1578)&lt;5.5,"LOW", "VALUE IN RANGE")))</f>
        <v>HIGH</v>
      </c>
    </row>
    <row r="1579" spans="3:8" x14ac:dyDescent="0.25">
      <c r="C1579" s="13"/>
      <c r="D1579" s="4" t="s">
        <v>1570</v>
      </c>
      <c r="E1579" s="1" t="s">
        <v>148</v>
      </c>
      <c r="F1579" s="5">
        <v>132</v>
      </c>
      <c r="G1579" s="3">
        <f t="shared" si="1644"/>
        <v>132</v>
      </c>
      <c r="H1579" s="14" t="str">
        <f t="shared" ref="H1579" si="1686">IF(NOT(ISNUMBER(VALUE(G1579))), "NA",IF(VALUE(G1579)&gt;190,"HIGH",IF(VALUE(G1579)&lt;110,"LOW", "VALUE IN RANGE")))</f>
        <v>VALUE IN RANGE</v>
      </c>
    </row>
    <row r="1580" spans="3:8" x14ac:dyDescent="0.25">
      <c r="C1580" s="13"/>
      <c r="D1580" s="4" t="s">
        <v>1570</v>
      </c>
      <c r="E1580" s="4" t="s">
        <v>150</v>
      </c>
      <c r="F1580" s="3" t="s">
        <v>833</v>
      </c>
      <c r="G1580" s="3">
        <f t="shared" si="1644"/>
        <v>47.9</v>
      </c>
      <c r="H1580" s="14" t="str">
        <f t="shared" ref="H1580" si="1687">IF(NOT(ISNUMBER(VALUE(G1580))), "NA",IF(VALUE(G1580)&gt;56,"HIGH",IF(VALUE(G1580)&lt;39,"LOW", "VALUE IN RANGE")))</f>
        <v>VALUE IN RANGE</v>
      </c>
    </row>
    <row r="1581" spans="3:8" x14ac:dyDescent="0.25">
      <c r="C1581" s="13"/>
      <c r="D1581" s="4" t="s">
        <v>1570</v>
      </c>
      <c r="E1581" s="1" t="s">
        <v>152</v>
      </c>
      <c r="F1581" s="5" t="s">
        <v>597</v>
      </c>
      <c r="G1581" s="3">
        <f t="shared" si="1644"/>
        <v>49.4</v>
      </c>
      <c r="H1581" s="14" t="str">
        <f t="shared" ref="H1581" si="1688">IF(NOT(ISNUMBER(VALUE(G1581))), "NA",IF(VALUE(G1581)&gt;72,"HIGH",IF(VALUE(G1581)&lt;62,"LOW", "VALUE IN RANGE")))</f>
        <v>LOW</v>
      </c>
    </row>
    <row r="1582" spans="3:8" x14ac:dyDescent="0.25">
      <c r="C1582" s="13"/>
      <c r="D1582" s="4" t="s">
        <v>1570</v>
      </c>
      <c r="E1582" s="4" t="s">
        <v>154</v>
      </c>
      <c r="F1582" s="3" t="s">
        <v>525</v>
      </c>
      <c r="G1582" s="3">
        <f t="shared" si="1644"/>
        <v>13.6</v>
      </c>
      <c r="H1582" s="14" t="str">
        <f t="shared" ref="H1582" si="1689">IF(NOT(ISNUMBER(VALUE(G1582))), "NA",IF(VALUE(G1582)&gt;25,"HIGH",IF(VALUE(G1582)&lt;20,"LOW", "VALUE IN RANGE")))</f>
        <v>LOW</v>
      </c>
    </row>
    <row r="1583" spans="3:8" x14ac:dyDescent="0.25">
      <c r="C1583" s="13"/>
      <c r="D1583" s="4" t="s">
        <v>1570</v>
      </c>
      <c r="E1583" s="1" t="s">
        <v>27</v>
      </c>
      <c r="F1583" s="5">
        <v>275</v>
      </c>
      <c r="G1583" s="3">
        <f t="shared" si="1644"/>
        <v>275</v>
      </c>
      <c r="H1583" s="14" t="str">
        <f t="shared" ref="H1583" si="1690">IF(NOT(ISNUMBER(VALUE(G1583))), "NA",IF(VALUE(G1583)&gt;380,"HIGH",IF(VALUE(G1583)&lt;300,"LOW", "VALUE IN RANGE")))</f>
        <v>LOW</v>
      </c>
    </row>
    <row r="1584" spans="3:8" x14ac:dyDescent="0.25">
      <c r="C1584" s="13"/>
      <c r="D1584" s="4" t="s">
        <v>1570</v>
      </c>
      <c r="E1584" s="4" t="s">
        <v>157</v>
      </c>
      <c r="F1584" s="3" t="s">
        <v>130</v>
      </c>
      <c r="G1584" s="3">
        <f t="shared" si="1644"/>
        <v>14.3</v>
      </c>
      <c r="H1584" s="14" t="str">
        <f t="shared" ref="H1584" si="1691">IF(NOT(ISNUMBER(VALUE(G1584))), "NA",IF(VALUE(G1584)&gt;15.5,"HIGH",IF(VALUE(G1584)&lt;11,"LOW", "VALUE IN RANGE")))</f>
        <v>VALUE IN RANGE</v>
      </c>
    </row>
    <row r="1585" spans="3:8" x14ac:dyDescent="0.25">
      <c r="C1585" s="13"/>
      <c r="D1585" s="4" t="s">
        <v>1570</v>
      </c>
      <c r="E1585" s="1" t="s">
        <v>159</v>
      </c>
      <c r="F1585" s="5">
        <v>233</v>
      </c>
      <c r="G1585" s="3">
        <f t="shared" si="1644"/>
        <v>233</v>
      </c>
      <c r="H1585" s="14" t="str">
        <f t="shared" ref="H1585" si="1692">IF(NOT(ISNUMBER(VALUE(G1585))), "NA",IF(VALUE(G1585)&gt;460,"HIGH",IF(VALUE(G1585)&lt;117,"LOW", "VALUE IN RANGE")))</f>
        <v>VALUE IN RANGE</v>
      </c>
    </row>
    <row r="1586" spans="3:8" x14ac:dyDescent="0.25">
      <c r="C1586" s="13"/>
      <c r="D1586" s="4" t="s">
        <v>1570</v>
      </c>
      <c r="E1586" s="4" t="s">
        <v>161</v>
      </c>
      <c r="F1586" s="3" t="s">
        <v>920</v>
      </c>
      <c r="G1586" s="3">
        <f t="shared" si="1644"/>
        <v>10</v>
      </c>
      <c r="H1586" s="14" t="str">
        <f t="shared" ref="H1586" si="1693">IF(NOT(ISNUMBER(VALUE(G1586))), "NA",IF(VALUE(G1586)&gt;12,"HIGH",IF(VALUE(G1586)&lt;7,"LOW", "VALUE IN RANGE")))</f>
        <v>VALUE IN RANGE</v>
      </c>
    </row>
    <row r="1587" spans="3:8" ht="15" customHeight="1" x14ac:dyDescent="0.25">
      <c r="C1587" s="13" t="str">
        <f t="shared" ref="C1587" si="1694">IF(D1587=D1602,D1601,"falso")</f>
        <v>PATIENT_0100</v>
      </c>
      <c r="D1587" s="4" t="s">
        <v>1571</v>
      </c>
      <c r="E1587" s="1" t="s">
        <v>3</v>
      </c>
      <c r="F1587" s="5" t="s">
        <v>934</v>
      </c>
      <c r="G1587" s="3">
        <f t="shared" si="1644"/>
        <v>16.100000000000001</v>
      </c>
      <c r="H1587" s="14" t="str">
        <f t="shared" ref="H1587" si="1695">IF(NOT(ISNUMBER(VALUE(G1587))), "NA",IF(VALUE(G1587)&gt;17,"HIGH",IF(VALUE(G1587)&lt;6,"LOW", "VALUE IN RANGE")))</f>
        <v>VALUE IN RANGE</v>
      </c>
    </row>
    <row r="1588" spans="3:8" x14ac:dyDescent="0.25">
      <c r="C1588" s="13"/>
      <c r="D1588" s="4" t="s">
        <v>1571</v>
      </c>
      <c r="E1588" s="4" t="s">
        <v>5</v>
      </c>
      <c r="F1588" s="3" t="s">
        <v>935</v>
      </c>
      <c r="G1588" s="3">
        <f t="shared" si="1644"/>
        <v>24.3</v>
      </c>
      <c r="H1588" s="14" t="str">
        <f t="shared" ref="H1588" si="1696">IF(NOT(ISNUMBER(VALUE(G1588))), "NA",IF(VALUE(G1588)&gt;30,"HIGH",IF(VALUE(G1588)&lt;12,"LOW", "VALUE IN RANGE")))</f>
        <v>VALUE IN RANGE</v>
      </c>
    </row>
    <row r="1589" spans="3:8" x14ac:dyDescent="0.25">
      <c r="C1589" s="13"/>
      <c r="D1589" s="4" t="s">
        <v>1571</v>
      </c>
      <c r="E1589" s="1" t="s">
        <v>7</v>
      </c>
      <c r="F1589" s="5" t="s">
        <v>936</v>
      </c>
      <c r="G1589" s="3">
        <f t="shared" si="1644"/>
        <v>15.3</v>
      </c>
      <c r="H1589" s="14" t="str">
        <f t="shared" ref="H1589" si="1697">IF(NOT(ISNUMBER(VALUE(G1589))), "NA",IF(VALUE(G1589)&gt;9,"HIGH",IF(VALUE(G1589)&lt;2,"LOW", "VALUE IN RANGE")))</f>
        <v>HIGH</v>
      </c>
    </row>
    <row r="1590" spans="3:8" x14ac:dyDescent="0.25">
      <c r="C1590" s="13"/>
      <c r="D1590" s="4" t="s">
        <v>1571</v>
      </c>
      <c r="E1590" s="4" t="s">
        <v>9</v>
      </c>
      <c r="F1590" s="3" t="s">
        <v>937</v>
      </c>
      <c r="G1590" s="3">
        <f t="shared" si="1644"/>
        <v>60.4</v>
      </c>
      <c r="H1590" s="14" t="str">
        <f t="shared" ref="H1590" si="1698">IF(NOT(ISNUMBER(VALUE(G1590))), "NA",IF(VALUE(G1590)&gt;83,"HIGH",IF(VALUE(G1590)&lt;60,"LOW", "VALUE IN RANGE")))</f>
        <v>VALUE IN RANGE</v>
      </c>
    </row>
    <row r="1591" spans="3:8" x14ac:dyDescent="0.25">
      <c r="C1591" s="13"/>
      <c r="D1591" s="4" t="s">
        <v>1571</v>
      </c>
      <c r="E1591" s="1" t="s">
        <v>11</v>
      </c>
      <c r="F1591" s="5">
        <v>3900</v>
      </c>
      <c r="G1591" s="3">
        <f t="shared" si="1644"/>
        <v>3900</v>
      </c>
      <c r="H1591" s="14" t="str">
        <f t="shared" ref="H1591" si="1699">IF(NOT(ISNUMBER(VALUE(G1591))), "NA",IF(VALUE(G1591)&gt;5.1,"HIGH",IF(VALUE(G1591)&lt;0.8,"LOW", "VALUE IN RANGE")))</f>
        <v>HIGH</v>
      </c>
    </row>
    <row r="1592" spans="3:8" x14ac:dyDescent="0.25">
      <c r="C1592" s="13"/>
      <c r="D1592" s="4" t="s">
        <v>1571</v>
      </c>
      <c r="E1592" s="4" t="s">
        <v>13</v>
      </c>
      <c r="F1592" s="3">
        <v>2400</v>
      </c>
      <c r="G1592" s="3">
        <f t="shared" si="1644"/>
        <v>2400</v>
      </c>
      <c r="H1592" s="14" t="str">
        <f t="shared" ref="H1592" si="1700">IF(NOT(ISNUMBER(VALUE(G1592))), "NA",IF(VALUE(G1592)&gt;1.8,"HIGH",IF(VALUE(G1592)&lt;0,"LOW", "VALUE IN RANGE")))</f>
        <v>HIGH</v>
      </c>
    </row>
    <row r="1593" spans="3:8" x14ac:dyDescent="0.25">
      <c r="C1593" s="13"/>
      <c r="D1593" s="4" t="s">
        <v>1571</v>
      </c>
      <c r="E1593" s="1" t="s">
        <v>15</v>
      </c>
      <c r="F1593" s="5">
        <v>9800</v>
      </c>
      <c r="G1593" s="3">
        <f t="shared" si="1644"/>
        <v>9800</v>
      </c>
      <c r="H1593" s="14" t="str">
        <f t="shared" ref="H1593" si="1701">IF(NOT(ISNUMBER(VALUE(G1593))), "NA",IF(VALUE(G1593)&gt;12.6,"HIGH",IF(VALUE(G1593)&lt;4,"LOW", "VALUE IN RANGE")))</f>
        <v>HIGH</v>
      </c>
    </row>
    <row r="1594" spans="3:8" x14ac:dyDescent="0.25">
      <c r="C1594" s="13"/>
      <c r="D1594" s="4" t="s">
        <v>1571</v>
      </c>
      <c r="E1594" s="4" t="s">
        <v>17</v>
      </c>
      <c r="F1594" s="3" t="s">
        <v>42</v>
      </c>
      <c r="G1594" s="3">
        <f t="shared" si="1644"/>
        <v>0</v>
      </c>
      <c r="H1594" s="14" t="str">
        <f t="shared" ref="H1594" si="1702">IF(NOT(ISNUMBER(VALUE(G1594))), "NA",IF(VALUE(G1594)&gt;8.5,"HIGH",IF(VALUE(G1594)&lt;5.5,"LOW", "VALUE IN RANGE")))</f>
        <v>LOW</v>
      </c>
    </row>
    <row r="1595" spans="3:8" x14ac:dyDescent="0.25">
      <c r="C1595" s="13"/>
      <c r="D1595" s="4" t="s">
        <v>1571</v>
      </c>
      <c r="E1595" s="1" t="s">
        <v>19</v>
      </c>
      <c r="F1595" s="5">
        <v>0</v>
      </c>
      <c r="G1595" s="3">
        <f t="shared" si="1644"/>
        <v>0</v>
      </c>
      <c r="H1595" s="14" t="str">
        <f t="shared" ref="H1595" si="1703">IF(NOT(ISNUMBER(VALUE(G1595))), "NA",IF(VALUE(G1595)&gt;190,"HIGH",IF(VALUE(G1595)&lt;110,"LOW", "VALUE IN RANGE")))</f>
        <v>LOW</v>
      </c>
    </row>
    <row r="1596" spans="3:8" x14ac:dyDescent="0.25">
      <c r="C1596" s="13"/>
      <c r="D1596" s="4" t="s">
        <v>1571</v>
      </c>
      <c r="E1596" s="4" t="s">
        <v>21</v>
      </c>
      <c r="F1596" s="3" t="s">
        <v>44</v>
      </c>
      <c r="G1596" s="3">
        <f t="shared" si="1644"/>
        <v>0</v>
      </c>
      <c r="H1596" s="14" t="str">
        <f t="shared" ref="H1596" si="1704">IF(NOT(ISNUMBER(VALUE(G1596))), "NA",IF(VALUE(G1596)&gt;56,"HIGH",IF(VALUE(G1596)&lt;39,"LOW", "VALUE IN RANGE")))</f>
        <v>LOW</v>
      </c>
    </row>
    <row r="1597" spans="3:8" x14ac:dyDescent="0.25">
      <c r="C1597" s="13"/>
      <c r="D1597" s="4" t="s">
        <v>1571</v>
      </c>
      <c r="E1597" s="1" t="s">
        <v>23</v>
      </c>
      <c r="F1597" s="5" t="s">
        <v>45</v>
      </c>
      <c r="G1597" s="3" t="str">
        <f t="shared" si="1644"/>
        <v/>
      </c>
      <c r="H1597" s="14" t="str">
        <f t="shared" ref="H1597" si="1705">IF(NOT(ISNUMBER(VALUE(G1597))), "NA",IF(VALUE(G1597)&gt;72,"HIGH",IF(VALUE(G1597)&lt;62,"LOW", "VALUE IN RANGE")))</f>
        <v>NA</v>
      </c>
    </row>
    <row r="1598" spans="3:8" x14ac:dyDescent="0.25">
      <c r="C1598" s="13"/>
      <c r="D1598" s="4" t="s">
        <v>1571</v>
      </c>
      <c r="E1598" s="4" t="s">
        <v>25</v>
      </c>
      <c r="F1598" s="3" t="s">
        <v>45</v>
      </c>
      <c r="G1598" s="3" t="str">
        <f t="shared" si="1644"/>
        <v/>
      </c>
      <c r="H1598" s="14" t="str">
        <f t="shared" ref="H1598" si="1706">IF(NOT(ISNUMBER(VALUE(G1598))), "NA",IF(VALUE(G1598)&gt;25,"HIGH",IF(VALUE(G1598)&lt;20,"LOW", "VALUE IN RANGE")))</f>
        <v>NA</v>
      </c>
    </row>
    <row r="1599" spans="3:8" x14ac:dyDescent="0.25">
      <c r="C1599" s="13"/>
      <c r="D1599" s="4" t="s">
        <v>1571</v>
      </c>
      <c r="E1599" s="1" t="s">
        <v>27</v>
      </c>
      <c r="F1599" s="5" t="s">
        <v>45</v>
      </c>
      <c r="G1599" s="3" t="str">
        <f t="shared" si="1644"/>
        <v/>
      </c>
      <c r="H1599" s="14" t="str">
        <f t="shared" ref="H1599" si="1707">IF(NOT(ISNUMBER(VALUE(G1599))), "NA",IF(VALUE(G1599)&gt;380,"HIGH",IF(VALUE(G1599)&lt;300,"LOW", "VALUE IN RANGE")))</f>
        <v>NA</v>
      </c>
    </row>
    <row r="1600" spans="3:8" x14ac:dyDescent="0.25">
      <c r="C1600" s="13"/>
      <c r="D1600" s="4" t="s">
        <v>1571</v>
      </c>
      <c r="E1600" s="4" t="s">
        <v>29</v>
      </c>
      <c r="F1600" s="3" t="s">
        <v>45</v>
      </c>
      <c r="G1600" s="3" t="str">
        <f t="shared" si="1644"/>
        <v/>
      </c>
      <c r="H1600" s="14" t="str">
        <f t="shared" ref="H1600" si="1708">IF(NOT(ISNUMBER(VALUE(G1600))), "NA",IF(VALUE(G1600)&gt;15.5,"HIGH",IF(VALUE(G1600)&lt;11,"LOW", "VALUE IN RANGE")))</f>
        <v>NA</v>
      </c>
    </row>
    <row r="1601" spans="3:8" x14ac:dyDescent="0.25">
      <c r="C1601" s="13"/>
      <c r="D1601" s="4" t="s">
        <v>1571</v>
      </c>
      <c r="E1601" s="1" t="s">
        <v>31</v>
      </c>
      <c r="F1601" s="5">
        <v>18</v>
      </c>
      <c r="G1601" s="3">
        <f t="shared" si="1644"/>
        <v>18</v>
      </c>
      <c r="H1601" s="14" t="str">
        <f t="shared" ref="H1601" si="1709">IF(NOT(ISNUMBER(VALUE(G1601))), "NA",IF(VALUE(G1601)&gt;460,"HIGH",IF(VALUE(G1601)&lt;117,"LOW", "VALUE IN RANGE")))</f>
        <v>LOW</v>
      </c>
    </row>
    <row r="1602" spans="3:8" x14ac:dyDescent="0.25">
      <c r="C1602" s="13"/>
      <c r="D1602" s="4" t="s">
        <v>1571</v>
      </c>
      <c r="E1602" s="4" t="s">
        <v>33</v>
      </c>
      <c r="F1602" s="3" t="s">
        <v>938</v>
      </c>
      <c r="G1602" s="3">
        <f t="shared" si="1644"/>
        <v>7</v>
      </c>
      <c r="H1602" s="14" t="str">
        <f t="shared" ref="H1602" si="1710">IF(NOT(ISNUMBER(VALUE(G1602))), "NA",IF(VALUE(G1602)&gt;12,"HIGH",IF(VALUE(G1602)&lt;7,"LOW", "VALUE IN RANGE")))</f>
        <v>VALUE IN RANGE</v>
      </c>
    </row>
    <row r="1603" spans="3:8" ht="15" customHeight="1" x14ac:dyDescent="0.25">
      <c r="C1603" s="13" t="str">
        <f t="shared" ref="C1603" si="1711">IF(D1603=D1618,D1617,"falso")</f>
        <v>PATIENT_0101</v>
      </c>
      <c r="D1603" s="4" t="s">
        <v>1572</v>
      </c>
      <c r="E1603" s="1" t="s">
        <v>3</v>
      </c>
      <c r="F1603" s="5" t="s">
        <v>713</v>
      </c>
      <c r="G1603" s="3">
        <f t="shared" si="1644"/>
        <v>12.8</v>
      </c>
      <c r="H1603" s="14" t="str">
        <f t="shared" ref="H1603" si="1712">IF(NOT(ISNUMBER(VALUE(G1603))), "NA",IF(VALUE(G1603)&gt;17,"HIGH",IF(VALUE(G1603)&lt;6,"LOW", "VALUE IN RANGE")))</f>
        <v>VALUE IN RANGE</v>
      </c>
    </row>
    <row r="1604" spans="3:8" x14ac:dyDescent="0.25">
      <c r="C1604" s="13"/>
      <c r="D1604" s="4" t="s">
        <v>1572</v>
      </c>
      <c r="E1604" s="4" t="s">
        <v>5</v>
      </c>
      <c r="F1604" s="3" t="s">
        <v>508</v>
      </c>
      <c r="G1604" s="3">
        <f t="shared" ref="G1604:G1667" si="1713">IFERROR(
   VALUE(
      SUBSTITUTE(
         CLEAN(
            TRIM(F1604)
         ),
         ".",
         ","
      )
   ),
   ""
)</f>
        <v>15.2</v>
      </c>
      <c r="H1604" s="14" t="str">
        <f t="shared" ref="H1604" si="1714">IF(NOT(ISNUMBER(VALUE(G1604))), "NA",IF(VALUE(G1604)&gt;30,"HIGH",IF(VALUE(G1604)&lt;12,"LOW", "VALUE IN RANGE")))</f>
        <v>VALUE IN RANGE</v>
      </c>
    </row>
    <row r="1605" spans="3:8" x14ac:dyDescent="0.25">
      <c r="C1605" s="13"/>
      <c r="D1605" s="4" t="s">
        <v>1572</v>
      </c>
      <c r="E1605" s="1" t="s">
        <v>7</v>
      </c>
      <c r="F1605" s="5" t="s">
        <v>65</v>
      </c>
      <c r="G1605" s="3">
        <f t="shared" si="1713"/>
        <v>5.0999999999999996</v>
      </c>
      <c r="H1605" s="14" t="str">
        <f t="shared" ref="H1605" si="1715">IF(NOT(ISNUMBER(VALUE(G1605))), "NA",IF(VALUE(G1605)&gt;9,"HIGH",IF(VALUE(G1605)&lt;2,"LOW", "VALUE IN RANGE")))</f>
        <v>VALUE IN RANGE</v>
      </c>
    </row>
    <row r="1606" spans="3:8" x14ac:dyDescent="0.25">
      <c r="C1606" s="13"/>
      <c r="D1606" s="4" t="s">
        <v>1572</v>
      </c>
      <c r="E1606" s="4" t="s">
        <v>9</v>
      </c>
      <c r="F1606" s="3" t="s">
        <v>720</v>
      </c>
      <c r="G1606" s="3">
        <f t="shared" si="1713"/>
        <v>79.7</v>
      </c>
      <c r="H1606" s="14" t="str">
        <f t="shared" ref="H1606" si="1716">IF(NOT(ISNUMBER(VALUE(G1606))), "NA",IF(VALUE(G1606)&gt;83,"HIGH",IF(VALUE(G1606)&lt;60,"LOW", "VALUE IN RANGE")))</f>
        <v>VALUE IN RANGE</v>
      </c>
    </row>
    <row r="1607" spans="3:8" x14ac:dyDescent="0.25">
      <c r="C1607" s="13"/>
      <c r="D1607" s="4" t="s">
        <v>1572</v>
      </c>
      <c r="E1607" s="1" t="s">
        <v>11</v>
      </c>
      <c r="F1607" s="5">
        <v>1900</v>
      </c>
      <c r="G1607" s="3">
        <f t="shared" si="1713"/>
        <v>1900</v>
      </c>
      <c r="H1607" s="14" t="str">
        <f t="shared" ref="H1607" si="1717">IF(NOT(ISNUMBER(VALUE(G1607))), "NA",IF(VALUE(G1607)&gt;5.1,"HIGH",IF(VALUE(G1607)&lt;0.8,"LOW", "VALUE IN RANGE")))</f>
        <v>HIGH</v>
      </c>
    </row>
    <row r="1608" spans="3:8" x14ac:dyDescent="0.25">
      <c r="C1608" s="13"/>
      <c r="D1608" s="4" t="s">
        <v>1572</v>
      </c>
      <c r="E1608" s="4" t="s">
        <v>13</v>
      </c>
      <c r="F1608" s="3" t="s">
        <v>52</v>
      </c>
      <c r="G1608" s="3">
        <f t="shared" si="1713"/>
        <v>0.6</v>
      </c>
      <c r="H1608" s="14" t="str">
        <f t="shared" ref="H1608" si="1718">IF(NOT(ISNUMBER(VALUE(G1608))), "NA",IF(VALUE(G1608)&gt;1.8,"HIGH",IF(VALUE(G1608)&lt;0,"LOW", "VALUE IN RANGE")))</f>
        <v>VALUE IN RANGE</v>
      </c>
    </row>
    <row r="1609" spans="3:8" x14ac:dyDescent="0.25">
      <c r="C1609" s="13"/>
      <c r="D1609" s="4" t="s">
        <v>1572</v>
      </c>
      <c r="E1609" s="1" t="s">
        <v>15</v>
      </c>
      <c r="F1609" s="5">
        <v>10300</v>
      </c>
      <c r="G1609" s="3">
        <f t="shared" si="1713"/>
        <v>10300</v>
      </c>
      <c r="H1609" s="14" t="str">
        <f t="shared" ref="H1609" si="1719">IF(NOT(ISNUMBER(VALUE(G1609))), "NA",IF(VALUE(G1609)&gt;12.6,"HIGH",IF(VALUE(G1609)&lt;4,"LOW", "VALUE IN RANGE")))</f>
        <v>HIGH</v>
      </c>
    </row>
    <row r="1610" spans="3:8" x14ac:dyDescent="0.25">
      <c r="C1610" s="13"/>
      <c r="D1610" s="4" t="s">
        <v>1572</v>
      </c>
      <c r="E1610" s="4" t="s">
        <v>17</v>
      </c>
      <c r="F1610" s="3" t="s">
        <v>940</v>
      </c>
      <c r="G1610" s="3">
        <f t="shared" si="1713"/>
        <v>6.25</v>
      </c>
      <c r="H1610" s="14" t="str">
        <f t="shared" ref="H1610" si="1720">IF(NOT(ISNUMBER(VALUE(G1610))), "NA",IF(VALUE(G1610)&gt;8.5,"HIGH",IF(VALUE(G1610)&lt;5.5,"LOW", "VALUE IN RANGE")))</f>
        <v>VALUE IN RANGE</v>
      </c>
    </row>
    <row r="1611" spans="3:8" x14ac:dyDescent="0.25">
      <c r="C1611" s="13"/>
      <c r="D1611" s="4" t="s">
        <v>1572</v>
      </c>
      <c r="E1611" s="1" t="s">
        <v>19</v>
      </c>
      <c r="F1611" s="5">
        <v>134</v>
      </c>
      <c r="G1611" s="3">
        <f t="shared" si="1713"/>
        <v>134</v>
      </c>
      <c r="H1611" s="14" t="str">
        <f t="shared" ref="H1611" si="1721">IF(NOT(ISNUMBER(VALUE(G1611))), "NA",IF(VALUE(G1611)&gt;190,"HIGH",IF(VALUE(G1611)&lt;110,"LOW", "VALUE IN RANGE")))</f>
        <v>VALUE IN RANGE</v>
      </c>
    </row>
    <row r="1612" spans="3:8" x14ac:dyDescent="0.25">
      <c r="C1612" s="13"/>
      <c r="D1612" s="4" t="s">
        <v>1572</v>
      </c>
      <c r="E1612" s="4" t="s">
        <v>21</v>
      </c>
      <c r="F1612" s="3" t="s">
        <v>942</v>
      </c>
      <c r="G1612" s="3">
        <f t="shared" si="1713"/>
        <v>43</v>
      </c>
      <c r="H1612" s="14" t="str">
        <f t="shared" ref="H1612" si="1722">IF(NOT(ISNUMBER(VALUE(G1612))), "NA",IF(VALUE(G1612)&gt;56,"HIGH",IF(VALUE(G1612)&lt;39,"LOW", "VALUE IN RANGE")))</f>
        <v>VALUE IN RANGE</v>
      </c>
    </row>
    <row r="1613" spans="3:8" x14ac:dyDescent="0.25">
      <c r="C1613" s="13"/>
      <c r="D1613" s="4" t="s">
        <v>1572</v>
      </c>
      <c r="E1613" s="1" t="s">
        <v>23</v>
      </c>
      <c r="F1613" s="5" t="s">
        <v>943</v>
      </c>
      <c r="G1613" s="3">
        <f t="shared" si="1713"/>
        <v>68.900000000000006</v>
      </c>
      <c r="H1613" s="14" t="str">
        <f t="shared" ref="H1613" si="1723">IF(NOT(ISNUMBER(VALUE(G1613))), "NA",IF(VALUE(G1613)&gt;72,"HIGH",IF(VALUE(G1613)&lt;62,"LOW", "VALUE IN RANGE")))</f>
        <v>VALUE IN RANGE</v>
      </c>
    </row>
    <row r="1614" spans="3:8" x14ac:dyDescent="0.25">
      <c r="C1614" s="13"/>
      <c r="D1614" s="4" t="s">
        <v>1572</v>
      </c>
      <c r="E1614" s="4" t="s">
        <v>25</v>
      </c>
      <c r="F1614" s="3" t="s">
        <v>944</v>
      </c>
      <c r="G1614" s="3">
        <f t="shared" si="1713"/>
        <v>21.4</v>
      </c>
      <c r="H1614" s="14" t="str">
        <f t="shared" ref="H1614" si="1724">IF(NOT(ISNUMBER(VALUE(G1614))), "NA",IF(VALUE(G1614)&gt;25,"HIGH",IF(VALUE(G1614)&lt;20,"LOW", "VALUE IN RANGE")))</f>
        <v>VALUE IN RANGE</v>
      </c>
    </row>
    <row r="1615" spans="3:8" x14ac:dyDescent="0.25">
      <c r="C1615" s="13"/>
      <c r="D1615" s="4" t="s">
        <v>1572</v>
      </c>
      <c r="E1615" s="1" t="s">
        <v>27</v>
      </c>
      <c r="F1615" s="5">
        <v>311</v>
      </c>
      <c r="G1615" s="3">
        <f t="shared" si="1713"/>
        <v>311</v>
      </c>
      <c r="H1615" s="14" t="str">
        <f t="shared" ref="H1615" si="1725">IF(NOT(ISNUMBER(VALUE(G1615))), "NA",IF(VALUE(G1615)&gt;380,"HIGH",IF(VALUE(G1615)&lt;300,"LOW", "VALUE IN RANGE")))</f>
        <v>VALUE IN RANGE</v>
      </c>
    </row>
    <row r="1616" spans="3:8" x14ac:dyDescent="0.25">
      <c r="C1616" s="13"/>
      <c r="D1616" s="4" t="s">
        <v>1572</v>
      </c>
      <c r="E1616" s="4" t="s">
        <v>29</v>
      </c>
      <c r="F1616" s="3" t="s">
        <v>822</v>
      </c>
      <c r="G1616" s="3">
        <f t="shared" si="1713"/>
        <v>12.8</v>
      </c>
      <c r="H1616" s="14" t="str">
        <f t="shared" ref="H1616" si="1726">IF(NOT(ISNUMBER(VALUE(G1616))), "NA",IF(VALUE(G1616)&gt;15.5,"HIGH",IF(VALUE(G1616)&lt;11,"LOW", "VALUE IN RANGE")))</f>
        <v>VALUE IN RANGE</v>
      </c>
    </row>
    <row r="1617" spans="3:8" x14ac:dyDescent="0.25">
      <c r="C1617" s="13"/>
      <c r="D1617" s="4" t="s">
        <v>1572</v>
      </c>
      <c r="E1617" s="1" t="s">
        <v>31</v>
      </c>
      <c r="F1617" s="5">
        <v>313</v>
      </c>
      <c r="G1617" s="3">
        <f t="shared" si="1713"/>
        <v>313</v>
      </c>
      <c r="H1617" s="14" t="str">
        <f t="shared" ref="H1617" si="1727">IF(NOT(ISNUMBER(VALUE(G1617))), "NA",IF(VALUE(G1617)&gt;460,"HIGH",IF(VALUE(G1617)&lt;117,"LOW", "VALUE IN RANGE")))</f>
        <v>VALUE IN RANGE</v>
      </c>
    </row>
    <row r="1618" spans="3:8" x14ac:dyDescent="0.25">
      <c r="C1618" s="13"/>
      <c r="D1618" s="4" t="s">
        <v>1572</v>
      </c>
      <c r="E1618" s="4" t="s">
        <v>33</v>
      </c>
      <c r="F1618" s="3" t="s">
        <v>428</v>
      </c>
      <c r="G1618" s="3">
        <f t="shared" si="1713"/>
        <v>8.3000000000000007</v>
      </c>
      <c r="H1618" s="14" t="str">
        <f t="shared" ref="H1618" si="1728">IF(NOT(ISNUMBER(VALUE(G1618))), "NA",IF(VALUE(G1618)&gt;12,"HIGH",IF(VALUE(G1618)&lt;7,"LOW", "VALUE IN RANGE")))</f>
        <v>VALUE IN RANGE</v>
      </c>
    </row>
    <row r="1619" spans="3:8" ht="15" customHeight="1" x14ac:dyDescent="0.25">
      <c r="C1619" s="13" t="str">
        <f t="shared" ref="C1619" si="1729">IF(D1619=D1634,D1633,"falso")</f>
        <v>PATIENT_0102</v>
      </c>
      <c r="D1619" s="4" t="s">
        <v>1573</v>
      </c>
      <c r="E1619" s="1" t="s">
        <v>134</v>
      </c>
      <c r="F1619" s="5" t="s">
        <v>660</v>
      </c>
      <c r="G1619" s="3">
        <f t="shared" si="1713"/>
        <v>8.1</v>
      </c>
      <c r="H1619" s="14" t="str">
        <f t="shared" ref="H1619" si="1730">IF(NOT(ISNUMBER(VALUE(G1619))), "NA",IF(VALUE(G1619)&gt;17,"HIGH",IF(VALUE(G1619)&lt;6,"LOW", "VALUE IN RANGE")))</f>
        <v>VALUE IN RANGE</v>
      </c>
    </row>
    <row r="1620" spans="3:8" x14ac:dyDescent="0.25">
      <c r="C1620" s="13"/>
      <c r="D1620" s="4" t="s">
        <v>1573</v>
      </c>
      <c r="E1620" s="4" t="s">
        <v>136</v>
      </c>
      <c r="F1620" s="3" t="s">
        <v>946</v>
      </c>
      <c r="G1620" s="3">
        <f t="shared" si="1713"/>
        <v>25.8</v>
      </c>
      <c r="H1620" s="14" t="str">
        <f t="shared" ref="H1620" si="1731">IF(NOT(ISNUMBER(VALUE(G1620))), "NA",IF(VALUE(G1620)&gt;30,"HIGH",IF(VALUE(G1620)&lt;12,"LOW", "VALUE IN RANGE")))</f>
        <v>VALUE IN RANGE</v>
      </c>
    </row>
    <row r="1621" spans="3:8" x14ac:dyDescent="0.25">
      <c r="C1621" s="13"/>
      <c r="D1621" s="4" t="s">
        <v>1573</v>
      </c>
      <c r="E1621" s="1" t="s">
        <v>7</v>
      </c>
      <c r="F1621" s="5" t="s">
        <v>178</v>
      </c>
      <c r="G1621" s="3">
        <f t="shared" si="1713"/>
        <v>10.6</v>
      </c>
      <c r="H1621" s="14" t="str">
        <f t="shared" ref="H1621" si="1732">IF(NOT(ISNUMBER(VALUE(G1621))), "NA",IF(VALUE(G1621)&gt;9,"HIGH",IF(VALUE(G1621)&lt;2,"LOW", "VALUE IN RANGE")))</f>
        <v>HIGH</v>
      </c>
    </row>
    <row r="1622" spans="3:8" x14ac:dyDescent="0.25">
      <c r="C1622" s="13"/>
      <c r="D1622" s="4" t="s">
        <v>1573</v>
      </c>
      <c r="E1622" s="4" t="s">
        <v>139</v>
      </c>
      <c r="F1622" s="3" t="s">
        <v>947</v>
      </c>
      <c r="G1622" s="3">
        <f t="shared" si="1713"/>
        <v>63.6</v>
      </c>
      <c r="H1622" s="14" t="str">
        <f t="shared" ref="H1622" si="1733">IF(NOT(ISNUMBER(VALUE(G1622))), "NA",IF(VALUE(G1622)&gt;83,"HIGH",IF(VALUE(G1622)&lt;60,"LOW", "VALUE IN RANGE")))</f>
        <v>VALUE IN RANGE</v>
      </c>
    </row>
    <row r="1623" spans="3:8" x14ac:dyDescent="0.25">
      <c r="C1623" s="13"/>
      <c r="D1623" s="4" t="s">
        <v>1573</v>
      </c>
      <c r="E1623" s="1" t="s">
        <v>141</v>
      </c>
      <c r="F1623" s="5">
        <v>2000</v>
      </c>
      <c r="G1623" s="3">
        <f t="shared" si="1713"/>
        <v>2000</v>
      </c>
      <c r="H1623" s="14" t="str">
        <f t="shared" ref="H1623" si="1734">IF(NOT(ISNUMBER(VALUE(G1623))), "NA",IF(VALUE(G1623)&gt;5.1,"HIGH",IF(VALUE(G1623)&lt;0.8,"LOW", "VALUE IN RANGE")))</f>
        <v>HIGH</v>
      </c>
    </row>
    <row r="1624" spans="3:8" x14ac:dyDescent="0.25">
      <c r="C1624" s="13"/>
      <c r="D1624" s="4" t="s">
        <v>1573</v>
      </c>
      <c r="E1624" s="4" t="s">
        <v>143</v>
      </c>
      <c r="F1624" s="3" t="s">
        <v>476</v>
      </c>
      <c r="G1624" s="3">
        <f t="shared" si="1713"/>
        <v>0.8</v>
      </c>
      <c r="H1624" s="14" t="str">
        <f t="shared" ref="H1624" si="1735">IF(NOT(ISNUMBER(VALUE(G1624))), "NA",IF(VALUE(G1624)&gt;1.8,"HIGH",IF(VALUE(G1624)&lt;0,"LOW", "VALUE IN RANGE")))</f>
        <v>VALUE IN RANGE</v>
      </c>
    </row>
    <row r="1625" spans="3:8" x14ac:dyDescent="0.25">
      <c r="C1625" s="13"/>
      <c r="D1625" s="4" t="s">
        <v>1573</v>
      </c>
      <c r="E1625" s="1" t="s">
        <v>144</v>
      </c>
      <c r="F1625" s="5">
        <v>5300</v>
      </c>
      <c r="G1625" s="3">
        <f t="shared" si="1713"/>
        <v>5300</v>
      </c>
      <c r="H1625" s="14" t="str">
        <f t="shared" ref="H1625" si="1736">IF(NOT(ISNUMBER(VALUE(G1625))), "NA",IF(VALUE(G1625)&gt;12.6,"HIGH",IF(VALUE(G1625)&lt;4,"LOW", "VALUE IN RANGE")))</f>
        <v>HIGH</v>
      </c>
    </row>
    <row r="1626" spans="3:8" x14ac:dyDescent="0.25">
      <c r="C1626" s="13"/>
      <c r="D1626" s="4" t="s">
        <v>1573</v>
      </c>
      <c r="E1626" s="4" t="s">
        <v>146</v>
      </c>
      <c r="F1626" s="3" t="s">
        <v>948</v>
      </c>
      <c r="G1626" s="3">
        <f t="shared" si="1713"/>
        <v>6.08</v>
      </c>
      <c r="H1626" s="14" t="str">
        <f t="shared" ref="H1626" si="1737">IF(NOT(ISNUMBER(VALUE(G1626))), "NA",IF(VALUE(G1626)&gt;8.5,"HIGH",IF(VALUE(G1626)&lt;5.5,"LOW", "VALUE IN RANGE")))</f>
        <v>VALUE IN RANGE</v>
      </c>
    </row>
    <row r="1627" spans="3:8" x14ac:dyDescent="0.25">
      <c r="C1627" s="13"/>
      <c r="D1627" s="4" t="s">
        <v>1573</v>
      </c>
      <c r="E1627" s="1" t="s">
        <v>148</v>
      </c>
      <c r="F1627" s="5">
        <v>98</v>
      </c>
      <c r="G1627" s="3">
        <f t="shared" si="1713"/>
        <v>98</v>
      </c>
      <c r="H1627" s="14" t="str">
        <f t="shared" ref="H1627" si="1738">IF(NOT(ISNUMBER(VALUE(G1627))), "NA",IF(VALUE(G1627)&gt;190,"HIGH",IF(VALUE(G1627)&lt;110,"LOW", "VALUE IN RANGE")))</f>
        <v>LOW</v>
      </c>
    </row>
    <row r="1628" spans="3:8" x14ac:dyDescent="0.25">
      <c r="C1628" s="13"/>
      <c r="D1628" s="4" t="s">
        <v>1573</v>
      </c>
      <c r="E1628" s="4" t="s">
        <v>150</v>
      </c>
      <c r="F1628" s="3" t="s">
        <v>859</v>
      </c>
      <c r="G1628" s="3">
        <f t="shared" si="1713"/>
        <v>35.299999999999997</v>
      </c>
      <c r="H1628" s="14" t="str">
        <f t="shared" ref="H1628" si="1739">IF(NOT(ISNUMBER(VALUE(G1628))), "NA",IF(VALUE(G1628)&gt;56,"HIGH",IF(VALUE(G1628)&lt;39,"LOW", "VALUE IN RANGE")))</f>
        <v>LOW</v>
      </c>
    </row>
    <row r="1629" spans="3:8" x14ac:dyDescent="0.25">
      <c r="C1629" s="13"/>
      <c r="D1629" s="4" t="s">
        <v>1573</v>
      </c>
      <c r="E1629" s="1" t="s">
        <v>152</v>
      </c>
      <c r="F1629" s="5" t="s">
        <v>949</v>
      </c>
      <c r="G1629" s="3">
        <f t="shared" si="1713"/>
        <v>58.2</v>
      </c>
      <c r="H1629" s="14" t="str">
        <f t="shared" ref="H1629" si="1740">IF(NOT(ISNUMBER(VALUE(G1629))), "NA",IF(VALUE(G1629)&gt;72,"HIGH",IF(VALUE(G1629)&lt;62,"LOW", "VALUE IN RANGE")))</f>
        <v>LOW</v>
      </c>
    </row>
    <row r="1630" spans="3:8" x14ac:dyDescent="0.25">
      <c r="C1630" s="13"/>
      <c r="D1630" s="4" t="s">
        <v>1573</v>
      </c>
      <c r="E1630" s="4" t="s">
        <v>154</v>
      </c>
      <c r="F1630" s="3" t="s">
        <v>950</v>
      </c>
      <c r="G1630" s="3">
        <f t="shared" si="1713"/>
        <v>16.100000000000001</v>
      </c>
      <c r="H1630" s="14" t="str">
        <f t="shared" ref="H1630" si="1741">IF(NOT(ISNUMBER(VALUE(G1630))), "NA",IF(VALUE(G1630)&gt;25,"HIGH",IF(VALUE(G1630)&lt;20,"LOW", "VALUE IN RANGE")))</f>
        <v>LOW</v>
      </c>
    </row>
    <row r="1631" spans="3:8" x14ac:dyDescent="0.25">
      <c r="C1631" s="13"/>
      <c r="D1631" s="4" t="s">
        <v>1573</v>
      </c>
      <c r="E1631" s="1" t="s">
        <v>27</v>
      </c>
      <c r="F1631" s="5">
        <v>277</v>
      </c>
      <c r="G1631" s="3">
        <f t="shared" si="1713"/>
        <v>277</v>
      </c>
      <c r="H1631" s="14" t="str">
        <f t="shared" ref="H1631" si="1742">IF(NOT(ISNUMBER(VALUE(G1631))), "NA",IF(VALUE(G1631)&gt;380,"HIGH",IF(VALUE(G1631)&lt;300,"LOW", "VALUE IN RANGE")))</f>
        <v>LOW</v>
      </c>
    </row>
    <row r="1632" spans="3:8" x14ac:dyDescent="0.25">
      <c r="C1632" s="13"/>
      <c r="D1632" s="4" t="s">
        <v>1573</v>
      </c>
      <c r="E1632" s="4" t="s">
        <v>157</v>
      </c>
      <c r="F1632" s="3" t="s">
        <v>130</v>
      </c>
      <c r="G1632" s="3">
        <f t="shared" si="1713"/>
        <v>14.3</v>
      </c>
      <c r="H1632" s="14" t="str">
        <f t="shared" ref="H1632" si="1743">IF(NOT(ISNUMBER(VALUE(G1632))), "NA",IF(VALUE(G1632)&gt;15.5,"HIGH",IF(VALUE(G1632)&lt;11,"LOW", "VALUE IN RANGE")))</f>
        <v>VALUE IN RANGE</v>
      </c>
    </row>
    <row r="1633" spans="3:8" x14ac:dyDescent="0.25">
      <c r="C1633" s="13"/>
      <c r="D1633" s="4" t="s">
        <v>1573</v>
      </c>
      <c r="E1633" s="1" t="s">
        <v>159</v>
      </c>
      <c r="F1633" s="5">
        <v>12</v>
      </c>
      <c r="G1633" s="3">
        <f t="shared" si="1713"/>
        <v>12</v>
      </c>
      <c r="H1633" s="14" t="str">
        <f t="shared" ref="H1633" si="1744">IF(NOT(ISNUMBER(VALUE(G1633))), "NA",IF(VALUE(G1633)&gt;460,"HIGH",IF(VALUE(G1633)&lt;117,"LOW", "VALUE IN RANGE")))</f>
        <v>LOW</v>
      </c>
    </row>
    <row r="1634" spans="3:8" x14ac:dyDescent="0.25">
      <c r="C1634" s="13"/>
      <c r="D1634" s="4" t="s">
        <v>1573</v>
      </c>
      <c r="E1634" s="4" t="s">
        <v>161</v>
      </c>
      <c r="F1634" s="3" t="s">
        <v>952</v>
      </c>
      <c r="G1634" s="3">
        <f t="shared" si="1713"/>
        <v>8</v>
      </c>
      <c r="H1634" s="14" t="str">
        <f t="shared" ref="H1634" si="1745">IF(NOT(ISNUMBER(VALUE(G1634))), "NA",IF(VALUE(G1634)&gt;12,"HIGH",IF(VALUE(G1634)&lt;7,"LOW", "VALUE IN RANGE")))</f>
        <v>VALUE IN RANGE</v>
      </c>
    </row>
    <row r="1635" spans="3:8" ht="15" customHeight="1" x14ac:dyDescent="0.25">
      <c r="C1635" s="13" t="str">
        <f t="shared" ref="C1635" si="1746">IF(D1635=D1650,D1649,"falso")</f>
        <v>PATIENT_0103</v>
      </c>
      <c r="D1635" s="4" t="s">
        <v>1574</v>
      </c>
      <c r="E1635" s="1" t="s">
        <v>134</v>
      </c>
      <c r="F1635" s="5" t="s">
        <v>430</v>
      </c>
      <c r="G1635" s="3">
        <f t="shared" si="1713"/>
        <v>13.1</v>
      </c>
      <c r="H1635" s="14" t="str">
        <f t="shared" ref="H1635" si="1747">IF(NOT(ISNUMBER(VALUE(G1635))), "NA",IF(VALUE(G1635)&gt;17,"HIGH",IF(VALUE(G1635)&lt;6,"LOW", "VALUE IN RANGE")))</f>
        <v>VALUE IN RANGE</v>
      </c>
    </row>
    <row r="1636" spans="3:8" x14ac:dyDescent="0.25">
      <c r="C1636" s="13"/>
      <c r="D1636" s="4" t="s">
        <v>1574</v>
      </c>
      <c r="E1636" s="4" t="s">
        <v>136</v>
      </c>
      <c r="F1636" s="3" t="s">
        <v>953</v>
      </c>
      <c r="G1636" s="3">
        <f t="shared" si="1713"/>
        <v>23.4</v>
      </c>
      <c r="H1636" s="14" t="str">
        <f t="shared" ref="H1636" si="1748">IF(NOT(ISNUMBER(VALUE(G1636))), "NA",IF(VALUE(G1636)&gt;30,"HIGH",IF(VALUE(G1636)&lt;12,"LOW", "VALUE IN RANGE")))</f>
        <v>VALUE IN RANGE</v>
      </c>
    </row>
    <row r="1637" spans="3:8" x14ac:dyDescent="0.25">
      <c r="C1637" s="13"/>
      <c r="D1637" s="4" t="s">
        <v>1574</v>
      </c>
      <c r="E1637" s="1" t="s">
        <v>7</v>
      </c>
      <c r="F1637" s="5" t="s">
        <v>954</v>
      </c>
      <c r="G1637" s="3">
        <f t="shared" si="1713"/>
        <v>16</v>
      </c>
      <c r="H1637" s="14" t="str">
        <f t="shared" ref="H1637" si="1749">IF(NOT(ISNUMBER(VALUE(G1637))), "NA",IF(VALUE(G1637)&gt;9,"HIGH",IF(VALUE(G1637)&lt;2,"LOW", "VALUE IN RANGE")))</f>
        <v>HIGH</v>
      </c>
    </row>
    <row r="1638" spans="3:8" x14ac:dyDescent="0.25">
      <c r="C1638" s="13"/>
      <c r="D1638" s="4" t="s">
        <v>1574</v>
      </c>
      <c r="E1638" s="4" t="s">
        <v>139</v>
      </c>
      <c r="F1638" s="3" t="s">
        <v>863</v>
      </c>
      <c r="G1638" s="3">
        <f t="shared" si="1713"/>
        <v>60.6</v>
      </c>
      <c r="H1638" s="14" t="str">
        <f t="shared" ref="H1638" si="1750">IF(NOT(ISNUMBER(VALUE(G1638))), "NA",IF(VALUE(G1638)&gt;83,"HIGH",IF(VALUE(G1638)&lt;60,"LOW", "VALUE IN RANGE")))</f>
        <v>VALUE IN RANGE</v>
      </c>
    </row>
    <row r="1639" spans="3:8" x14ac:dyDescent="0.25">
      <c r="C1639" s="13"/>
      <c r="D1639" s="4" t="s">
        <v>1574</v>
      </c>
      <c r="E1639" s="1" t="s">
        <v>141</v>
      </c>
      <c r="F1639" s="5">
        <v>3000</v>
      </c>
      <c r="G1639" s="3">
        <f t="shared" si="1713"/>
        <v>3000</v>
      </c>
      <c r="H1639" s="14" t="str">
        <f t="shared" ref="H1639" si="1751">IF(NOT(ISNUMBER(VALUE(G1639))), "NA",IF(VALUE(G1639)&gt;5.1,"HIGH",IF(VALUE(G1639)&lt;0.8,"LOW", "VALUE IN RANGE")))</f>
        <v>HIGH</v>
      </c>
    </row>
    <row r="1640" spans="3:8" x14ac:dyDescent="0.25">
      <c r="C1640" s="13"/>
      <c r="D1640" s="4" t="s">
        <v>1574</v>
      </c>
      <c r="E1640" s="4" t="s">
        <v>143</v>
      </c>
      <c r="F1640" s="3">
        <v>2000</v>
      </c>
      <c r="G1640" s="3">
        <f t="shared" si="1713"/>
        <v>2000</v>
      </c>
      <c r="H1640" s="14" t="str">
        <f t="shared" ref="H1640" si="1752">IF(NOT(ISNUMBER(VALUE(G1640))), "NA",IF(VALUE(G1640)&gt;1.8,"HIGH",IF(VALUE(G1640)&lt;0,"LOW", "VALUE IN RANGE")))</f>
        <v>HIGH</v>
      </c>
    </row>
    <row r="1641" spans="3:8" x14ac:dyDescent="0.25">
      <c r="C1641" s="13"/>
      <c r="D1641" s="4" t="s">
        <v>1574</v>
      </c>
      <c r="E1641" s="1" t="s">
        <v>144</v>
      </c>
      <c r="F1641" s="5">
        <v>8100</v>
      </c>
      <c r="G1641" s="3">
        <f t="shared" si="1713"/>
        <v>8100</v>
      </c>
      <c r="H1641" s="14" t="str">
        <f t="shared" ref="H1641" si="1753">IF(NOT(ISNUMBER(VALUE(G1641))), "NA",IF(VALUE(G1641)&gt;12.6,"HIGH",IF(VALUE(G1641)&lt;4,"LOW", "VALUE IN RANGE")))</f>
        <v>HIGH</v>
      </c>
    </row>
    <row r="1642" spans="3:8" x14ac:dyDescent="0.25">
      <c r="C1642" s="13"/>
      <c r="D1642" s="4" t="s">
        <v>1574</v>
      </c>
      <c r="E1642" s="4" t="s">
        <v>146</v>
      </c>
      <c r="F1642" s="3" t="s">
        <v>955</v>
      </c>
      <c r="G1642" s="3">
        <f t="shared" si="1713"/>
        <v>8.83</v>
      </c>
      <c r="H1642" s="14" t="str">
        <f t="shared" ref="H1642" si="1754">IF(NOT(ISNUMBER(VALUE(G1642))), "NA",IF(VALUE(G1642)&gt;8.5,"HIGH",IF(VALUE(G1642)&lt;5.5,"LOW", "VALUE IN RANGE")))</f>
        <v>HIGH</v>
      </c>
    </row>
    <row r="1643" spans="3:8" x14ac:dyDescent="0.25">
      <c r="C1643" s="13"/>
      <c r="D1643" s="4" t="s">
        <v>1574</v>
      </c>
      <c r="E1643" s="1" t="s">
        <v>148</v>
      </c>
      <c r="F1643" s="5">
        <v>130</v>
      </c>
      <c r="G1643" s="3">
        <f t="shared" si="1713"/>
        <v>130</v>
      </c>
      <c r="H1643" s="14" t="str">
        <f t="shared" ref="H1643" si="1755">IF(NOT(ISNUMBER(VALUE(G1643))), "NA",IF(VALUE(G1643)&gt;190,"HIGH",IF(VALUE(G1643)&lt;110,"LOW", "VALUE IN RANGE")))</f>
        <v>VALUE IN RANGE</v>
      </c>
    </row>
    <row r="1644" spans="3:8" x14ac:dyDescent="0.25">
      <c r="C1644" s="13"/>
      <c r="D1644" s="4" t="s">
        <v>1574</v>
      </c>
      <c r="E1644" s="4" t="s">
        <v>150</v>
      </c>
      <c r="F1644" s="3" t="s">
        <v>288</v>
      </c>
      <c r="G1644" s="3">
        <f t="shared" si="1713"/>
        <v>46.5</v>
      </c>
      <c r="H1644" s="14" t="str">
        <f t="shared" ref="H1644" si="1756">IF(NOT(ISNUMBER(VALUE(G1644))), "NA",IF(VALUE(G1644)&gt;56,"HIGH",IF(VALUE(G1644)&lt;39,"LOW", "VALUE IN RANGE")))</f>
        <v>VALUE IN RANGE</v>
      </c>
    </row>
    <row r="1645" spans="3:8" x14ac:dyDescent="0.25">
      <c r="C1645" s="13"/>
      <c r="D1645" s="4" t="s">
        <v>1574</v>
      </c>
      <c r="E1645" s="1" t="s">
        <v>152</v>
      </c>
      <c r="F1645" s="5" t="s">
        <v>956</v>
      </c>
      <c r="G1645" s="3">
        <f t="shared" si="1713"/>
        <v>52.7</v>
      </c>
      <c r="H1645" s="14" t="str">
        <f t="shared" ref="H1645" si="1757">IF(NOT(ISNUMBER(VALUE(G1645))), "NA",IF(VALUE(G1645)&gt;72,"HIGH",IF(VALUE(G1645)&lt;62,"LOW", "VALUE IN RANGE")))</f>
        <v>LOW</v>
      </c>
    </row>
    <row r="1646" spans="3:8" x14ac:dyDescent="0.25">
      <c r="C1646" s="13"/>
      <c r="D1646" s="4" t="s">
        <v>1574</v>
      </c>
      <c r="E1646" s="4" t="s">
        <v>154</v>
      </c>
      <c r="F1646" s="3" t="s">
        <v>215</v>
      </c>
      <c r="G1646" s="3">
        <f t="shared" si="1713"/>
        <v>14.7</v>
      </c>
      <c r="H1646" s="14" t="str">
        <f t="shared" ref="H1646" si="1758">IF(NOT(ISNUMBER(VALUE(G1646))), "NA",IF(VALUE(G1646)&gt;25,"HIGH",IF(VALUE(G1646)&lt;20,"LOW", "VALUE IN RANGE")))</f>
        <v>LOW</v>
      </c>
    </row>
    <row r="1647" spans="3:8" x14ac:dyDescent="0.25">
      <c r="C1647" s="13"/>
      <c r="D1647" s="4" t="s">
        <v>1574</v>
      </c>
      <c r="E1647" s="1" t="s">
        <v>27</v>
      </c>
      <c r="F1647" s="5">
        <v>279</v>
      </c>
      <c r="G1647" s="3">
        <f t="shared" si="1713"/>
        <v>279</v>
      </c>
      <c r="H1647" s="14" t="str">
        <f t="shared" ref="H1647" si="1759">IF(NOT(ISNUMBER(VALUE(G1647))), "NA",IF(VALUE(G1647)&gt;380,"HIGH",IF(VALUE(G1647)&lt;300,"LOW", "VALUE IN RANGE")))</f>
        <v>LOW</v>
      </c>
    </row>
    <row r="1648" spans="3:8" x14ac:dyDescent="0.25">
      <c r="C1648" s="13"/>
      <c r="D1648" s="4" t="s">
        <v>1574</v>
      </c>
      <c r="E1648" s="4" t="s">
        <v>157</v>
      </c>
      <c r="F1648" s="3" t="s">
        <v>200</v>
      </c>
      <c r="G1648" s="3">
        <f t="shared" si="1713"/>
        <v>15</v>
      </c>
      <c r="H1648" s="14" t="str">
        <f t="shared" ref="H1648" si="1760">IF(NOT(ISNUMBER(VALUE(G1648))), "NA",IF(VALUE(G1648)&gt;15.5,"HIGH",IF(VALUE(G1648)&lt;11,"LOW", "VALUE IN RANGE")))</f>
        <v>VALUE IN RANGE</v>
      </c>
    </row>
    <row r="1649" spans="3:8" x14ac:dyDescent="0.25">
      <c r="C1649" s="13"/>
      <c r="D1649" s="4" t="s">
        <v>1574</v>
      </c>
      <c r="E1649" s="1" t="s">
        <v>159</v>
      </c>
      <c r="F1649" s="5">
        <v>75</v>
      </c>
      <c r="G1649" s="3">
        <f t="shared" si="1713"/>
        <v>75</v>
      </c>
      <c r="H1649" s="14" t="str">
        <f t="shared" ref="H1649" si="1761">IF(NOT(ISNUMBER(VALUE(G1649))), "NA",IF(VALUE(G1649)&gt;460,"HIGH",IF(VALUE(G1649)&lt;117,"LOW", "VALUE IN RANGE")))</f>
        <v>LOW</v>
      </c>
    </row>
    <row r="1650" spans="3:8" x14ac:dyDescent="0.25">
      <c r="C1650" s="13"/>
      <c r="D1650" s="4" t="s">
        <v>1574</v>
      </c>
      <c r="E1650" s="4" t="s">
        <v>161</v>
      </c>
      <c r="F1650" s="3" t="s">
        <v>701</v>
      </c>
      <c r="G1650" s="3">
        <f t="shared" si="1713"/>
        <v>10.199999999999999</v>
      </c>
      <c r="H1650" s="14" t="str">
        <f t="shared" ref="H1650" si="1762">IF(NOT(ISNUMBER(VALUE(G1650))), "NA",IF(VALUE(G1650)&gt;12,"HIGH",IF(VALUE(G1650)&lt;7,"LOW", "VALUE IN RANGE")))</f>
        <v>VALUE IN RANGE</v>
      </c>
    </row>
    <row r="1651" spans="3:8" ht="15" customHeight="1" x14ac:dyDescent="0.25">
      <c r="C1651" s="13" t="str">
        <f t="shared" ref="C1651" si="1763">IF(D1651=D1666,D1665,"falso")</f>
        <v>PATIENT_0104</v>
      </c>
      <c r="D1651" s="4" t="s">
        <v>1575</v>
      </c>
      <c r="E1651" s="1" t="s">
        <v>3</v>
      </c>
      <c r="F1651" s="5" t="s">
        <v>106</v>
      </c>
      <c r="G1651" s="3">
        <f t="shared" si="1713"/>
        <v>6.5</v>
      </c>
      <c r="H1651" s="14" t="str">
        <f t="shared" ref="H1651" si="1764">IF(NOT(ISNUMBER(VALUE(G1651))), "NA",IF(VALUE(G1651)&gt;17,"HIGH",IF(VALUE(G1651)&lt;6,"LOW", "VALUE IN RANGE")))</f>
        <v>VALUE IN RANGE</v>
      </c>
    </row>
    <row r="1652" spans="3:8" x14ac:dyDescent="0.25">
      <c r="C1652" s="13"/>
      <c r="D1652" s="4" t="s">
        <v>1575</v>
      </c>
      <c r="E1652" s="4" t="s">
        <v>5</v>
      </c>
      <c r="F1652" s="3" t="s">
        <v>396</v>
      </c>
      <c r="G1652" s="3">
        <f t="shared" si="1713"/>
        <v>4.4000000000000004</v>
      </c>
      <c r="H1652" s="14" t="str">
        <f t="shared" ref="H1652" si="1765">IF(NOT(ISNUMBER(VALUE(G1652))), "NA",IF(VALUE(G1652)&gt;30,"HIGH",IF(VALUE(G1652)&lt;12,"LOW", "VALUE IN RANGE")))</f>
        <v>LOW</v>
      </c>
    </row>
    <row r="1653" spans="3:8" x14ac:dyDescent="0.25">
      <c r="C1653" s="13"/>
      <c r="D1653" s="4" t="s">
        <v>1575</v>
      </c>
      <c r="E1653" s="1" t="s">
        <v>7</v>
      </c>
      <c r="F1653" s="5" t="s">
        <v>47</v>
      </c>
      <c r="G1653" s="3">
        <f t="shared" si="1713"/>
        <v>5.5</v>
      </c>
      <c r="H1653" s="14" t="str">
        <f t="shared" ref="H1653" si="1766">IF(NOT(ISNUMBER(VALUE(G1653))), "NA",IF(VALUE(G1653)&gt;9,"HIGH",IF(VALUE(G1653)&lt;2,"LOW", "VALUE IN RANGE")))</f>
        <v>VALUE IN RANGE</v>
      </c>
    </row>
    <row r="1654" spans="3:8" x14ac:dyDescent="0.25">
      <c r="C1654" s="13"/>
      <c r="D1654" s="4" t="s">
        <v>1575</v>
      </c>
      <c r="E1654" s="4" t="s">
        <v>9</v>
      </c>
      <c r="F1654" s="3" t="s">
        <v>958</v>
      </c>
      <c r="G1654" s="3">
        <f t="shared" si="1713"/>
        <v>90.1</v>
      </c>
      <c r="H1654" s="14" t="str">
        <f t="shared" ref="H1654" si="1767">IF(NOT(ISNUMBER(VALUE(G1654))), "NA",IF(VALUE(G1654)&gt;83,"HIGH",IF(VALUE(G1654)&lt;60,"LOW", "VALUE IN RANGE")))</f>
        <v>HIGH</v>
      </c>
    </row>
    <row r="1655" spans="3:8" x14ac:dyDescent="0.25">
      <c r="C1655" s="13"/>
      <c r="D1655" s="4" t="s">
        <v>1575</v>
      </c>
      <c r="E1655" s="1" t="s">
        <v>11</v>
      </c>
      <c r="F1655" s="5" t="s">
        <v>51</v>
      </c>
      <c r="G1655" s="3">
        <f t="shared" si="1713"/>
        <v>0.2</v>
      </c>
      <c r="H1655" s="14" t="str">
        <f t="shared" ref="H1655" si="1768">IF(NOT(ISNUMBER(VALUE(G1655))), "NA",IF(VALUE(G1655)&gt;5.1,"HIGH",IF(VALUE(G1655)&lt;0.8,"LOW", "VALUE IN RANGE")))</f>
        <v>LOW</v>
      </c>
    </row>
    <row r="1656" spans="3:8" x14ac:dyDescent="0.25">
      <c r="C1656" s="13"/>
      <c r="D1656" s="4" t="s">
        <v>1575</v>
      </c>
      <c r="E1656" s="4" t="s">
        <v>13</v>
      </c>
      <c r="F1656" s="3" t="s">
        <v>14</v>
      </c>
      <c r="G1656" s="3">
        <f t="shared" si="1713"/>
        <v>0.3</v>
      </c>
      <c r="H1656" s="14" t="str">
        <f t="shared" ref="H1656" si="1769">IF(NOT(ISNUMBER(VALUE(G1656))), "NA",IF(VALUE(G1656)&gt;1.8,"HIGH",IF(VALUE(G1656)&lt;0,"LOW", "VALUE IN RANGE")))</f>
        <v>VALUE IN RANGE</v>
      </c>
    </row>
    <row r="1657" spans="3:8" x14ac:dyDescent="0.25">
      <c r="C1657" s="13"/>
      <c r="D1657" s="4" t="s">
        <v>1575</v>
      </c>
      <c r="E1657" s="1" t="s">
        <v>15</v>
      </c>
      <c r="F1657" s="5">
        <v>6000</v>
      </c>
      <c r="G1657" s="3">
        <f t="shared" si="1713"/>
        <v>6000</v>
      </c>
      <c r="H1657" s="14" t="str">
        <f t="shared" ref="H1657" si="1770">IF(NOT(ISNUMBER(VALUE(G1657))), "NA",IF(VALUE(G1657)&gt;12.6,"HIGH",IF(VALUE(G1657)&lt;4,"LOW", "VALUE IN RANGE")))</f>
        <v>HIGH</v>
      </c>
    </row>
    <row r="1658" spans="3:8" x14ac:dyDescent="0.25">
      <c r="C1658" s="13"/>
      <c r="D1658" s="4" t="s">
        <v>1575</v>
      </c>
      <c r="E1658" s="4" t="s">
        <v>17</v>
      </c>
      <c r="F1658" s="3" t="s">
        <v>959</v>
      </c>
      <c r="G1658" s="3">
        <f t="shared" si="1713"/>
        <v>7.96</v>
      </c>
      <c r="H1658" s="14" t="str">
        <f t="shared" ref="H1658" si="1771">IF(NOT(ISNUMBER(VALUE(G1658))), "NA",IF(VALUE(G1658)&gt;8.5,"HIGH",IF(VALUE(G1658)&lt;5.5,"LOW", "VALUE IN RANGE")))</f>
        <v>VALUE IN RANGE</v>
      </c>
    </row>
    <row r="1659" spans="3:8" x14ac:dyDescent="0.25">
      <c r="C1659" s="13"/>
      <c r="D1659" s="4" t="s">
        <v>1575</v>
      </c>
      <c r="E1659" s="1" t="s">
        <v>19</v>
      </c>
      <c r="F1659" s="5">
        <v>181</v>
      </c>
      <c r="G1659" s="3">
        <f t="shared" si="1713"/>
        <v>181</v>
      </c>
      <c r="H1659" s="14" t="str">
        <f t="shared" ref="H1659" si="1772">IF(NOT(ISNUMBER(VALUE(G1659))), "NA",IF(VALUE(G1659)&gt;190,"HIGH",IF(VALUE(G1659)&lt;110,"LOW", "VALUE IN RANGE")))</f>
        <v>VALUE IN RANGE</v>
      </c>
    </row>
    <row r="1660" spans="3:8" x14ac:dyDescent="0.25">
      <c r="C1660" s="13"/>
      <c r="D1660" s="4" t="s">
        <v>1575</v>
      </c>
      <c r="E1660" s="4" t="s">
        <v>21</v>
      </c>
      <c r="F1660" s="3" t="s">
        <v>961</v>
      </c>
      <c r="G1660" s="3">
        <f t="shared" si="1713"/>
        <v>55.4</v>
      </c>
      <c r="H1660" s="14" t="str">
        <f t="shared" ref="H1660" si="1773">IF(NOT(ISNUMBER(VALUE(G1660))), "NA",IF(VALUE(G1660)&gt;56,"HIGH",IF(VALUE(G1660)&lt;39,"LOW", "VALUE IN RANGE")))</f>
        <v>VALUE IN RANGE</v>
      </c>
    </row>
    <row r="1661" spans="3:8" x14ac:dyDescent="0.25">
      <c r="C1661" s="13"/>
      <c r="D1661" s="4" t="s">
        <v>1575</v>
      </c>
      <c r="E1661" s="1" t="s">
        <v>23</v>
      </c>
      <c r="F1661" s="5" t="s">
        <v>412</v>
      </c>
      <c r="G1661" s="3">
        <f t="shared" si="1713"/>
        <v>69.7</v>
      </c>
      <c r="H1661" s="14" t="str">
        <f t="shared" ref="H1661" si="1774">IF(NOT(ISNUMBER(VALUE(G1661))), "NA",IF(VALUE(G1661)&gt;72,"HIGH",IF(VALUE(G1661)&lt;62,"LOW", "VALUE IN RANGE")))</f>
        <v>VALUE IN RANGE</v>
      </c>
    </row>
    <row r="1662" spans="3:8" x14ac:dyDescent="0.25">
      <c r="C1662" s="13"/>
      <c r="D1662" s="4" t="s">
        <v>1575</v>
      </c>
      <c r="E1662" s="4" t="s">
        <v>25</v>
      </c>
      <c r="F1662" s="3" t="s">
        <v>381</v>
      </c>
      <c r="G1662" s="3">
        <f t="shared" si="1713"/>
        <v>22.7</v>
      </c>
      <c r="H1662" s="14" t="str">
        <f t="shared" ref="H1662" si="1775">IF(NOT(ISNUMBER(VALUE(G1662))), "NA",IF(VALUE(G1662)&gt;25,"HIGH",IF(VALUE(G1662)&lt;20,"LOW", "VALUE IN RANGE")))</f>
        <v>VALUE IN RANGE</v>
      </c>
    </row>
    <row r="1663" spans="3:8" x14ac:dyDescent="0.25">
      <c r="C1663" s="13"/>
      <c r="D1663" s="4" t="s">
        <v>1575</v>
      </c>
      <c r="E1663" s="1" t="s">
        <v>27</v>
      </c>
      <c r="F1663" s="5">
        <v>326</v>
      </c>
      <c r="G1663" s="3">
        <f t="shared" si="1713"/>
        <v>326</v>
      </c>
      <c r="H1663" s="14" t="str">
        <f t="shared" ref="H1663" si="1776">IF(NOT(ISNUMBER(VALUE(G1663))), "NA",IF(VALUE(G1663)&gt;380,"HIGH",IF(VALUE(G1663)&lt;300,"LOW", "VALUE IN RANGE")))</f>
        <v>VALUE IN RANGE</v>
      </c>
    </row>
    <row r="1664" spans="3:8" x14ac:dyDescent="0.25">
      <c r="C1664" s="13"/>
      <c r="D1664" s="4" t="s">
        <v>1575</v>
      </c>
      <c r="E1664" s="4" t="s">
        <v>29</v>
      </c>
      <c r="F1664" s="3" t="s">
        <v>816</v>
      </c>
      <c r="G1664" s="3">
        <f t="shared" si="1713"/>
        <v>11.5</v>
      </c>
      <c r="H1664" s="14" t="str">
        <f t="shared" ref="H1664" si="1777">IF(NOT(ISNUMBER(VALUE(G1664))), "NA",IF(VALUE(G1664)&gt;15.5,"HIGH",IF(VALUE(G1664)&lt;11,"LOW", "VALUE IN RANGE")))</f>
        <v>VALUE IN RANGE</v>
      </c>
    </row>
    <row r="1665" spans="3:8" x14ac:dyDescent="0.25">
      <c r="C1665" s="13"/>
      <c r="D1665" s="4" t="s">
        <v>1575</v>
      </c>
      <c r="E1665" s="1" t="s">
        <v>31</v>
      </c>
      <c r="F1665" s="5">
        <v>305</v>
      </c>
      <c r="G1665" s="3">
        <f t="shared" si="1713"/>
        <v>305</v>
      </c>
      <c r="H1665" s="14" t="str">
        <f t="shared" ref="H1665" si="1778">IF(NOT(ISNUMBER(VALUE(G1665))), "NA",IF(VALUE(G1665)&gt;460,"HIGH",IF(VALUE(G1665)&lt;117,"LOW", "VALUE IN RANGE")))</f>
        <v>VALUE IN RANGE</v>
      </c>
    </row>
    <row r="1666" spans="3:8" x14ac:dyDescent="0.25">
      <c r="C1666" s="13"/>
      <c r="D1666" s="4" t="s">
        <v>1575</v>
      </c>
      <c r="E1666" s="4" t="s">
        <v>33</v>
      </c>
      <c r="F1666" s="3" t="s">
        <v>372</v>
      </c>
      <c r="G1666" s="3">
        <f t="shared" si="1713"/>
        <v>7.7</v>
      </c>
      <c r="H1666" s="14" t="str">
        <f t="shared" ref="H1666" si="1779">IF(NOT(ISNUMBER(VALUE(G1666))), "NA",IF(VALUE(G1666)&gt;12,"HIGH",IF(VALUE(G1666)&lt;7,"LOW", "VALUE IN RANGE")))</f>
        <v>VALUE IN RANGE</v>
      </c>
    </row>
    <row r="1667" spans="3:8" ht="15" customHeight="1" x14ac:dyDescent="0.25">
      <c r="C1667" s="13" t="str">
        <f t="shared" ref="C1667" si="1780">IF(D1667=D1682,D1681,"falso")</f>
        <v>PATIENT_0105</v>
      </c>
      <c r="D1667" s="4" t="s">
        <v>1576</v>
      </c>
      <c r="E1667" s="1" t="s">
        <v>3</v>
      </c>
      <c r="F1667" s="5" t="s">
        <v>545</v>
      </c>
      <c r="G1667" s="3">
        <f t="shared" si="1713"/>
        <v>9.1999999999999993</v>
      </c>
      <c r="H1667" s="14" t="str">
        <f t="shared" ref="H1667" si="1781">IF(NOT(ISNUMBER(VALUE(G1667))), "NA",IF(VALUE(G1667)&gt;17,"HIGH",IF(VALUE(G1667)&lt;6,"LOW", "VALUE IN RANGE")))</f>
        <v>VALUE IN RANGE</v>
      </c>
    </row>
    <row r="1668" spans="3:8" x14ac:dyDescent="0.25">
      <c r="C1668" s="13"/>
      <c r="D1668" s="4" t="s">
        <v>1576</v>
      </c>
      <c r="E1668" s="4" t="s">
        <v>5</v>
      </c>
      <c r="F1668" s="3" t="s">
        <v>660</v>
      </c>
      <c r="G1668" s="3">
        <f t="shared" ref="G1668:G1731" si="1782">IFERROR(
   VALUE(
      SUBSTITUTE(
         CLEAN(
            TRIM(F1668)
         ),
         ".",
         ","
      )
   ),
   ""
)</f>
        <v>8.1</v>
      </c>
      <c r="H1668" s="14" t="str">
        <f t="shared" ref="H1668" si="1783">IF(NOT(ISNUMBER(VALUE(G1668))), "NA",IF(VALUE(G1668)&gt;30,"HIGH",IF(VALUE(G1668)&lt;12,"LOW", "VALUE IN RANGE")))</f>
        <v>LOW</v>
      </c>
    </row>
    <row r="1669" spans="3:8" x14ac:dyDescent="0.25">
      <c r="C1669" s="13"/>
      <c r="D1669" s="4" t="s">
        <v>1576</v>
      </c>
      <c r="E1669" s="1" t="s">
        <v>7</v>
      </c>
      <c r="F1669" s="5" t="s">
        <v>593</v>
      </c>
      <c r="G1669" s="3">
        <f t="shared" si="1782"/>
        <v>4.3</v>
      </c>
      <c r="H1669" s="14" t="str">
        <f t="shared" ref="H1669" si="1784">IF(NOT(ISNUMBER(VALUE(G1669))), "NA",IF(VALUE(G1669)&gt;9,"HIGH",IF(VALUE(G1669)&lt;2,"LOW", "VALUE IN RANGE")))</f>
        <v>VALUE IN RANGE</v>
      </c>
    </row>
    <row r="1670" spans="3:8" x14ac:dyDescent="0.25">
      <c r="C1670" s="13"/>
      <c r="D1670" s="4" t="s">
        <v>1576</v>
      </c>
      <c r="E1670" s="4" t="s">
        <v>9</v>
      </c>
      <c r="F1670" s="3" t="s">
        <v>599</v>
      </c>
      <c r="G1670" s="3">
        <f t="shared" si="1782"/>
        <v>87.6</v>
      </c>
      <c r="H1670" s="14" t="str">
        <f t="shared" ref="H1670" si="1785">IF(NOT(ISNUMBER(VALUE(G1670))), "NA",IF(VALUE(G1670)&gt;83,"HIGH",IF(VALUE(G1670)&lt;60,"LOW", "VALUE IN RANGE")))</f>
        <v>HIGH</v>
      </c>
    </row>
    <row r="1671" spans="3:8" x14ac:dyDescent="0.25">
      <c r="C1671" s="13"/>
      <c r="D1671" s="4" t="s">
        <v>1576</v>
      </c>
      <c r="E1671" s="1" t="s">
        <v>11</v>
      </c>
      <c r="F1671" s="5" t="s">
        <v>12</v>
      </c>
      <c r="G1671" s="3">
        <f t="shared" si="1782"/>
        <v>0.7</v>
      </c>
      <c r="H1671" s="14" t="str">
        <f t="shared" ref="H1671" si="1786">IF(NOT(ISNUMBER(VALUE(G1671))), "NA",IF(VALUE(G1671)&gt;5.1,"HIGH",IF(VALUE(G1671)&lt;0.8,"LOW", "VALUE IN RANGE")))</f>
        <v>LOW</v>
      </c>
    </row>
    <row r="1672" spans="3:8" x14ac:dyDescent="0.25">
      <c r="C1672" s="13"/>
      <c r="D1672" s="4" t="s">
        <v>1576</v>
      </c>
      <c r="E1672" s="4" t="s">
        <v>13</v>
      </c>
      <c r="F1672" s="3" t="s">
        <v>14</v>
      </c>
      <c r="G1672" s="3">
        <f t="shared" si="1782"/>
        <v>0.3</v>
      </c>
      <c r="H1672" s="14" t="str">
        <f t="shared" ref="H1672" si="1787">IF(NOT(ISNUMBER(VALUE(G1672))), "NA",IF(VALUE(G1672)&gt;1.8,"HIGH",IF(VALUE(G1672)&lt;0,"LOW", "VALUE IN RANGE")))</f>
        <v>VALUE IN RANGE</v>
      </c>
    </row>
    <row r="1673" spans="3:8" x14ac:dyDescent="0.25">
      <c r="C1673" s="13"/>
      <c r="D1673" s="4" t="s">
        <v>1576</v>
      </c>
      <c r="E1673" s="1" t="s">
        <v>15</v>
      </c>
      <c r="F1673" s="5">
        <v>8200</v>
      </c>
      <c r="G1673" s="3">
        <f t="shared" si="1782"/>
        <v>8200</v>
      </c>
      <c r="H1673" s="14" t="str">
        <f t="shared" ref="H1673" si="1788">IF(NOT(ISNUMBER(VALUE(G1673))), "NA",IF(VALUE(G1673)&gt;12.6,"HIGH",IF(VALUE(G1673)&lt;4,"LOW", "VALUE IN RANGE")))</f>
        <v>HIGH</v>
      </c>
    </row>
    <row r="1674" spans="3:8" x14ac:dyDescent="0.25">
      <c r="C1674" s="13"/>
      <c r="D1674" s="4" t="s">
        <v>1576</v>
      </c>
      <c r="E1674" s="4" t="s">
        <v>17</v>
      </c>
      <c r="F1674" s="3" t="s">
        <v>962</v>
      </c>
      <c r="G1674" s="3">
        <f t="shared" si="1782"/>
        <v>6.34</v>
      </c>
      <c r="H1674" s="14" t="str">
        <f t="shared" ref="H1674" si="1789">IF(NOT(ISNUMBER(VALUE(G1674))), "NA",IF(VALUE(G1674)&gt;8.5,"HIGH",IF(VALUE(G1674)&lt;5.5,"LOW", "VALUE IN RANGE")))</f>
        <v>VALUE IN RANGE</v>
      </c>
    </row>
    <row r="1675" spans="3:8" x14ac:dyDescent="0.25">
      <c r="C1675" s="13"/>
      <c r="D1675" s="4" t="s">
        <v>1576</v>
      </c>
      <c r="E1675" s="1" t="s">
        <v>19</v>
      </c>
      <c r="F1675" s="5">
        <v>144</v>
      </c>
      <c r="G1675" s="3">
        <f t="shared" si="1782"/>
        <v>144</v>
      </c>
      <c r="H1675" s="14" t="str">
        <f t="shared" ref="H1675" si="1790">IF(NOT(ISNUMBER(VALUE(G1675))), "NA",IF(VALUE(G1675)&gt;190,"HIGH",IF(VALUE(G1675)&lt;110,"LOW", "VALUE IN RANGE")))</f>
        <v>VALUE IN RANGE</v>
      </c>
    </row>
    <row r="1676" spans="3:8" x14ac:dyDescent="0.25">
      <c r="C1676" s="13"/>
      <c r="D1676" s="4" t="s">
        <v>1576</v>
      </c>
      <c r="E1676" s="4" t="s">
        <v>21</v>
      </c>
      <c r="F1676" s="3" t="s">
        <v>963</v>
      </c>
      <c r="G1676" s="3">
        <f t="shared" si="1782"/>
        <v>43.9</v>
      </c>
      <c r="H1676" s="14" t="str">
        <f t="shared" ref="H1676" si="1791">IF(NOT(ISNUMBER(VALUE(G1676))), "NA",IF(VALUE(G1676)&gt;56,"HIGH",IF(VALUE(G1676)&lt;39,"LOW", "VALUE IN RANGE")))</f>
        <v>VALUE IN RANGE</v>
      </c>
    </row>
    <row r="1677" spans="3:8" x14ac:dyDescent="0.25">
      <c r="C1677" s="13"/>
      <c r="D1677" s="4" t="s">
        <v>1576</v>
      </c>
      <c r="E1677" s="1" t="s">
        <v>23</v>
      </c>
      <c r="F1677" s="5" t="s">
        <v>443</v>
      </c>
      <c r="G1677" s="3">
        <f t="shared" si="1782"/>
        <v>69.3</v>
      </c>
      <c r="H1677" s="14" t="str">
        <f t="shared" ref="H1677" si="1792">IF(NOT(ISNUMBER(VALUE(G1677))), "NA",IF(VALUE(G1677)&gt;72,"HIGH",IF(VALUE(G1677)&lt;62,"LOW", "VALUE IN RANGE")))</f>
        <v>VALUE IN RANGE</v>
      </c>
    </row>
    <row r="1678" spans="3:8" x14ac:dyDescent="0.25">
      <c r="C1678" s="13"/>
      <c r="D1678" s="4" t="s">
        <v>1576</v>
      </c>
      <c r="E1678" s="4" t="s">
        <v>25</v>
      </c>
      <c r="F1678" s="3" t="s">
        <v>381</v>
      </c>
      <c r="G1678" s="3">
        <f t="shared" si="1782"/>
        <v>22.7</v>
      </c>
      <c r="H1678" s="14" t="str">
        <f t="shared" ref="H1678" si="1793">IF(NOT(ISNUMBER(VALUE(G1678))), "NA",IF(VALUE(G1678)&gt;25,"HIGH",IF(VALUE(G1678)&lt;20,"LOW", "VALUE IN RANGE")))</f>
        <v>VALUE IN RANGE</v>
      </c>
    </row>
    <row r="1679" spans="3:8" x14ac:dyDescent="0.25">
      <c r="C1679" s="13"/>
      <c r="D1679" s="4" t="s">
        <v>1576</v>
      </c>
      <c r="E1679" s="1" t="s">
        <v>27</v>
      </c>
      <c r="F1679" s="5">
        <v>328</v>
      </c>
      <c r="G1679" s="3">
        <f t="shared" si="1782"/>
        <v>328</v>
      </c>
      <c r="H1679" s="14" t="str">
        <f t="shared" ref="H1679" si="1794">IF(NOT(ISNUMBER(VALUE(G1679))), "NA",IF(VALUE(G1679)&gt;380,"HIGH",IF(VALUE(G1679)&lt;300,"LOW", "VALUE IN RANGE")))</f>
        <v>VALUE IN RANGE</v>
      </c>
    </row>
    <row r="1680" spans="3:8" x14ac:dyDescent="0.25">
      <c r="C1680" s="13"/>
      <c r="D1680" s="4" t="s">
        <v>1576</v>
      </c>
      <c r="E1680" s="4" t="s">
        <v>29</v>
      </c>
      <c r="F1680" s="3" t="s">
        <v>360</v>
      </c>
      <c r="G1680" s="3">
        <f t="shared" si="1782"/>
        <v>12.2</v>
      </c>
      <c r="H1680" s="14" t="str">
        <f t="shared" ref="H1680" si="1795">IF(NOT(ISNUMBER(VALUE(G1680))), "NA",IF(VALUE(G1680)&gt;15.5,"HIGH",IF(VALUE(G1680)&lt;11,"LOW", "VALUE IN RANGE")))</f>
        <v>VALUE IN RANGE</v>
      </c>
    </row>
    <row r="1681" spans="3:8" x14ac:dyDescent="0.25">
      <c r="C1681" s="13"/>
      <c r="D1681" s="4" t="s">
        <v>1576</v>
      </c>
      <c r="E1681" s="1" t="s">
        <v>31</v>
      </c>
      <c r="F1681" s="5">
        <v>400</v>
      </c>
      <c r="G1681" s="3">
        <f t="shared" si="1782"/>
        <v>400</v>
      </c>
      <c r="H1681" s="14" t="str">
        <f t="shared" ref="H1681" si="1796">IF(NOT(ISNUMBER(VALUE(G1681))), "NA",IF(VALUE(G1681)&gt;460,"HIGH",IF(VALUE(G1681)&lt;117,"LOW", "VALUE IN RANGE")))</f>
        <v>VALUE IN RANGE</v>
      </c>
    </row>
    <row r="1682" spans="3:8" x14ac:dyDescent="0.25">
      <c r="C1682" s="13"/>
      <c r="D1682" s="4" t="s">
        <v>1576</v>
      </c>
      <c r="E1682" s="4" t="s">
        <v>33</v>
      </c>
      <c r="F1682" s="3" t="s">
        <v>202</v>
      </c>
      <c r="G1682" s="3">
        <f t="shared" si="1782"/>
        <v>7.3</v>
      </c>
      <c r="H1682" s="14" t="str">
        <f t="shared" ref="H1682" si="1797">IF(NOT(ISNUMBER(VALUE(G1682))), "NA",IF(VALUE(G1682)&gt;12,"HIGH",IF(VALUE(G1682)&lt;7,"LOW", "VALUE IN RANGE")))</f>
        <v>VALUE IN RANGE</v>
      </c>
    </row>
    <row r="1683" spans="3:8" ht="15" customHeight="1" x14ac:dyDescent="0.25">
      <c r="C1683" s="13" t="str">
        <f t="shared" ref="C1683" si="1798">IF(D1683=D1698,D1697,"falso")</f>
        <v>PATIENT_0106</v>
      </c>
      <c r="D1683" s="4" t="s">
        <v>1577</v>
      </c>
      <c r="E1683" s="1" t="s">
        <v>3</v>
      </c>
      <c r="F1683" s="5" t="s">
        <v>179</v>
      </c>
      <c r="G1683" s="3">
        <f t="shared" si="1782"/>
        <v>8</v>
      </c>
      <c r="H1683" s="14" t="str">
        <f t="shared" ref="H1683" si="1799">IF(NOT(ISNUMBER(VALUE(G1683))), "NA",IF(VALUE(G1683)&gt;17,"HIGH",IF(VALUE(G1683)&lt;6,"LOW", "VALUE IN RANGE")))</f>
        <v>VALUE IN RANGE</v>
      </c>
    </row>
    <row r="1684" spans="3:8" x14ac:dyDescent="0.25">
      <c r="C1684" s="13"/>
      <c r="D1684" s="4" t="s">
        <v>1577</v>
      </c>
      <c r="E1684" s="4" t="s">
        <v>5</v>
      </c>
      <c r="F1684" s="3" t="s">
        <v>4</v>
      </c>
      <c r="G1684" s="3">
        <f t="shared" si="1782"/>
        <v>8.6</v>
      </c>
      <c r="H1684" s="14" t="str">
        <f t="shared" ref="H1684" si="1800">IF(NOT(ISNUMBER(VALUE(G1684))), "NA",IF(VALUE(G1684)&gt;30,"HIGH",IF(VALUE(G1684)&lt;12,"LOW", "VALUE IN RANGE")))</f>
        <v>LOW</v>
      </c>
    </row>
    <row r="1685" spans="3:8" x14ac:dyDescent="0.25">
      <c r="C1685" s="13"/>
      <c r="D1685" s="4" t="s">
        <v>1577</v>
      </c>
      <c r="E1685" s="1" t="s">
        <v>7</v>
      </c>
      <c r="F1685" s="5" t="s">
        <v>396</v>
      </c>
      <c r="G1685" s="3">
        <f t="shared" si="1782"/>
        <v>4.4000000000000004</v>
      </c>
      <c r="H1685" s="14" t="str">
        <f t="shared" ref="H1685" si="1801">IF(NOT(ISNUMBER(VALUE(G1685))), "NA",IF(VALUE(G1685)&gt;9,"HIGH",IF(VALUE(G1685)&lt;2,"LOW", "VALUE IN RANGE")))</f>
        <v>VALUE IN RANGE</v>
      </c>
    </row>
    <row r="1686" spans="3:8" x14ac:dyDescent="0.25">
      <c r="C1686" s="13"/>
      <c r="D1686" s="4" t="s">
        <v>1577</v>
      </c>
      <c r="E1686" s="4" t="s">
        <v>9</v>
      </c>
      <c r="F1686" s="3" t="s">
        <v>10</v>
      </c>
      <c r="G1686" s="3">
        <f t="shared" si="1782"/>
        <v>87</v>
      </c>
      <c r="H1686" s="14" t="str">
        <f t="shared" ref="H1686" si="1802">IF(NOT(ISNUMBER(VALUE(G1686))), "NA",IF(VALUE(G1686)&gt;83,"HIGH",IF(VALUE(G1686)&lt;60,"LOW", "VALUE IN RANGE")))</f>
        <v>HIGH</v>
      </c>
    </row>
    <row r="1687" spans="3:8" x14ac:dyDescent="0.25">
      <c r="C1687" s="13"/>
      <c r="D1687" s="4" t="s">
        <v>1577</v>
      </c>
      <c r="E1687" s="1" t="s">
        <v>11</v>
      </c>
      <c r="F1687" s="5" t="s">
        <v>52</v>
      </c>
      <c r="G1687" s="3">
        <f t="shared" si="1782"/>
        <v>0.6</v>
      </c>
      <c r="H1687" s="14" t="str">
        <f t="shared" ref="H1687" si="1803">IF(NOT(ISNUMBER(VALUE(G1687))), "NA",IF(VALUE(G1687)&gt;5.1,"HIGH",IF(VALUE(G1687)&lt;0.8,"LOW", "VALUE IN RANGE")))</f>
        <v>LOW</v>
      </c>
    </row>
    <row r="1688" spans="3:8" x14ac:dyDescent="0.25">
      <c r="C1688" s="13"/>
      <c r="D1688" s="4" t="s">
        <v>1577</v>
      </c>
      <c r="E1688" s="4" t="s">
        <v>13</v>
      </c>
      <c r="F1688" s="3" t="s">
        <v>14</v>
      </c>
      <c r="G1688" s="3">
        <f t="shared" si="1782"/>
        <v>0.3</v>
      </c>
      <c r="H1688" s="14" t="str">
        <f t="shared" ref="H1688" si="1804">IF(NOT(ISNUMBER(VALUE(G1688))), "NA",IF(VALUE(G1688)&gt;1.8,"HIGH",IF(VALUE(G1688)&lt;0,"LOW", "VALUE IN RANGE")))</f>
        <v>VALUE IN RANGE</v>
      </c>
    </row>
    <row r="1689" spans="3:8" x14ac:dyDescent="0.25">
      <c r="C1689" s="13"/>
      <c r="D1689" s="4" t="s">
        <v>1577</v>
      </c>
      <c r="E1689" s="1" t="s">
        <v>15</v>
      </c>
      <c r="F1689" s="5">
        <v>7100</v>
      </c>
      <c r="G1689" s="3">
        <f t="shared" si="1782"/>
        <v>7100</v>
      </c>
      <c r="H1689" s="14" t="str">
        <f t="shared" ref="H1689" si="1805">IF(NOT(ISNUMBER(VALUE(G1689))), "NA",IF(VALUE(G1689)&gt;12.6,"HIGH",IF(VALUE(G1689)&lt;4,"LOW", "VALUE IN RANGE")))</f>
        <v>HIGH</v>
      </c>
    </row>
    <row r="1690" spans="3:8" x14ac:dyDescent="0.25">
      <c r="C1690" s="13"/>
      <c r="D1690" s="4" t="s">
        <v>1577</v>
      </c>
      <c r="E1690" s="4" t="s">
        <v>17</v>
      </c>
      <c r="F1690" s="3" t="s">
        <v>666</v>
      </c>
      <c r="G1690" s="3">
        <f t="shared" si="1782"/>
        <v>6.75</v>
      </c>
      <c r="H1690" s="14" t="str">
        <f t="shared" ref="H1690" si="1806">IF(NOT(ISNUMBER(VALUE(G1690))), "NA",IF(VALUE(G1690)&gt;8.5,"HIGH",IF(VALUE(G1690)&lt;5.5,"LOW", "VALUE IN RANGE")))</f>
        <v>VALUE IN RANGE</v>
      </c>
    </row>
    <row r="1691" spans="3:8" x14ac:dyDescent="0.25">
      <c r="C1691" s="13"/>
      <c r="D1691" s="4" t="s">
        <v>1577</v>
      </c>
      <c r="E1691" s="1" t="s">
        <v>19</v>
      </c>
      <c r="F1691" s="5">
        <v>140</v>
      </c>
      <c r="G1691" s="3">
        <f t="shared" si="1782"/>
        <v>140</v>
      </c>
      <c r="H1691" s="14" t="str">
        <f t="shared" ref="H1691" si="1807">IF(NOT(ISNUMBER(VALUE(G1691))), "NA",IF(VALUE(G1691)&gt;190,"HIGH",IF(VALUE(G1691)&lt;110,"LOW", "VALUE IN RANGE")))</f>
        <v>VALUE IN RANGE</v>
      </c>
    </row>
    <row r="1692" spans="3:8" x14ac:dyDescent="0.25">
      <c r="C1692" s="13"/>
      <c r="D1692" s="4" t="s">
        <v>1577</v>
      </c>
      <c r="E1692" s="4" t="s">
        <v>21</v>
      </c>
      <c r="F1692" s="3" t="s">
        <v>759</v>
      </c>
      <c r="G1692" s="3">
        <f t="shared" si="1782"/>
        <v>45</v>
      </c>
      <c r="H1692" s="14" t="str">
        <f t="shared" ref="H1692" si="1808">IF(NOT(ISNUMBER(VALUE(G1692))), "NA",IF(VALUE(G1692)&gt;56,"HIGH",IF(VALUE(G1692)&lt;39,"LOW", "VALUE IN RANGE")))</f>
        <v>VALUE IN RANGE</v>
      </c>
    </row>
    <row r="1693" spans="3:8" x14ac:dyDescent="0.25">
      <c r="C1693" s="13"/>
      <c r="D1693" s="4" t="s">
        <v>1577</v>
      </c>
      <c r="E1693" s="1" t="s">
        <v>23</v>
      </c>
      <c r="F1693" s="5" t="s">
        <v>965</v>
      </c>
      <c r="G1693" s="3">
        <f t="shared" si="1782"/>
        <v>66.7</v>
      </c>
      <c r="H1693" s="14" t="str">
        <f t="shared" ref="H1693" si="1809">IF(NOT(ISNUMBER(VALUE(G1693))), "NA",IF(VALUE(G1693)&gt;72,"HIGH",IF(VALUE(G1693)&lt;62,"LOW", "VALUE IN RANGE")))</f>
        <v>VALUE IN RANGE</v>
      </c>
    </row>
    <row r="1694" spans="3:8" x14ac:dyDescent="0.25">
      <c r="C1694" s="13"/>
      <c r="D1694" s="4" t="s">
        <v>1577</v>
      </c>
      <c r="E1694" s="4" t="s">
        <v>25</v>
      </c>
      <c r="F1694" s="3" t="s">
        <v>349</v>
      </c>
      <c r="G1694" s="3">
        <f t="shared" si="1782"/>
        <v>20.7</v>
      </c>
      <c r="H1694" s="14" t="str">
        <f t="shared" ref="H1694" si="1810">IF(NOT(ISNUMBER(VALUE(G1694))), "NA",IF(VALUE(G1694)&gt;25,"HIGH",IF(VALUE(G1694)&lt;20,"LOW", "VALUE IN RANGE")))</f>
        <v>VALUE IN RANGE</v>
      </c>
    </row>
    <row r="1695" spans="3:8" x14ac:dyDescent="0.25">
      <c r="C1695" s="13"/>
      <c r="D1695" s="4" t="s">
        <v>1577</v>
      </c>
      <c r="E1695" s="1" t="s">
        <v>27</v>
      </c>
      <c r="F1695" s="5">
        <v>311</v>
      </c>
      <c r="G1695" s="3">
        <f t="shared" si="1782"/>
        <v>311</v>
      </c>
      <c r="H1695" s="14" t="str">
        <f t="shared" ref="H1695" si="1811">IF(NOT(ISNUMBER(VALUE(G1695))), "NA",IF(VALUE(G1695)&gt;380,"HIGH",IF(VALUE(G1695)&lt;300,"LOW", "VALUE IN RANGE")))</f>
        <v>VALUE IN RANGE</v>
      </c>
    </row>
    <row r="1696" spans="3:8" x14ac:dyDescent="0.25">
      <c r="C1696" s="13"/>
      <c r="D1696" s="4" t="s">
        <v>1577</v>
      </c>
      <c r="E1696" s="4" t="s">
        <v>29</v>
      </c>
      <c r="F1696" s="3" t="s">
        <v>217</v>
      </c>
      <c r="G1696" s="3">
        <f t="shared" si="1782"/>
        <v>12.6</v>
      </c>
      <c r="H1696" s="14" t="str">
        <f t="shared" ref="H1696" si="1812">IF(NOT(ISNUMBER(VALUE(G1696))), "NA",IF(VALUE(G1696)&gt;15.5,"HIGH",IF(VALUE(G1696)&lt;11,"LOW", "VALUE IN RANGE")))</f>
        <v>VALUE IN RANGE</v>
      </c>
    </row>
    <row r="1697" spans="3:8" x14ac:dyDescent="0.25">
      <c r="C1697" s="13"/>
      <c r="D1697" s="4" t="s">
        <v>1577</v>
      </c>
      <c r="E1697" s="1" t="s">
        <v>31</v>
      </c>
      <c r="F1697" s="5">
        <v>414</v>
      </c>
      <c r="G1697" s="3">
        <f t="shared" si="1782"/>
        <v>414</v>
      </c>
      <c r="H1697" s="14" t="str">
        <f t="shared" ref="H1697" si="1813">IF(NOT(ISNUMBER(VALUE(G1697))), "NA",IF(VALUE(G1697)&gt;460,"HIGH",IF(VALUE(G1697)&lt;117,"LOW", "VALUE IN RANGE")))</f>
        <v>VALUE IN RANGE</v>
      </c>
    </row>
    <row r="1698" spans="3:8" x14ac:dyDescent="0.25">
      <c r="C1698" s="13"/>
      <c r="D1698" s="4" t="s">
        <v>1577</v>
      </c>
      <c r="E1698" s="4" t="s">
        <v>33</v>
      </c>
      <c r="F1698" s="3" t="s">
        <v>645</v>
      </c>
      <c r="G1698" s="3">
        <f t="shared" si="1782"/>
        <v>7.5</v>
      </c>
      <c r="H1698" s="14" t="str">
        <f t="shared" ref="H1698" si="1814">IF(NOT(ISNUMBER(VALUE(G1698))), "NA",IF(VALUE(G1698)&gt;12,"HIGH",IF(VALUE(G1698)&lt;7,"LOW", "VALUE IN RANGE")))</f>
        <v>VALUE IN RANGE</v>
      </c>
    </row>
    <row r="1699" spans="3:8" ht="15" customHeight="1" x14ac:dyDescent="0.25">
      <c r="C1699" s="13" t="str">
        <f t="shared" ref="C1699" si="1815">IF(D1699=D1714,D1713,"falso")</f>
        <v>PATIENT_0107</v>
      </c>
      <c r="D1699" s="4" t="s">
        <v>1578</v>
      </c>
      <c r="E1699" s="1" t="s">
        <v>3</v>
      </c>
      <c r="F1699" s="5" t="s">
        <v>691</v>
      </c>
      <c r="G1699" s="3">
        <f t="shared" si="1782"/>
        <v>8.5</v>
      </c>
      <c r="H1699" s="14" t="str">
        <f t="shared" ref="H1699" si="1816">IF(NOT(ISNUMBER(VALUE(G1699))), "NA",IF(VALUE(G1699)&gt;17,"HIGH",IF(VALUE(G1699)&lt;6,"LOW", "VALUE IN RANGE")))</f>
        <v>VALUE IN RANGE</v>
      </c>
    </row>
    <row r="1700" spans="3:8" x14ac:dyDescent="0.25">
      <c r="C1700" s="13"/>
      <c r="D1700" s="4" t="s">
        <v>1578</v>
      </c>
      <c r="E1700" s="4" t="s">
        <v>5</v>
      </c>
      <c r="F1700" s="3" t="s">
        <v>576</v>
      </c>
      <c r="G1700" s="3">
        <f t="shared" si="1782"/>
        <v>6.6</v>
      </c>
      <c r="H1700" s="14" t="str">
        <f t="shared" ref="H1700" si="1817">IF(NOT(ISNUMBER(VALUE(G1700))), "NA",IF(VALUE(G1700)&gt;30,"HIGH",IF(VALUE(G1700)&lt;12,"LOW", "VALUE IN RANGE")))</f>
        <v>LOW</v>
      </c>
    </row>
    <row r="1701" spans="3:8" x14ac:dyDescent="0.25">
      <c r="C1701" s="13"/>
      <c r="D1701" s="4" t="s">
        <v>1578</v>
      </c>
      <c r="E1701" s="1" t="s">
        <v>7</v>
      </c>
      <c r="F1701" s="5" t="s">
        <v>967</v>
      </c>
      <c r="G1701" s="3">
        <f t="shared" si="1782"/>
        <v>2.1</v>
      </c>
      <c r="H1701" s="14" t="str">
        <f t="shared" ref="H1701" si="1818">IF(NOT(ISNUMBER(VALUE(G1701))), "NA",IF(VALUE(G1701)&gt;9,"HIGH",IF(VALUE(G1701)&lt;2,"LOW", "VALUE IN RANGE")))</f>
        <v>VALUE IN RANGE</v>
      </c>
    </row>
    <row r="1702" spans="3:8" x14ac:dyDescent="0.25">
      <c r="C1702" s="13"/>
      <c r="D1702" s="4" t="s">
        <v>1578</v>
      </c>
      <c r="E1702" s="4" t="s">
        <v>9</v>
      </c>
      <c r="F1702" s="3" t="s">
        <v>968</v>
      </c>
      <c r="G1702" s="3">
        <f t="shared" si="1782"/>
        <v>91.3</v>
      </c>
      <c r="H1702" s="14" t="str">
        <f t="shared" ref="H1702" si="1819">IF(NOT(ISNUMBER(VALUE(G1702))), "NA",IF(VALUE(G1702)&gt;83,"HIGH",IF(VALUE(G1702)&lt;60,"LOW", "VALUE IN RANGE")))</f>
        <v>HIGH</v>
      </c>
    </row>
    <row r="1703" spans="3:8" x14ac:dyDescent="0.25">
      <c r="C1703" s="13"/>
      <c r="D1703" s="4" t="s">
        <v>1578</v>
      </c>
      <c r="E1703" s="1" t="s">
        <v>11</v>
      </c>
      <c r="F1703" s="5" t="s">
        <v>109</v>
      </c>
      <c r="G1703" s="3">
        <f t="shared" si="1782"/>
        <v>0.5</v>
      </c>
      <c r="H1703" s="14" t="str">
        <f t="shared" ref="H1703" si="1820">IF(NOT(ISNUMBER(VALUE(G1703))), "NA",IF(VALUE(G1703)&gt;5.1,"HIGH",IF(VALUE(G1703)&lt;0.8,"LOW", "VALUE IN RANGE")))</f>
        <v>LOW</v>
      </c>
    </row>
    <row r="1704" spans="3:8" x14ac:dyDescent="0.25">
      <c r="C1704" s="13"/>
      <c r="D1704" s="4" t="s">
        <v>1578</v>
      </c>
      <c r="E1704" s="4" t="s">
        <v>13</v>
      </c>
      <c r="F1704" s="3" t="s">
        <v>40</v>
      </c>
      <c r="G1704" s="3">
        <f t="shared" si="1782"/>
        <v>0.1</v>
      </c>
      <c r="H1704" s="14" t="str">
        <f t="shared" ref="H1704" si="1821">IF(NOT(ISNUMBER(VALUE(G1704))), "NA",IF(VALUE(G1704)&gt;1.8,"HIGH",IF(VALUE(G1704)&lt;0,"LOW", "VALUE IN RANGE")))</f>
        <v>VALUE IN RANGE</v>
      </c>
    </row>
    <row r="1705" spans="3:8" x14ac:dyDescent="0.25">
      <c r="C1705" s="13"/>
      <c r="D1705" s="4" t="s">
        <v>1578</v>
      </c>
      <c r="E1705" s="1" t="s">
        <v>15</v>
      </c>
      <c r="F1705" s="5">
        <v>7900</v>
      </c>
      <c r="G1705" s="3">
        <f t="shared" si="1782"/>
        <v>7900</v>
      </c>
      <c r="H1705" s="14" t="str">
        <f t="shared" ref="H1705" si="1822">IF(NOT(ISNUMBER(VALUE(G1705))), "NA",IF(VALUE(G1705)&gt;12.6,"HIGH",IF(VALUE(G1705)&lt;4,"LOW", "VALUE IN RANGE")))</f>
        <v>HIGH</v>
      </c>
    </row>
    <row r="1706" spans="3:8" x14ac:dyDescent="0.25">
      <c r="C1706" s="13"/>
      <c r="D1706" s="4" t="s">
        <v>1578</v>
      </c>
      <c r="E1706" s="4" t="s">
        <v>17</v>
      </c>
      <c r="F1706" s="3" t="s">
        <v>970</v>
      </c>
      <c r="G1706" s="3">
        <f t="shared" si="1782"/>
        <v>7.16</v>
      </c>
      <c r="H1706" s="14" t="str">
        <f t="shared" ref="H1706" si="1823">IF(NOT(ISNUMBER(VALUE(G1706))), "NA",IF(VALUE(G1706)&gt;8.5,"HIGH",IF(VALUE(G1706)&lt;5.5,"LOW", "VALUE IN RANGE")))</f>
        <v>VALUE IN RANGE</v>
      </c>
    </row>
    <row r="1707" spans="3:8" x14ac:dyDescent="0.25">
      <c r="C1707" s="13"/>
      <c r="D1707" s="4" t="s">
        <v>1578</v>
      </c>
      <c r="E1707" s="1" t="s">
        <v>19</v>
      </c>
      <c r="F1707" s="5">
        <v>160</v>
      </c>
      <c r="G1707" s="3">
        <f t="shared" si="1782"/>
        <v>160</v>
      </c>
      <c r="H1707" s="14" t="str">
        <f t="shared" ref="H1707" si="1824">IF(NOT(ISNUMBER(VALUE(G1707))), "NA",IF(VALUE(G1707)&gt;190,"HIGH",IF(VALUE(G1707)&lt;110,"LOW", "VALUE IN RANGE")))</f>
        <v>VALUE IN RANGE</v>
      </c>
    </row>
    <row r="1708" spans="3:8" x14ac:dyDescent="0.25">
      <c r="C1708" s="13"/>
      <c r="D1708" s="4" t="s">
        <v>1578</v>
      </c>
      <c r="E1708" s="4" t="s">
        <v>21</v>
      </c>
      <c r="F1708" s="3" t="s">
        <v>971</v>
      </c>
      <c r="G1708" s="3">
        <f t="shared" si="1782"/>
        <v>50.4</v>
      </c>
      <c r="H1708" s="14" t="str">
        <f t="shared" ref="H1708" si="1825">IF(NOT(ISNUMBER(VALUE(G1708))), "NA",IF(VALUE(G1708)&gt;56,"HIGH",IF(VALUE(G1708)&lt;39,"LOW", "VALUE IN RANGE")))</f>
        <v>VALUE IN RANGE</v>
      </c>
    </row>
    <row r="1709" spans="3:8" x14ac:dyDescent="0.25">
      <c r="C1709" s="13"/>
      <c r="D1709" s="4" t="s">
        <v>1578</v>
      </c>
      <c r="E1709" s="1" t="s">
        <v>23</v>
      </c>
      <c r="F1709" s="5" t="s">
        <v>907</v>
      </c>
      <c r="G1709" s="3">
        <f t="shared" si="1782"/>
        <v>70.400000000000006</v>
      </c>
      <c r="H1709" s="14" t="str">
        <f t="shared" ref="H1709" si="1826">IF(NOT(ISNUMBER(VALUE(G1709))), "NA",IF(VALUE(G1709)&gt;72,"HIGH",IF(VALUE(G1709)&lt;62,"LOW", "VALUE IN RANGE")))</f>
        <v>VALUE IN RANGE</v>
      </c>
    </row>
    <row r="1710" spans="3:8" x14ac:dyDescent="0.25">
      <c r="C1710" s="13"/>
      <c r="D1710" s="4" t="s">
        <v>1578</v>
      </c>
      <c r="E1710" s="4" t="s">
        <v>25</v>
      </c>
      <c r="F1710" s="3" t="s">
        <v>572</v>
      </c>
      <c r="G1710" s="3">
        <f t="shared" si="1782"/>
        <v>22.3</v>
      </c>
      <c r="H1710" s="14" t="str">
        <f t="shared" ref="H1710" si="1827">IF(NOT(ISNUMBER(VALUE(G1710))), "NA",IF(VALUE(G1710)&gt;25,"HIGH",IF(VALUE(G1710)&lt;20,"LOW", "VALUE IN RANGE")))</f>
        <v>VALUE IN RANGE</v>
      </c>
    </row>
    <row r="1711" spans="3:8" x14ac:dyDescent="0.25">
      <c r="C1711" s="13"/>
      <c r="D1711" s="4" t="s">
        <v>1578</v>
      </c>
      <c r="E1711" s="1" t="s">
        <v>27</v>
      </c>
      <c r="F1711" s="5">
        <v>317</v>
      </c>
      <c r="G1711" s="3">
        <f t="shared" si="1782"/>
        <v>317</v>
      </c>
      <c r="H1711" s="14" t="str">
        <f t="shared" ref="H1711" si="1828">IF(NOT(ISNUMBER(VALUE(G1711))), "NA",IF(VALUE(G1711)&gt;380,"HIGH",IF(VALUE(G1711)&lt;300,"LOW", "VALUE IN RANGE")))</f>
        <v>VALUE IN RANGE</v>
      </c>
    </row>
    <row r="1712" spans="3:8" x14ac:dyDescent="0.25">
      <c r="C1712" s="13"/>
      <c r="D1712" s="4" t="s">
        <v>1578</v>
      </c>
      <c r="E1712" s="4" t="s">
        <v>29</v>
      </c>
      <c r="F1712" s="3" t="s">
        <v>383</v>
      </c>
      <c r="G1712" s="3">
        <f t="shared" si="1782"/>
        <v>12</v>
      </c>
      <c r="H1712" s="14" t="str">
        <f t="shared" ref="H1712" si="1829">IF(NOT(ISNUMBER(VALUE(G1712))), "NA",IF(VALUE(G1712)&gt;15.5,"HIGH",IF(VALUE(G1712)&lt;11,"LOW", "VALUE IN RANGE")))</f>
        <v>VALUE IN RANGE</v>
      </c>
    </row>
    <row r="1713" spans="3:8" x14ac:dyDescent="0.25">
      <c r="C1713" s="13"/>
      <c r="D1713" s="4" t="s">
        <v>1578</v>
      </c>
      <c r="E1713" s="1" t="s">
        <v>31</v>
      </c>
      <c r="F1713" s="5">
        <v>262</v>
      </c>
      <c r="G1713" s="3">
        <f t="shared" si="1782"/>
        <v>262</v>
      </c>
      <c r="H1713" s="14" t="str">
        <f t="shared" ref="H1713" si="1830">IF(NOT(ISNUMBER(VALUE(G1713))), "NA",IF(VALUE(G1713)&gt;460,"HIGH",IF(VALUE(G1713)&lt;117,"LOW", "VALUE IN RANGE")))</f>
        <v>VALUE IN RANGE</v>
      </c>
    </row>
    <row r="1714" spans="3:8" x14ac:dyDescent="0.25">
      <c r="C1714" s="13"/>
      <c r="D1714" s="4" t="s">
        <v>1578</v>
      </c>
      <c r="E1714" s="4" t="s">
        <v>33</v>
      </c>
      <c r="F1714" s="3" t="s">
        <v>90</v>
      </c>
      <c r="G1714" s="3">
        <f t="shared" si="1782"/>
        <v>7.9</v>
      </c>
      <c r="H1714" s="14" t="str">
        <f t="shared" ref="H1714" si="1831">IF(NOT(ISNUMBER(VALUE(G1714))), "NA",IF(VALUE(G1714)&gt;12,"HIGH",IF(VALUE(G1714)&lt;7,"LOW", "VALUE IN RANGE")))</f>
        <v>VALUE IN RANGE</v>
      </c>
    </row>
    <row r="1715" spans="3:8" ht="15" customHeight="1" x14ac:dyDescent="0.25">
      <c r="C1715" s="13" t="str">
        <f t="shared" ref="C1715" si="1832">IF(D1715=D1730,D1729,"falso")</f>
        <v>PATIENT_0108</v>
      </c>
      <c r="D1715" s="4" t="s">
        <v>1579</v>
      </c>
      <c r="E1715" s="1" t="s">
        <v>3</v>
      </c>
      <c r="F1715" s="5" t="s">
        <v>972</v>
      </c>
      <c r="G1715" s="3">
        <f t="shared" si="1782"/>
        <v>4</v>
      </c>
      <c r="H1715" s="14" t="str">
        <f t="shared" ref="H1715" si="1833">IF(NOT(ISNUMBER(VALUE(G1715))), "NA",IF(VALUE(G1715)&gt;17,"HIGH",IF(VALUE(G1715)&lt;6,"LOW", "VALUE IN RANGE")))</f>
        <v>LOW</v>
      </c>
    </row>
    <row r="1716" spans="3:8" x14ac:dyDescent="0.25">
      <c r="C1716" s="13"/>
      <c r="D1716" s="4" t="s">
        <v>1579</v>
      </c>
      <c r="E1716" s="4" t="s">
        <v>5</v>
      </c>
      <c r="F1716" s="3" t="s">
        <v>746</v>
      </c>
      <c r="G1716" s="3">
        <f t="shared" si="1782"/>
        <v>11</v>
      </c>
      <c r="H1716" s="14" t="str">
        <f t="shared" ref="H1716" si="1834">IF(NOT(ISNUMBER(VALUE(G1716))), "NA",IF(VALUE(G1716)&gt;30,"HIGH",IF(VALUE(G1716)&lt;12,"LOW", "VALUE IN RANGE")))</f>
        <v>LOW</v>
      </c>
    </row>
    <row r="1717" spans="3:8" x14ac:dyDescent="0.25">
      <c r="C1717" s="13"/>
      <c r="D1717" s="4" t="s">
        <v>1579</v>
      </c>
      <c r="E1717" s="1" t="s">
        <v>7</v>
      </c>
      <c r="F1717" s="5" t="s">
        <v>135</v>
      </c>
      <c r="G1717" s="3">
        <f t="shared" si="1782"/>
        <v>3.8</v>
      </c>
      <c r="H1717" s="14" t="str">
        <f t="shared" ref="H1717" si="1835">IF(NOT(ISNUMBER(VALUE(G1717))), "NA",IF(VALUE(G1717)&gt;9,"HIGH",IF(VALUE(G1717)&lt;2,"LOW", "VALUE IN RANGE")))</f>
        <v>VALUE IN RANGE</v>
      </c>
    </row>
    <row r="1718" spans="3:8" x14ac:dyDescent="0.25">
      <c r="C1718" s="13"/>
      <c r="D1718" s="4" t="s">
        <v>1579</v>
      </c>
      <c r="E1718" s="4" t="s">
        <v>9</v>
      </c>
      <c r="F1718" s="3" t="s">
        <v>891</v>
      </c>
      <c r="G1718" s="3">
        <f t="shared" si="1782"/>
        <v>85.2</v>
      </c>
      <c r="H1718" s="14" t="str">
        <f t="shared" ref="H1718" si="1836">IF(NOT(ISNUMBER(VALUE(G1718))), "NA",IF(VALUE(G1718)&gt;83,"HIGH",IF(VALUE(G1718)&lt;60,"LOW", "VALUE IN RANGE")))</f>
        <v>HIGH</v>
      </c>
    </row>
    <row r="1719" spans="3:8" x14ac:dyDescent="0.25">
      <c r="C1719" s="13"/>
      <c r="D1719" s="4" t="s">
        <v>1579</v>
      </c>
      <c r="E1719" s="1" t="s">
        <v>11</v>
      </c>
      <c r="F1719" s="5" t="s">
        <v>167</v>
      </c>
      <c r="G1719" s="3">
        <f t="shared" si="1782"/>
        <v>0.4</v>
      </c>
      <c r="H1719" s="14" t="str">
        <f t="shared" ref="H1719" si="1837">IF(NOT(ISNUMBER(VALUE(G1719))), "NA",IF(VALUE(G1719)&gt;5.1,"HIGH",IF(VALUE(G1719)&lt;0.8,"LOW", "VALUE IN RANGE")))</f>
        <v>LOW</v>
      </c>
    </row>
    <row r="1720" spans="3:8" x14ac:dyDescent="0.25">
      <c r="C1720" s="13"/>
      <c r="D1720" s="4" t="s">
        <v>1579</v>
      </c>
      <c r="E1720" s="4" t="s">
        <v>13</v>
      </c>
      <c r="F1720" s="3" t="s">
        <v>40</v>
      </c>
      <c r="G1720" s="3">
        <f t="shared" si="1782"/>
        <v>0.1</v>
      </c>
      <c r="H1720" s="14" t="str">
        <f t="shared" ref="H1720" si="1838">IF(NOT(ISNUMBER(VALUE(G1720))), "NA",IF(VALUE(G1720)&gt;1.8,"HIGH",IF(VALUE(G1720)&lt;0,"LOW", "VALUE IN RANGE")))</f>
        <v>VALUE IN RANGE</v>
      </c>
    </row>
    <row r="1721" spans="3:8" x14ac:dyDescent="0.25">
      <c r="C1721" s="13"/>
      <c r="D1721" s="4" t="s">
        <v>1579</v>
      </c>
      <c r="E1721" s="1" t="s">
        <v>15</v>
      </c>
      <c r="F1721" s="5">
        <v>3500</v>
      </c>
      <c r="G1721" s="3">
        <f t="shared" si="1782"/>
        <v>3500</v>
      </c>
      <c r="H1721" s="14" t="str">
        <f t="shared" ref="H1721" si="1839">IF(NOT(ISNUMBER(VALUE(G1721))), "NA",IF(VALUE(G1721)&gt;12.6,"HIGH",IF(VALUE(G1721)&lt;4,"LOW", "VALUE IN RANGE")))</f>
        <v>HIGH</v>
      </c>
    </row>
    <row r="1722" spans="3:8" x14ac:dyDescent="0.25">
      <c r="C1722" s="13"/>
      <c r="D1722" s="4" t="s">
        <v>1579</v>
      </c>
      <c r="E1722" s="4" t="s">
        <v>17</v>
      </c>
      <c r="F1722" s="3" t="s">
        <v>973</v>
      </c>
      <c r="G1722" s="3">
        <f t="shared" si="1782"/>
        <v>4.29</v>
      </c>
      <c r="H1722" s="14" t="str">
        <f t="shared" ref="H1722" si="1840">IF(NOT(ISNUMBER(VALUE(G1722))), "NA",IF(VALUE(G1722)&gt;8.5,"HIGH",IF(VALUE(G1722)&lt;5.5,"LOW", "VALUE IN RANGE")))</f>
        <v>LOW</v>
      </c>
    </row>
    <row r="1723" spans="3:8" x14ac:dyDescent="0.25">
      <c r="C1723" s="13"/>
      <c r="D1723" s="4" t="s">
        <v>1579</v>
      </c>
      <c r="E1723" s="1" t="s">
        <v>19</v>
      </c>
      <c r="F1723" s="5">
        <v>85</v>
      </c>
      <c r="G1723" s="3">
        <f t="shared" si="1782"/>
        <v>85</v>
      </c>
      <c r="H1723" s="14" t="str">
        <f t="shared" ref="H1723" si="1841">IF(NOT(ISNUMBER(VALUE(G1723))), "NA",IF(VALUE(G1723)&gt;190,"HIGH",IF(VALUE(G1723)&lt;110,"LOW", "VALUE IN RANGE")))</f>
        <v>LOW</v>
      </c>
    </row>
    <row r="1724" spans="3:8" x14ac:dyDescent="0.25">
      <c r="C1724" s="13"/>
      <c r="D1724" s="4" t="s">
        <v>1579</v>
      </c>
      <c r="E1724" s="4" t="s">
        <v>21</v>
      </c>
      <c r="F1724" s="3" t="s">
        <v>974</v>
      </c>
      <c r="G1724" s="3">
        <f t="shared" si="1782"/>
        <v>27</v>
      </c>
      <c r="H1724" s="14" t="str">
        <f t="shared" ref="H1724" si="1842">IF(NOT(ISNUMBER(VALUE(G1724))), "NA",IF(VALUE(G1724)&gt;56,"HIGH",IF(VALUE(G1724)&lt;39,"LOW", "VALUE IN RANGE")))</f>
        <v>LOW</v>
      </c>
    </row>
    <row r="1725" spans="3:8" x14ac:dyDescent="0.25">
      <c r="C1725" s="13"/>
      <c r="D1725" s="4" t="s">
        <v>1579</v>
      </c>
      <c r="E1725" s="1" t="s">
        <v>23</v>
      </c>
      <c r="F1725" s="5" t="s">
        <v>975</v>
      </c>
      <c r="G1725" s="3">
        <f t="shared" si="1782"/>
        <v>63</v>
      </c>
      <c r="H1725" s="14" t="str">
        <f t="shared" ref="H1725" si="1843">IF(NOT(ISNUMBER(VALUE(G1725))), "NA",IF(VALUE(G1725)&gt;72,"HIGH",IF(VALUE(G1725)&lt;62,"LOW", "VALUE IN RANGE")))</f>
        <v>VALUE IN RANGE</v>
      </c>
    </row>
    <row r="1726" spans="3:8" x14ac:dyDescent="0.25">
      <c r="C1726" s="13"/>
      <c r="D1726" s="4" t="s">
        <v>1579</v>
      </c>
      <c r="E1726" s="4" t="s">
        <v>25</v>
      </c>
      <c r="F1726" s="3" t="s">
        <v>976</v>
      </c>
      <c r="G1726" s="3">
        <f t="shared" si="1782"/>
        <v>19.8</v>
      </c>
      <c r="H1726" s="14" t="str">
        <f t="shared" ref="H1726" si="1844">IF(NOT(ISNUMBER(VALUE(G1726))), "NA",IF(VALUE(G1726)&gt;25,"HIGH",IF(VALUE(G1726)&lt;20,"LOW", "VALUE IN RANGE")))</f>
        <v>LOW</v>
      </c>
    </row>
    <row r="1727" spans="3:8" x14ac:dyDescent="0.25">
      <c r="C1727" s="13"/>
      <c r="D1727" s="4" t="s">
        <v>1579</v>
      </c>
      <c r="E1727" s="1" t="s">
        <v>27</v>
      </c>
      <c r="F1727" s="5">
        <v>314</v>
      </c>
      <c r="G1727" s="3">
        <f t="shared" si="1782"/>
        <v>314</v>
      </c>
      <c r="H1727" s="14" t="str">
        <f t="shared" ref="H1727" si="1845">IF(NOT(ISNUMBER(VALUE(G1727))), "NA",IF(VALUE(G1727)&gt;380,"HIGH",IF(VALUE(G1727)&lt;300,"LOW", "VALUE IN RANGE")))</f>
        <v>VALUE IN RANGE</v>
      </c>
    </row>
    <row r="1728" spans="3:8" x14ac:dyDescent="0.25">
      <c r="C1728" s="13"/>
      <c r="D1728" s="4" t="s">
        <v>1579</v>
      </c>
      <c r="E1728" s="4" t="s">
        <v>29</v>
      </c>
      <c r="F1728" s="3" t="s">
        <v>867</v>
      </c>
      <c r="G1728" s="3">
        <f t="shared" si="1782"/>
        <v>16.600000000000001</v>
      </c>
      <c r="H1728" s="14" t="str">
        <f t="shared" ref="H1728" si="1846">IF(NOT(ISNUMBER(VALUE(G1728))), "NA",IF(VALUE(G1728)&gt;15.5,"HIGH",IF(VALUE(G1728)&lt;11,"LOW", "VALUE IN RANGE")))</f>
        <v>HIGH</v>
      </c>
    </row>
    <row r="1729" spans="3:8" x14ac:dyDescent="0.25">
      <c r="C1729" s="13"/>
      <c r="D1729" s="4" t="s">
        <v>1579</v>
      </c>
      <c r="E1729" s="1" t="s">
        <v>31</v>
      </c>
      <c r="F1729" s="5">
        <v>525</v>
      </c>
      <c r="G1729" s="3">
        <f t="shared" si="1782"/>
        <v>525</v>
      </c>
      <c r="H1729" s="14" t="str">
        <f t="shared" ref="H1729" si="1847">IF(NOT(ISNUMBER(VALUE(G1729))), "NA",IF(VALUE(G1729)&gt;460,"HIGH",IF(VALUE(G1729)&lt;117,"LOW", "VALUE IN RANGE")))</f>
        <v>HIGH</v>
      </c>
    </row>
    <row r="1730" spans="3:8" x14ac:dyDescent="0.25">
      <c r="C1730" s="13"/>
      <c r="D1730" s="4" t="s">
        <v>1579</v>
      </c>
      <c r="E1730" s="4" t="s">
        <v>33</v>
      </c>
      <c r="F1730" s="3" t="s">
        <v>978</v>
      </c>
      <c r="G1730" s="3">
        <f t="shared" si="1782"/>
        <v>5.9</v>
      </c>
      <c r="H1730" s="14" t="str">
        <f t="shared" ref="H1730" si="1848">IF(NOT(ISNUMBER(VALUE(G1730))), "NA",IF(VALUE(G1730)&gt;12,"HIGH",IF(VALUE(G1730)&lt;7,"LOW", "VALUE IN RANGE")))</f>
        <v>LOW</v>
      </c>
    </row>
    <row r="1731" spans="3:8" ht="15" customHeight="1" x14ac:dyDescent="0.25">
      <c r="C1731" s="13" t="str">
        <f t="shared" ref="C1731" si="1849">IF(D1731=D1746,D1745,"falso")</f>
        <v>PATIENT_0109</v>
      </c>
      <c r="D1731" s="4" t="s">
        <v>1580</v>
      </c>
      <c r="E1731" s="1" t="s">
        <v>134</v>
      </c>
      <c r="F1731" s="5" t="s">
        <v>979</v>
      </c>
      <c r="G1731" s="3">
        <f t="shared" si="1782"/>
        <v>28.4</v>
      </c>
      <c r="H1731" s="14" t="str">
        <f t="shared" ref="H1731" si="1850">IF(NOT(ISNUMBER(VALUE(G1731))), "NA",IF(VALUE(G1731)&gt;17,"HIGH",IF(VALUE(G1731)&lt;6,"LOW", "VALUE IN RANGE")))</f>
        <v>HIGH</v>
      </c>
    </row>
    <row r="1732" spans="3:8" x14ac:dyDescent="0.25">
      <c r="C1732" s="13"/>
      <c r="D1732" s="4" t="s">
        <v>1580</v>
      </c>
      <c r="E1732" s="4" t="s">
        <v>136</v>
      </c>
      <c r="F1732" s="3" t="s">
        <v>37</v>
      </c>
      <c r="G1732" s="3">
        <f t="shared" ref="G1732:G1795" si="1851">IFERROR(
   VALUE(
      SUBSTITUTE(
         CLEAN(
            TRIM(F1732)
         ),
         ".",
         ","
      )
   ),
   ""
)</f>
        <v>16.8</v>
      </c>
      <c r="H1732" s="14" t="str">
        <f t="shared" ref="H1732" si="1852">IF(NOT(ISNUMBER(VALUE(G1732))), "NA",IF(VALUE(G1732)&gt;30,"HIGH",IF(VALUE(G1732)&lt;12,"LOW", "VALUE IN RANGE")))</f>
        <v>VALUE IN RANGE</v>
      </c>
    </row>
    <row r="1733" spans="3:8" x14ac:dyDescent="0.25">
      <c r="C1733" s="13"/>
      <c r="D1733" s="4" t="s">
        <v>1580</v>
      </c>
      <c r="E1733" s="1" t="s">
        <v>7</v>
      </c>
      <c r="F1733" s="5" t="s">
        <v>726</v>
      </c>
      <c r="G1733" s="3">
        <f t="shared" si="1851"/>
        <v>7.9</v>
      </c>
      <c r="H1733" s="14" t="str">
        <f t="shared" ref="H1733" si="1853">IF(NOT(ISNUMBER(VALUE(G1733))), "NA",IF(VALUE(G1733)&gt;9,"HIGH",IF(VALUE(G1733)&lt;2,"LOW", "VALUE IN RANGE")))</f>
        <v>VALUE IN RANGE</v>
      </c>
    </row>
    <row r="1734" spans="3:8" x14ac:dyDescent="0.25">
      <c r="C1734" s="13"/>
      <c r="D1734" s="4" t="s">
        <v>1580</v>
      </c>
      <c r="E1734" s="4" t="s">
        <v>139</v>
      </c>
      <c r="F1734" s="3" t="s">
        <v>980</v>
      </c>
      <c r="G1734" s="3">
        <f t="shared" si="1851"/>
        <v>75.3</v>
      </c>
      <c r="H1734" s="14" t="str">
        <f t="shared" ref="H1734" si="1854">IF(NOT(ISNUMBER(VALUE(G1734))), "NA",IF(VALUE(G1734)&gt;83,"HIGH",IF(VALUE(G1734)&lt;60,"LOW", "VALUE IN RANGE")))</f>
        <v>VALUE IN RANGE</v>
      </c>
    </row>
    <row r="1735" spans="3:8" x14ac:dyDescent="0.25">
      <c r="C1735" s="13"/>
      <c r="D1735" s="4" t="s">
        <v>1580</v>
      </c>
      <c r="E1735" s="1" t="s">
        <v>141</v>
      </c>
      <c r="F1735" s="5">
        <v>4700</v>
      </c>
      <c r="G1735" s="3">
        <f t="shared" si="1851"/>
        <v>4700</v>
      </c>
      <c r="H1735" s="14" t="str">
        <f t="shared" ref="H1735" si="1855">IF(NOT(ISNUMBER(VALUE(G1735))), "NA",IF(VALUE(G1735)&gt;5.1,"HIGH",IF(VALUE(G1735)&lt;0.8,"LOW", "VALUE IN RANGE")))</f>
        <v>HIGH</v>
      </c>
    </row>
    <row r="1736" spans="3:8" x14ac:dyDescent="0.25">
      <c r="C1736" s="13"/>
      <c r="D1736" s="4" t="s">
        <v>1580</v>
      </c>
      <c r="E1736" s="4" t="s">
        <v>143</v>
      </c>
      <c r="F1736" s="3">
        <v>2200</v>
      </c>
      <c r="G1736" s="3">
        <f t="shared" si="1851"/>
        <v>2200</v>
      </c>
      <c r="H1736" s="14" t="str">
        <f t="shared" ref="H1736" si="1856">IF(NOT(ISNUMBER(VALUE(G1736))), "NA",IF(VALUE(G1736)&gt;1.8,"HIGH",IF(VALUE(G1736)&lt;0,"LOW", "VALUE IN RANGE")))</f>
        <v>HIGH</v>
      </c>
    </row>
    <row r="1737" spans="3:8" x14ac:dyDescent="0.25">
      <c r="C1737" s="13"/>
      <c r="D1737" s="4" t="s">
        <v>1580</v>
      </c>
      <c r="E1737" s="1" t="s">
        <v>144</v>
      </c>
      <c r="F1737" s="5">
        <v>21500</v>
      </c>
      <c r="G1737" s="3">
        <f t="shared" si="1851"/>
        <v>21500</v>
      </c>
      <c r="H1737" s="14" t="str">
        <f t="shared" ref="H1737" si="1857">IF(NOT(ISNUMBER(VALUE(G1737))), "NA",IF(VALUE(G1737)&gt;12.6,"HIGH",IF(VALUE(G1737)&lt;4,"LOW", "VALUE IN RANGE")))</f>
        <v>HIGH</v>
      </c>
    </row>
    <row r="1738" spans="3:8" x14ac:dyDescent="0.25">
      <c r="C1738" s="13"/>
      <c r="D1738" s="4" t="s">
        <v>1580</v>
      </c>
      <c r="E1738" s="4" t="s">
        <v>146</v>
      </c>
      <c r="F1738" s="3" t="s">
        <v>982</v>
      </c>
      <c r="G1738" s="3">
        <f t="shared" si="1851"/>
        <v>4.45</v>
      </c>
      <c r="H1738" s="14" t="str">
        <f t="shared" ref="H1738" si="1858">IF(NOT(ISNUMBER(VALUE(G1738))), "NA",IF(VALUE(G1738)&gt;8.5,"HIGH",IF(VALUE(G1738)&lt;5.5,"LOW", "VALUE IN RANGE")))</f>
        <v>LOW</v>
      </c>
    </row>
    <row r="1739" spans="3:8" x14ac:dyDescent="0.25">
      <c r="C1739" s="13"/>
      <c r="D1739" s="4" t="s">
        <v>1580</v>
      </c>
      <c r="E1739" s="1" t="s">
        <v>148</v>
      </c>
      <c r="F1739" s="5">
        <v>65</v>
      </c>
      <c r="G1739" s="3">
        <f t="shared" si="1851"/>
        <v>65</v>
      </c>
      <c r="H1739" s="14" t="str">
        <f t="shared" ref="H1739" si="1859">IF(NOT(ISNUMBER(VALUE(G1739))), "NA",IF(VALUE(G1739)&gt;190,"HIGH",IF(VALUE(G1739)&lt;110,"LOW", "VALUE IN RANGE")))</f>
        <v>LOW</v>
      </c>
    </row>
    <row r="1740" spans="3:8" x14ac:dyDescent="0.25">
      <c r="C1740" s="13"/>
      <c r="D1740" s="4" t="s">
        <v>1580</v>
      </c>
      <c r="E1740" s="4" t="s">
        <v>150</v>
      </c>
      <c r="F1740" s="3" t="s">
        <v>984</v>
      </c>
      <c r="G1740" s="3">
        <f t="shared" si="1851"/>
        <v>23.8</v>
      </c>
      <c r="H1740" s="14" t="str">
        <f t="shared" ref="H1740" si="1860">IF(NOT(ISNUMBER(VALUE(G1740))), "NA",IF(VALUE(G1740)&gt;56,"HIGH",IF(VALUE(G1740)&lt;39,"LOW", "VALUE IN RANGE")))</f>
        <v>LOW</v>
      </c>
    </row>
    <row r="1741" spans="3:8" x14ac:dyDescent="0.25">
      <c r="C1741" s="13"/>
      <c r="D1741" s="4" t="s">
        <v>1580</v>
      </c>
      <c r="E1741" s="1" t="s">
        <v>152</v>
      </c>
      <c r="F1741" s="5" t="s">
        <v>985</v>
      </c>
      <c r="G1741" s="3">
        <f t="shared" si="1851"/>
        <v>53.6</v>
      </c>
      <c r="H1741" s="14" t="str">
        <f t="shared" ref="H1741" si="1861">IF(NOT(ISNUMBER(VALUE(G1741))), "NA",IF(VALUE(G1741)&gt;72,"HIGH",IF(VALUE(G1741)&lt;62,"LOW", "VALUE IN RANGE")))</f>
        <v>LOW</v>
      </c>
    </row>
    <row r="1742" spans="3:8" x14ac:dyDescent="0.25">
      <c r="C1742" s="13"/>
      <c r="D1742" s="4" t="s">
        <v>1580</v>
      </c>
      <c r="E1742" s="4" t="s">
        <v>154</v>
      </c>
      <c r="F1742" s="3" t="s">
        <v>131</v>
      </c>
      <c r="G1742" s="3">
        <f t="shared" si="1851"/>
        <v>14.6</v>
      </c>
      <c r="H1742" s="14" t="str">
        <f t="shared" ref="H1742" si="1862">IF(NOT(ISNUMBER(VALUE(G1742))), "NA",IF(VALUE(G1742)&gt;25,"HIGH",IF(VALUE(G1742)&lt;20,"LOW", "VALUE IN RANGE")))</f>
        <v>LOW</v>
      </c>
    </row>
    <row r="1743" spans="3:8" x14ac:dyDescent="0.25">
      <c r="C1743" s="13"/>
      <c r="D1743" s="4" t="s">
        <v>1580</v>
      </c>
      <c r="E1743" s="1" t="s">
        <v>27</v>
      </c>
      <c r="F1743" s="5">
        <v>273</v>
      </c>
      <c r="G1743" s="3">
        <f t="shared" si="1851"/>
        <v>273</v>
      </c>
      <c r="H1743" s="14" t="str">
        <f t="shared" ref="H1743" si="1863">IF(NOT(ISNUMBER(VALUE(G1743))), "NA",IF(VALUE(G1743)&gt;380,"HIGH",IF(VALUE(G1743)&lt;300,"LOW", "VALUE IN RANGE")))</f>
        <v>LOW</v>
      </c>
    </row>
    <row r="1744" spans="3:8" x14ac:dyDescent="0.25">
      <c r="C1744" s="13"/>
      <c r="D1744" s="4" t="s">
        <v>1580</v>
      </c>
      <c r="E1744" s="4" t="s">
        <v>157</v>
      </c>
      <c r="F1744" s="3" t="s">
        <v>986</v>
      </c>
      <c r="G1744" s="3">
        <f t="shared" si="1851"/>
        <v>17.100000000000001</v>
      </c>
      <c r="H1744" s="14" t="str">
        <f t="shared" ref="H1744" si="1864">IF(NOT(ISNUMBER(VALUE(G1744))), "NA",IF(VALUE(G1744)&gt;15.5,"HIGH",IF(VALUE(G1744)&lt;11,"LOW", "VALUE IN RANGE")))</f>
        <v>HIGH</v>
      </c>
    </row>
    <row r="1745" spans="3:8" x14ac:dyDescent="0.25">
      <c r="C1745" s="13"/>
      <c r="D1745" s="4" t="s">
        <v>1580</v>
      </c>
      <c r="E1745" s="1" t="s">
        <v>159</v>
      </c>
      <c r="F1745" s="5">
        <v>37</v>
      </c>
      <c r="G1745" s="3">
        <f t="shared" si="1851"/>
        <v>37</v>
      </c>
      <c r="H1745" s="14" t="str">
        <f t="shared" ref="H1745" si="1865">IF(NOT(ISNUMBER(VALUE(G1745))), "NA",IF(VALUE(G1745)&gt;460,"HIGH",IF(VALUE(G1745)&lt;117,"LOW", "VALUE IN RANGE")))</f>
        <v>LOW</v>
      </c>
    </row>
    <row r="1746" spans="3:8" x14ac:dyDescent="0.25">
      <c r="C1746" s="13"/>
      <c r="D1746" s="4" t="s">
        <v>1580</v>
      </c>
      <c r="E1746" s="4" t="s">
        <v>161</v>
      </c>
      <c r="F1746" s="3" t="s">
        <v>537</v>
      </c>
      <c r="G1746" s="3">
        <f t="shared" si="1851"/>
        <v>10.7</v>
      </c>
      <c r="H1746" s="14" t="str">
        <f t="shared" ref="H1746" si="1866">IF(NOT(ISNUMBER(VALUE(G1746))), "NA",IF(VALUE(G1746)&gt;12,"HIGH",IF(VALUE(G1746)&lt;7,"LOW", "VALUE IN RANGE")))</f>
        <v>VALUE IN RANGE</v>
      </c>
    </row>
    <row r="1747" spans="3:8" ht="15" customHeight="1" x14ac:dyDescent="0.25">
      <c r="C1747" s="13" t="str">
        <f t="shared" ref="C1747" si="1867">IF(D1747=D1762,D1761,"falso")</f>
        <v>PATIENT_0110</v>
      </c>
      <c r="D1747" s="4" t="s">
        <v>1581</v>
      </c>
      <c r="E1747" s="1" t="s">
        <v>3</v>
      </c>
      <c r="F1747" s="5" t="s">
        <v>169</v>
      </c>
      <c r="G1747" s="3">
        <f t="shared" si="1851"/>
        <v>7.3</v>
      </c>
      <c r="H1747" s="14" t="str">
        <f t="shared" ref="H1747" si="1868">IF(NOT(ISNUMBER(VALUE(G1747))), "NA",IF(VALUE(G1747)&gt;17,"HIGH",IF(VALUE(G1747)&lt;6,"LOW", "VALUE IN RANGE")))</f>
        <v>VALUE IN RANGE</v>
      </c>
    </row>
    <row r="1748" spans="3:8" x14ac:dyDescent="0.25">
      <c r="C1748" s="13"/>
      <c r="D1748" s="4" t="s">
        <v>1581</v>
      </c>
      <c r="E1748" s="4" t="s">
        <v>5</v>
      </c>
      <c r="F1748" s="3" t="s">
        <v>219</v>
      </c>
      <c r="G1748" s="3">
        <f t="shared" si="1851"/>
        <v>6.2</v>
      </c>
      <c r="H1748" s="14" t="str">
        <f t="shared" ref="H1748" si="1869">IF(NOT(ISNUMBER(VALUE(G1748))), "NA",IF(VALUE(G1748)&gt;30,"HIGH",IF(VALUE(G1748)&lt;12,"LOW", "VALUE IN RANGE")))</f>
        <v>LOW</v>
      </c>
    </row>
    <row r="1749" spans="3:8" x14ac:dyDescent="0.25">
      <c r="C1749" s="13"/>
      <c r="D1749" s="4" t="s">
        <v>1581</v>
      </c>
      <c r="E1749" s="1" t="s">
        <v>7</v>
      </c>
      <c r="F1749" s="5" t="s">
        <v>320</v>
      </c>
      <c r="G1749" s="3">
        <f t="shared" si="1851"/>
        <v>7.1</v>
      </c>
      <c r="H1749" s="14" t="str">
        <f t="shared" ref="H1749" si="1870">IF(NOT(ISNUMBER(VALUE(G1749))), "NA",IF(VALUE(G1749)&gt;9,"HIGH",IF(VALUE(G1749)&lt;2,"LOW", "VALUE IN RANGE")))</f>
        <v>VALUE IN RANGE</v>
      </c>
    </row>
    <row r="1750" spans="3:8" x14ac:dyDescent="0.25">
      <c r="C1750" s="13"/>
      <c r="D1750" s="4" t="s">
        <v>1581</v>
      </c>
      <c r="E1750" s="4" t="s">
        <v>9</v>
      </c>
      <c r="F1750" s="3" t="s">
        <v>988</v>
      </c>
      <c r="G1750" s="3">
        <f t="shared" si="1851"/>
        <v>86.7</v>
      </c>
      <c r="H1750" s="14" t="str">
        <f t="shared" ref="H1750" si="1871">IF(NOT(ISNUMBER(VALUE(G1750))), "NA",IF(VALUE(G1750)&gt;83,"HIGH",IF(VALUE(G1750)&lt;60,"LOW", "VALUE IN RANGE")))</f>
        <v>HIGH</v>
      </c>
    </row>
    <row r="1751" spans="3:8" x14ac:dyDescent="0.25">
      <c r="C1751" s="13"/>
      <c r="D1751" s="4" t="s">
        <v>1581</v>
      </c>
      <c r="E1751" s="1" t="s">
        <v>11</v>
      </c>
      <c r="F1751" s="5" t="s">
        <v>167</v>
      </c>
      <c r="G1751" s="3">
        <f t="shared" si="1851"/>
        <v>0.4</v>
      </c>
      <c r="H1751" s="14" t="str">
        <f t="shared" ref="H1751" si="1872">IF(NOT(ISNUMBER(VALUE(G1751))), "NA",IF(VALUE(G1751)&gt;5.1,"HIGH",IF(VALUE(G1751)&lt;0.8,"LOW", "VALUE IN RANGE")))</f>
        <v>LOW</v>
      </c>
    </row>
    <row r="1752" spans="3:8" x14ac:dyDescent="0.25">
      <c r="C1752" s="13"/>
      <c r="D1752" s="4" t="s">
        <v>1581</v>
      </c>
      <c r="E1752" s="4" t="s">
        <v>13</v>
      </c>
      <c r="F1752" s="3" t="s">
        <v>109</v>
      </c>
      <c r="G1752" s="3">
        <f t="shared" si="1851"/>
        <v>0.5</v>
      </c>
      <c r="H1752" s="14" t="str">
        <f t="shared" ref="H1752" si="1873">IF(NOT(ISNUMBER(VALUE(G1752))), "NA",IF(VALUE(G1752)&gt;1.8,"HIGH",IF(VALUE(G1752)&lt;0,"LOW", "VALUE IN RANGE")))</f>
        <v>VALUE IN RANGE</v>
      </c>
    </row>
    <row r="1753" spans="3:8" x14ac:dyDescent="0.25">
      <c r="C1753" s="13"/>
      <c r="D1753" s="4" t="s">
        <v>1581</v>
      </c>
      <c r="E1753" s="1" t="s">
        <v>15</v>
      </c>
      <c r="F1753" s="5">
        <v>6400</v>
      </c>
      <c r="G1753" s="3">
        <f t="shared" si="1851"/>
        <v>6400</v>
      </c>
      <c r="H1753" s="14" t="str">
        <f t="shared" ref="H1753" si="1874">IF(NOT(ISNUMBER(VALUE(G1753))), "NA",IF(VALUE(G1753)&gt;12.6,"HIGH",IF(VALUE(G1753)&lt;4,"LOW", "VALUE IN RANGE")))</f>
        <v>HIGH</v>
      </c>
    </row>
    <row r="1754" spans="3:8" x14ac:dyDescent="0.25">
      <c r="C1754" s="13"/>
      <c r="D1754" s="4" t="s">
        <v>1581</v>
      </c>
      <c r="E1754" s="4" t="s">
        <v>17</v>
      </c>
      <c r="F1754" s="3" t="s">
        <v>453</v>
      </c>
      <c r="G1754" s="3">
        <f t="shared" si="1851"/>
        <v>5</v>
      </c>
      <c r="H1754" s="14" t="str">
        <f t="shared" ref="H1754" si="1875">IF(NOT(ISNUMBER(VALUE(G1754))), "NA",IF(VALUE(G1754)&gt;8.5,"HIGH",IF(VALUE(G1754)&lt;5.5,"LOW", "VALUE IN RANGE")))</f>
        <v>LOW</v>
      </c>
    </row>
    <row r="1755" spans="3:8" x14ac:dyDescent="0.25">
      <c r="C1755" s="13"/>
      <c r="D1755" s="4" t="s">
        <v>1581</v>
      </c>
      <c r="E1755" s="1" t="s">
        <v>19</v>
      </c>
      <c r="F1755" s="5">
        <v>104</v>
      </c>
      <c r="G1755" s="3">
        <f t="shared" si="1851"/>
        <v>104</v>
      </c>
      <c r="H1755" s="14" t="str">
        <f t="shared" ref="H1755" si="1876">IF(NOT(ISNUMBER(VALUE(G1755))), "NA",IF(VALUE(G1755)&gt;190,"HIGH",IF(VALUE(G1755)&lt;110,"LOW", "VALUE IN RANGE")))</f>
        <v>LOW</v>
      </c>
    </row>
    <row r="1756" spans="3:8" x14ac:dyDescent="0.25">
      <c r="C1756" s="13"/>
      <c r="D1756" s="4" t="s">
        <v>1581</v>
      </c>
      <c r="E1756" s="4" t="s">
        <v>21</v>
      </c>
      <c r="F1756" s="3" t="s">
        <v>813</v>
      </c>
      <c r="G1756" s="3">
        <f t="shared" si="1851"/>
        <v>33.200000000000003</v>
      </c>
      <c r="H1756" s="14" t="str">
        <f t="shared" ref="H1756" si="1877">IF(NOT(ISNUMBER(VALUE(G1756))), "NA",IF(VALUE(G1756)&gt;56,"HIGH",IF(VALUE(G1756)&lt;39,"LOW", "VALUE IN RANGE")))</f>
        <v>LOW</v>
      </c>
    </row>
    <row r="1757" spans="3:8" x14ac:dyDescent="0.25">
      <c r="C1757" s="13"/>
      <c r="D1757" s="4" t="s">
        <v>1581</v>
      </c>
      <c r="E1757" s="1" t="s">
        <v>23</v>
      </c>
      <c r="F1757" s="5" t="s">
        <v>923</v>
      </c>
      <c r="G1757" s="3">
        <f t="shared" si="1851"/>
        <v>66.400000000000006</v>
      </c>
      <c r="H1757" s="14" t="str">
        <f t="shared" ref="H1757" si="1878">IF(NOT(ISNUMBER(VALUE(G1757))), "NA",IF(VALUE(G1757)&gt;72,"HIGH",IF(VALUE(G1757)&lt;62,"LOW", "VALUE IN RANGE")))</f>
        <v>VALUE IN RANGE</v>
      </c>
    </row>
    <row r="1758" spans="3:8" x14ac:dyDescent="0.25">
      <c r="C1758" s="13"/>
      <c r="D1758" s="4" t="s">
        <v>1581</v>
      </c>
      <c r="E1758" s="4" t="s">
        <v>25</v>
      </c>
      <c r="F1758" s="3" t="s">
        <v>86</v>
      </c>
      <c r="G1758" s="3">
        <f t="shared" si="1851"/>
        <v>20.8</v>
      </c>
      <c r="H1758" s="14" t="str">
        <f t="shared" ref="H1758" si="1879">IF(NOT(ISNUMBER(VALUE(G1758))), "NA",IF(VALUE(G1758)&gt;25,"HIGH",IF(VALUE(G1758)&lt;20,"LOW", "VALUE IN RANGE")))</f>
        <v>VALUE IN RANGE</v>
      </c>
    </row>
    <row r="1759" spans="3:8" x14ac:dyDescent="0.25">
      <c r="C1759" s="13"/>
      <c r="D1759" s="4" t="s">
        <v>1581</v>
      </c>
      <c r="E1759" s="1" t="s">
        <v>27</v>
      </c>
      <c r="F1759" s="5">
        <v>313</v>
      </c>
      <c r="G1759" s="3">
        <f t="shared" si="1851"/>
        <v>313</v>
      </c>
      <c r="H1759" s="14" t="str">
        <f t="shared" ref="H1759" si="1880">IF(NOT(ISNUMBER(VALUE(G1759))), "NA",IF(VALUE(G1759)&gt;380,"HIGH",IF(VALUE(G1759)&lt;300,"LOW", "VALUE IN RANGE")))</f>
        <v>VALUE IN RANGE</v>
      </c>
    </row>
    <row r="1760" spans="3:8" x14ac:dyDescent="0.25">
      <c r="C1760" s="13"/>
      <c r="D1760" s="4" t="s">
        <v>1581</v>
      </c>
      <c r="E1760" s="4" t="s">
        <v>29</v>
      </c>
      <c r="F1760" s="3" t="s">
        <v>305</v>
      </c>
      <c r="G1760" s="3">
        <f t="shared" si="1851"/>
        <v>14.5</v>
      </c>
      <c r="H1760" s="14" t="str">
        <f t="shared" ref="H1760" si="1881">IF(NOT(ISNUMBER(VALUE(G1760))), "NA",IF(VALUE(G1760)&gt;15.5,"HIGH",IF(VALUE(G1760)&lt;11,"LOW", "VALUE IN RANGE")))</f>
        <v>VALUE IN RANGE</v>
      </c>
    </row>
    <row r="1761" spans="3:8" x14ac:dyDescent="0.25">
      <c r="C1761" s="13"/>
      <c r="D1761" s="4" t="s">
        <v>1581</v>
      </c>
      <c r="E1761" s="1" t="s">
        <v>31</v>
      </c>
      <c r="F1761" s="5">
        <v>369</v>
      </c>
      <c r="G1761" s="3">
        <f t="shared" si="1851"/>
        <v>369</v>
      </c>
      <c r="H1761" s="14" t="str">
        <f t="shared" ref="H1761" si="1882">IF(NOT(ISNUMBER(VALUE(G1761))), "NA",IF(VALUE(G1761)&gt;460,"HIGH",IF(VALUE(G1761)&lt;117,"LOW", "VALUE IN RANGE")))</f>
        <v>VALUE IN RANGE</v>
      </c>
    </row>
    <row r="1762" spans="3:8" x14ac:dyDescent="0.25">
      <c r="C1762" s="13"/>
      <c r="D1762" s="4" t="s">
        <v>1581</v>
      </c>
      <c r="E1762" s="4" t="s">
        <v>33</v>
      </c>
      <c r="F1762" s="3" t="s">
        <v>989</v>
      </c>
      <c r="G1762" s="3">
        <f t="shared" si="1851"/>
        <v>9.6999999999999993</v>
      </c>
      <c r="H1762" s="14" t="str">
        <f t="shared" ref="H1762" si="1883">IF(NOT(ISNUMBER(VALUE(G1762))), "NA",IF(VALUE(G1762)&gt;12,"HIGH",IF(VALUE(G1762)&lt;7,"LOW", "VALUE IN RANGE")))</f>
        <v>VALUE IN RANGE</v>
      </c>
    </row>
    <row r="1763" spans="3:8" ht="15" customHeight="1" x14ac:dyDescent="0.25">
      <c r="C1763" s="13" t="str">
        <f t="shared" ref="C1763" si="1884">IF(D1763=D1778,D1777,"falso")</f>
        <v>PATIENT_0111</v>
      </c>
      <c r="D1763" s="4" t="s">
        <v>1582</v>
      </c>
      <c r="E1763" s="1" t="s">
        <v>3</v>
      </c>
      <c r="F1763" s="5" t="s">
        <v>430</v>
      </c>
      <c r="G1763" s="3">
        <f t="shared" si="1851"/>
        <v>13.1</v>
      </c>
      <c r="H1763" s="14" t="str">
        <f t="shared" ref="H1763" si="1885">IF(NOT(ISNUMBER(VALUE(G1763))), "NA",IF(VALUE(G1763)&gt;17,"HIGH",IF(VALUE(G1763)&lt;6,"LOW", "VALUE IN RANGE")))</f>
        <v>VALUE IN RANGE</v>
      </c>
    </row>
    <row r="1764" spans="3:8" x14ac:dyDescent="0.25">
      <c r="C1764" s="13"/>
      <c r="D1764" s="4" t="s">
        <v>1582</v>
      </c>
      <c r="E1764" s="4" t="s">
        <v>5</v>
      </c>
      <c r="F1764" s="3" t="s">
        <v>855</v>
      </c>
      <c r="G1764" s="3">
        <f t="shared" si="1851"/>
        <v>0.5</v>
      </c>
      <c r="H1764" s="14" t="str">
        <f t="shared" ref="H1764" si="1886">IF(NOT(ISNUMBER(VALUE(G1764))), "NA",IF(VALUE(G1764)&gt;30,"HIGH",IF(VALUE(G1764)&lt;12,"LOW", "VALUE IN RANGE")))</f>
        <v>LOW</v>
      </c>
    </row>
    <row r="1765" spans="3:8" x14ac:dyDescent="0.25">
      <c r="C1765" s="13"/>
      <c r="D1765" s="4" t="s">
        <v>1582</v>
      </c>
      <c r="E1765" s="1" t="s">
        <v>7</v>
      </c>
      <c r="F1765" s="5" t="s">
        <v>990</v>
      </c>
      <c r="G1765" s="3">
        <f t="shared" si="1851"/>
        <v>1.5</v>
      </c>
      <c r="H1765" s="14" t="str">
        <f t="shared" ref="H1765" si="1887">IF(NOT(ISNUMBER(VALUE(G1765))), "NA",IF(VALUE(G1765)&gt;9,"HIGH",IF(VALUE(G1765)&lt;2,"LOW", "VALUE IN RANGE")))</f>
        <v>LOW</v>
      </c>
    </row>
    <row r="1766" spans="3:8" x14ac:dyDescent="0.25">
      <c r="C1766" s="13"/>
      <c r="D1766" s="4" t="s">
        <v>1582</v>
      </c>
      <c r="E1766" s="4" t="s">
        <v>9</v>
      </c>
      <c r="F1766" s="3" t="s">
        <v>991</v>
      </c>
      <c r="G1766" s="3">
        <f t="shared" si="1851"/>
        <v>98</v>
      </c>
      <c r="H1766" s="14" t="str">
        <f t="shared" ref="H1766" si="1888">IF(NOT(ISNUMBER(VALUE(G1766))), "NA",IF(VALUE(G1766)&gt;83,"HIGH",IF(VALUE(G1766)&lt;60,"LOW", "VALUE IN RANGE")))</f>
        <v>HIGH</v>
      </c>
    </row>
    <row r="1767" spans="3:8" x14ac:dyDescent="0.25">
      <c r="C1767" s="13"/>
      <c r="D1767" s="4" t="s">
        <v>1582</v>
      </c>
      <c r="E1767" s="1" t="s">
        <v>11</v>
      </c>
      <c r="F1767" s="5" t="s">
        <v>39</v>
      </c>
      <c r="G1767" s="3">
        <f t="shared" si="1851"/>
        <v>0</v>
      </c>
      <c r="H1767" s="14" t="str">
        <f t="shared" ref="H1767" si="1889">IF(NOT(ISNUMBER(VALUE(G1767))), "NA",IF(VALUE(G1767)&gt;5.1,"HIGH",IF(VALUE(G1767)&lt;0.8,"LOW", "VALUE IN RANGE")))</f>
        <v>LOW</v>
      </c>
    </row>
    <row r="1768" spans="3:8" x14ac:dyDescent="0.25">
      <c r="C1768" s="13"/>
      <c r="D1768" s="4" t="s">
        <v>1582</v>
      </c>
      <c r="E1768" s="4" t="s">
        <v>13</v>
      </c>
      <c r="F1768" s="3" t="s">
        <v>40</v>
      </c>
      <c r="G1768" s="3">
        <f t="shared" si="1851"/>
        <v>0.1</v>
      </c>
      <c r="H1768" s="14" t="str">
        <f t="shared" ref="H1768" si="1890">IF(NOT(ISNUMBER(VALUE(G1768))), "NA",IF(VALUE(G1768)&gt;1.8,"HIGH",IF(VALUE(G1768)&lt;0,"LOW", "VALUE IN RANGE")))</f>
        <v>VALUE IN RANGE</v>
      </c>
    </row>
    <row r="1769" spans="3:8" x14ac:dyDescent="0.25">
      <c r="C1769" s="13"/>
      <c r="D1769" s="4" t="s">
        <v>1582</v>
      </c>
      <c r="E1769" s="1" t="s">
        <v>15</v>
      </c>
      <c r="F1769" s="5">
        <v>13000</v>
      </c>
      <c r="G1769" s="3">
        <f t="shared" si="1851"/>
        <v>13000</v>
      </c>
      <c r="H1769" s="14" t="str">
        <f t="shared" ref="H1769" si="1891">IF(NOT(ISNUMBER(VALUE(G1769))), "NA",IF(VALUE(G1769)&gt;12.6,"HIGH",IF(VALUE(G1769)&lt;4,"LOW", "VALUE IN RANGE")))</f>
        <v>HIGH</v>
      </c>
    </row>
    <row r="1770" spans="3:8" x14ac:dyDescent="0.25">
      <c r="C1770" s="13"/>
      <c r="D1770" s="4" t="s">
        <v>1582</v>
      </c>
      <c r="E1770" s="4" t="s">
        <v>17</v>
      </c>
      <c r="F1770" s="3" t="s">
        <v>993</v>
      </c>
      <c r="G1770" s="3">
        <f t="shared" si="1851"/>
        <v>6.94</v>
      </c>
      <c r="H1770" s="14" t="str">
        <f t="shared" ref="H1770" si="1892">IF(NOT(ISNUMBER(VALUE(G1770))), "NA",IF(VALUE(G1770)&gt;8.5,"HIGH",IF(VALUE(G1770)&lt;5.5,"LOW", "VALUE IN RANGE")))</f>
        <v>VALUE IN RANGE</v>
      </c>
    </row>
    <row r="1771" spans="3:8" x14ac:dyDescent="0.25">
      <c r="C1771" s="13"/>
      <c r="D1771" s="4" t="s">
        <v>1582</v>
      </c>
      <c r="E1771" s="1" t="s">
        <v>19</v>
      </c>
      <c r="F1771" s="5">
        <v>158</v>
      </c>
      <c r="G1771" s="3">
        <f t="shared" si="1851"/>
        <v>158</v>
      </c>
      <c r="H1771" s="14" t="str">
        <f t="shared" ref="H1771" si="1893">IF(NOT(ISNUMBER(VALUE(G1771))), "NA",IF(VALUE(G1771)&gt;190,"HIGH",IF(VALUE(G1771)&lt;110,"LOW", "VALUE IN RANGE")))</f>
        <v>VALUE IN RANGE</v>
      </c>
    </row>
    <row r="1772" spans="3:8" x14ac:dyDescent="0.25">
      <c r="C1772" s="13"/>
      <c r="D1772" s="4" t="s">
        <v>1582</v>
      </c>
      <c r="E1772" s="4" t="s">
        <v>21</v>
      </c>
      <c r="F1772" s="3" t="s">
        <v>237</v>
      </c>
      <c r="G1772" s="3">
        <f t="shared" si="1851"/>
        <v>49.6</v>
      </c>
      <c r="H1772" s="14" t="str">
        <f t="shared" ref="H1772" si="1894">IF(NOT(ISNUMBER(VALUE(G1772))), "NA",IF(VALUE(G1772)&gt;56,"HIGH",IF(VALUE(G1772)&lt;39,"LOW", "VALUE IN RANGE")))</f>
        <v>VALUE IN RANGE</v>
      </c>
    </row>
    <row r="1773" spans="3:8" x14ac:dyDescent="0.25">
      <c r="C1773" s="13"/>
      <c r="D1773" s="4" t="s">
        <v>1582</v>
      </c>
      <c r="E1773" s="1" t="s">
        <v>23</v>
      </c>
      <c r="F1773" s="5" t="s">
        <v>995</v>
      </c>
      <c r="G1773" s="3">
        <f t="shared" si="1851"/>
        <v>71.5</v>
      </c>
      <c r="H1773" s="14" t="str">
        <f t="shared" ref="H1773" si="1895">IF(NOT(ISNUMBER(VALUE(G1773))), "NA",IF(VALUE(G1773)&gt;72,"HIGH",IF(VALUE(G1773)&lt;62,"LOW", "VALUE IN RANGE")))</f>
        <v>VALUE IN RANGE</v>
      </c>
    </row>
    <row r="1774" spans="3:8" x14ac:dyDescent="0.25">
      <c r="C1774" s="13"/>
      <c r="D1774" s="4" t="s">
        <v>1582</v>
      </c>
      <c r="E1774" s="4" t="s">
        <v>25</v>
      </c>
      <c r="F1774" s="3" t="s">
        <v>381</v>
      </c>
      <c r="G1774" s="3">
        <f t="shared" si="1851"/>
        <v>22.7</v>
      </c>
      <c r="H1774" s="14" t="str">
        <f t="shared" ref="H1774" si="1896">IF(NOT(ISNUMBER(VALUE(G1774))), "NA",IF(VALUE(G1774)&gt;25,"HIGH",IF(VALUE(G1774)&lt;20,"LOW", "VALUE IN RANGE")))</f>
        <v>VALUE IN RANGE</v>
      </c>
    </row>
    <row r="1775" spans="3:8" x14ac:dyDescent="0.25">
      <c r="C1775" s="13"/>
      <c r="D1775" s="4" t="s">
        <v>1582</v>
      </c>
      <c r="E1775" s="1" t="s">
        <v>27</v>
      </c>
      <c r="F1775" s="5">
        <v>318</v>
      </c>
      <c r="G1775" s="3">
        <f t="shared" si="1851"/>
        <v>318</v>
      </c>
      <c r="H1775" s="14" t="str">
        <f t="shared" ref="H1775" si="1897">IF(NOT(ISNUMBER(VALUE(G1775))), "NA",IF(VALUE(G1775)&gt;380,"HIGH",IF(VALUE(G1775)&lt;300,"LOW", "VALUE IN RANGE")))</f>
        <v>VALUE IN RANGE</v>
      </c>
    </row>
    <row r="1776" spans="3:8" x14ac:dyDescent="0.25">
      <c r="C1776" s="13"/>
      <c r="D1776" s="4" t="s">
        <v>1582</v>
      </c>
      <c r="E1776" s="4" t="s">
        <v>29</v>
      </c>
      <c r="F1776" s="3" t="s">
        <v>117</v>
      </c>
      <c r="G1776" s="3">
        <f t="shared" si="1851"/>
        <v>12.4</v>
      </c>
      <c r="H1776" s="14" t="str">
        <f t="shared" ref="H1776" si="1898">IF(NOT(ISNUMBER(VALUE(G1776))), "NA",IF(VALUE(G1776)&gt;15.5,"HIGH",IF(VALUE(G1776)&lt;11,"LOW", "VALUE IN RANGE")))</f>
        <v>VALUE IN RANGE</v>
      </c>
    </row>
    <row r="1777" spans="3:8" x14ac:dyDescent="0.25">
      <c r="C1777" s="13"/>
      <c r="D1777" s="4" t="s">
        <v>1582</v>
      </c>
      <c r="E1777" s="1" t="s">
        <v>31</v>
      </c>
      <c r="F1777" s="5">
        <v>273</v>
      </c>
      <c r="G1777" s="3">
        <f t="shared" si="1851"/>
        <v>273</v>
      </c>
      <c r="H1777" s="14" t="str">
        <f t="shared" ref="H1777" si="1899">IF(NOT(ISNUMBER(VALUE(G1777))), "NA",IF(VALUE(G1777)&gt;460,"HIGH",IF(VALUE(G1777)&lt;117,"LOW", "VALUE IN RANGE")))</f>
        <v>VALUE IN RANGE</v>
      </c>
    </row>
    <row r="1778" spans="3:8" x14ac:dyDescent="0.25">
      <c r="C1778" s="13"/>
      <c r="D1778" s="4" t="s">
        <v>1582</v>
      </c>
      <c r="E1778" s="4" t="s">
        <v>33</v>
      </c>
      <c r="F1778" s="3" t="s">
        <v>996</v>
      </c>
      <c r="G1778" s="3">
        <f t="shared" si="1851"/>
        <v>7.8</v>
      </c>
      <c r="H1778" s="14" t="str">
        <f t="shared" ref="H1778" si="1900">IF(NOT(ISNUMBER(VALUE(G1778))), "NA",IF(VALUE(G1778)&gt;12,"HIGH",IF(VALUE(G1778)&lt;7,"LOW", "VALUE IN RANGE")))</f>
        <v>VALUE IN RANGE</v>
      </c>
    </row>
    <row r="1779" spans="3:8" ht="15" customHeight="1" x14ac:dyDescent="0.25">
      <c r="C1779" s="13" t="str">
        <f t="shared" ref="C1779" si="1901">IF(D1779=D1794,D1793,"falso")</f>
        <v>PATIENT_0112</v>
      </c>
      <c r="D1779" s="4" t="s">
        <v>1583</v>
      </c>
      <c r="E1779" s="1" t="s">
        <v>3</v>
      </c>
      <c r="F1779" s="5" t="s">
        <v>364</v>
      </c>
      <c r="G1779" s="3">
        <f t="shared" si="1851"/>
        <v>6.9</v>
      </c>
      <c r="H1779" s="14" t="str">
        <f t="shared" ref="H1779" si="1902">IF(NOT(ISNUMBER(VALUE(G1779))), "NA",IF(VALUE(G1779)&gt;17,"HIGH",IF(VALUE(G1779)&lt;6,"LOW", "VALUE IN RANGE")))</f>
        <v>VALUE IN RANGE</v>
      </c>
    </row>
    <row r="1780" spans="3:8" x14ac:dyDescent="0.25">
      <c r="C1780" s="13"/>
      <c r="D1780" s="4" t="s">
        <v>1583</v>
      </c>
      <c r="E1780" s="4" t="s">
        <v>5</v>
      </c>
      <c r="F1780" s="3" t="s">
        <v>712</v>
      </c>
      <c r="G1780" s="3">
        <f t="shared" si="1851"/>
        <v>12.6</v>
      </c>
      <c r="H1780" s="14" t="str">
        <f t="shared" ref="H1780" si="1903">IF(NOT(ISNUMBER(VALUE(G1780))), "NA",IF(VALUE(G1780)&gt;30,"HIGH",IF(VALUE(G1780)&lt;12,"LOW", "VALUE IN RANGE")))</f>
        <v>VALUE IN RANGE</v>
      </c>
    </row>
    <row r="1781" spans="3:8" x14ac:dyDescent="0.25">
      <c r="C1781" s="13"/>
      <c r="D1781" s="4" t="s">
        <v>1583</v>
      </c>
      <c r="E1781" s="1" t="s">
        <v>7</v>
      </c>
      <c r="F1781" s="5" t="s">
        <v>972</v>
      </c>
      <c r="G1781" s="3">
        <f t="shared" si="1851"/>
        <v>4</v>
      </c>
      <c r="H1781" s="14" t="str">
        <f t="shared" ref="H1781" si="1904">IF(NOT(ISNUMBER(VALUE(G1781))), "NA",IF(VALUE(G1781)&gt;9,"HIGH",IF(VALUE(G1781)&lt;2,"LOW", "VALUE IN RANGE")))</f>
        <v>VALUE IN RANGE</v>
      </c>
    </row>
    <row r="1782" spans="3:8" x14ac:dyDescent="0.25">
      <c r="C1782" s="13"/>
      <c r="D1782" s="4" t="s">
        <v>1583</v>
      </c>
      <c r="E1782" s="4" t="s">
        <v>9</v>
      </c>
      <c r="F1782" s="3" t="s">
        <v>997</v>
      </c>
      <c r="G1782" s="3">
        <f t="shared" si="1851"/>
        <v>83.4</v>
      </c>
      <c r="H1782" s="14" t="str">
        <f t="shared" ref="H1782" si="1905">IF(NOT(ISNUMBER(VALUE(G1782))), "NA",IF(VALUE(G1782)&gt;83,"HIGH",IF(VALUE(G1782)&lt;60,"LOW", "VALUE IN RANGE")))</f>
        <v>HIGH</v>
      </c>
    </row>
    <row r="1783" spans="3:8" x14ac:dyDescent="0.25">
      <c r="C1783" s="13"/>
      <c r="D1783" s="4" t="s">
        <v>1583</v>
      </c>
      <c r="E1783" s="1" t="s">
        <v>11</v>
      </c>
      <c r="F1783" s="5" t="s">
        <v>476</v>
      </c>
      <c r="G1783" s="3">
        <f t="shared" si="1851"/>
        <v>0.8</v>
      </c>
      <c r="H1783" s="14" t="str">
        <f t="shared" ref="H1783" si="1906">IF(NOT(ISNUMBER(VALUE(G1783))), "NA",IF(VALUE(G1783)&gt;5.1,"HIGH",IF(VALUE(G1783)&lt;0.8,"LOW", "VALUE IN RANGE")))</f>
        <v>VALUE IN RANGE</v>
      </c>
    </row>
    <row r="1784" spans="3:8" x14ac:dyDescent="0.25">
      <c r="C1784" s="13"/>
      <c r="D1784" s="4" t="s">
        <v>1583</v>
      </c>
      <c r="E1784" s="4" t="s">
        <v>13</v>
      </c>
      <c r="F1784" s="3" t="s">
        <v>51</v>
      </c>
      <c r="G1784" s="3">
        <f t="shared" si="1851"/>
        <v>0.2</v>
      </c>
      <c r="H1784" s="14" t="str">
        <f t="shared" ref="H1784" si="1907">IF(NOT(ISNUMBER(VALUE(G1784))), "NA",IF(VALUE(G1784)&gt;1.8,"HIGH",IF(VALUE(G1784)&lt;0,"LOW", "VALUE IN RANGE")))</f>
        <v>VALUE IN RANGE</v>
      </c>
    </row>
    <row r="1785" spans="3:8" x14ac:dyDescent="0.25">
      <c r="C1785" s="13"/>
      <c r="D1785" s="4" t="s">
        <v>1583</v>
      </c>
      <c r="E1785" s="1" t="s">
        <v>15</v>
      </c>
      <c r="F1785" s="5">
        <v>5900</v>
      </c>
      <c r="G1785" s="3">
        <f t="shared" si="1851"/>
        <v>5900</v>
      </c>
      <c r="H1785" s="14" t="str">
        <f t="shared" ref="H1785" si="1908">IF(NOT(ISNUMBER(VALUE(G1785))), "NA",IF(VALUE(G1785)&gt;12.6,"HIGH",IF(VALUE(G1785)&lt;4,"LOW", "VALUE IN RANGE")))</f>
        <v>HIGH</v>
      </c>
    </row>
    <row r="1786" spans="3:8" x14ac:dyDescent="0.25">
      <c r="C1786" s="13"/>
      <c r="D1786" s="4" t="s">
        <v>1583</v>
      </c>
      <c r="E1786" s="4" t="s">
        <v>17</v>
      </c>
      <c r="F1786" s="3" t="s">
        <v>998</v>
      </c>
      <c r="G1786" s="3">
        <f t="shared" si="1851"/>
        <v>6.62</v>
      </c>
      <c r="H1786" s="14" t="str">
        <f t="shared" ref="H1786" si="1909">IF(NOT(ISNUMBER(VALUE(G1786))), "NA",IF(VALUE(G1786)&gt;8.5,"HIGH",IF(VALUE(G1786)&lt;5.5,"LOW", "VALUE IN RANGE")))</f>
        <v>VALUE IN RANGE</v>
      </c>
    </row>
    <row r="1787" spans="3:8" x14ac:dyDescent="0.25">
      <c r="C1787" s="13"/>
      <c r="D1787" s="4" t="s">
        <v>1583</v>
      </c>
      <c r="E1787" s="1" t="s">
        <v>19</v>
      </c>
      <c r="F1787" s="5">
        <v>145</v>
      </c>
      <c r="G1787" s="3">
        <f t="shared" si="1851"/>
        <v>145</v>
      </c>
      <c r="H1787" s="14" t="str">
        <f t="shared" ref="H1787" si="1910">IF(NOT(ISNUMBER(VALUE(G1787))), "NA",IF(VALUE(G1787)&gt;190,"HIGH",IF(VALUE(G1787)&lt;110,"LOW", "VALUE IN RANGE")))</f>
        <v>VALUE IN RANGE</v>
      </c>
    </row>
    <row r="1788" spans="3:8" x14ac:dyDescent="0.25">
      <c r="C1788" s="13"/>
      <c r="D1788" s="4" t="s">
        <v>1583</v>
      </c>
      <c r="E1788" s="4" t="s">
        <v>21</v>
      </c>
      <c r="F1788" s="3" t="s">
        <v>129</v>
      </c>
      <c r="G1788" s="3">
        <f t="shared" si="1851"/>
        <v>46.6</v>
      </c>
      <c r="H1788" s="14" t="str">
        <f t="shared" ref="H1788" si="1911">IF(NOT(ISNUMBER(VALUE(G1788))), "NA",IF(VALUE(G1788)&gt;56,"HIGH",IF(VALUE(G1788)&lt;39,"LOW", "VALUE IN RANGE")))</f>
        <v>VALUE IN RANGE</v>
      </c>
    </row>
    <row r="1789" spans="3:8" x14ac:dyDescent="0.25">
      <c r="C1789" s="13"/>
      <c r="D1789" s="4" t="s">
        <v>1583</v>
      </c>
      <c r="E1789" s="1" t="s">
        <v>23</v>
      </c>
      <c r="F1789" s="5" t="s">
        <v>251</v>
      </c>
      <c r="G1789" s="3">
        <f t="shared" si="1851"/>
        <v>70.5</v>
      </c>
      <c r="H1789" s="14" t="str">
        <f t="shared" ref="H1789" si="1912">IF(NOT(ISNUMBER(VALUE(G1789))), "NA",IF(VALUE(G1789)&gt;72,"HIGH",IF(VALUE(G1789)&lt;62,"LOW", "VALUE IN RANGE")))</f>
        <v>VALUE IN RANGE</v>
      </c>
    </row>
    <row r="1790" spans="3:8" x14ac:dyDescent="0.25">
      <c r="C1790" s="13"/>
      <c r="D1790" s="4" t="s">
        <v>1583</v>
      </c>
      <c r="E1790" s="4" t="s">
        <v>25</v>
      </c>
      <c r="F1790" s="3" t="s">
        <v>655</v>
      </c>
      <c r="G1790" s="3">
        <f t="shared" si="1851"/>
        <v>21.9</v>
      </c>
      <c r="H1790" s="14" t="str">
        <f t="shared" ref="H1790" si="1913">IF(NOT(ISNUMBER(VALUE(G1790))), "NA",IF(VALUE(G1790)&gt;25,"HIGH",IF(VALUE(G1790)&lt;20,"LOW", "VALUE IN RANGE")))</f>
        <v>VALUE IN RANGE</v>
      </c>
    </row>
    <row r="1791" spans="3:8" x14ac:dyDescent="0.25">
      <c r="C1791" s="13"/>
      <c r="D1791" s="4" t="s">
        <v>1583</v>
      </c>
      <c r="E1791" s="1" t="s">
        <v>27</v>
      </c>
      <c r="F1791" s="5">
        <v>311</v>
      </c>
      <c r="G1791" s="3">
        <f t="shared" si="1851"/>
        <v>311</v>
      </c>
      <c r="H1791" s="14" t="str">
        <f t="shared" ref="H1791" si="1914">IF(NOT(ISNUMBER(VALUE(G1791))), "NA",IF(VALUE(G1791)&gt;380,"HIGH",IF(VALUE(G1791)&lt;300,"LOW", "VALUE IN RANGE")))</f>
        <v>VALUE IN RANGE</v>
      </c>
    </row>
    <row r="1792" spans="3:8" x14ac:dyDescent="0.25">
      <c r="C1792" s="13"/>
      <c r="D1792" s="4" t="s">
        <v>1583</v>
      </c>
      <c r="E1792" s="4" t="s">
        <v>29</v>
      </c>
      <c r="F1792" s="3" t="s">
        <v>174</v>
      </c>
      <c r="G1792" s="3">
        <f t="shared" si="1851"/>
        <v>12.5</v>
      </c>
      <c r="H1792" s="14" t="str">
        <f t="shared" ref="H1792" si="1915">IF(NOT(ISNUMBER(VALUE(G1792))), "NA",IF(VALUE(G1792)&gt;15.5,"HIGH",IF(VALUE(G1792)&lt;11,"LOW", "VALUE IN RANGE")))</f>
        <v>VALUE IN RANGE</v>
      </c>
    </row>
    <row r="1793" spans="3:8" x14ac:dyDescent="0.25">
      <c r="C1793" s="13"/>
      <c r="D1793" s="4" t="s">
        <v>1583</v>
      </c>
      <c r="E1793" s="1" t="s">
        <v>31</v>
      </c>
      <c r="F1793" s="5">
        <v>268</v>
      </c>
      <c r="G1793" s="3">
        <f t="shared" si="1851"/>
        <v>268</v>
      </c>
      <c r="H1793" s="14" t="str">
        <f t="shared" ref="H1793" si="1916">IF(NOT(ISNUMBER(VALUE(G1793))), "NA",IF(VALUE(G1793)&gt;460,"HIGH",IF(VALUE(G1793)&lt;117,"LOW", "VALUE IN RANGE")))</f>
        <v>VALUE IN RANGE</v>
      </c>
    </row>
    <row r="1794" spans="3:8" x14ac:dyDescent="0.25">
      <c r="C1794" s="13"/>
      <c r="D1794" s="4" t="s">
        <v>1583</v>
      </c>
      <c r="E1794" s="4" t="s">
        <v>33</v>
      </c>
      <c r="F1794" s="3" t="s">
        <v>105</v>
      </c>
      <c r="G1794" s="3">
        <f t="shared" si="1851"/>
        <v>8.9</v>
      </c>
      <c r="H1794" s="14" t="str">
        <f t="shared" ref="H1794" si="1917">IF(NOT(ISNUMBER(VALUE(G1794))), "NA",IF(VALUE(G1794)&gt;12,"HIGH",IF(VALUE(G1794)&lt;7,"LOW", "VALUE IN RANGE")))</f>
        <v>VALUE IN RANGE</v>
      </c>
    </row>
    <row r="1795" spans="3:8" ht="15" customHeight="1" x14ac:dyDescent="0.25">
      <c r="C1795" s="13" t="str">
        <f t="shared" ref="C1795" si="1918">IF(D1795=D1810,D1809,"falso")</f>
        <v>PATIENT_0113</v>
      </c>
      <c r="D1795" s="4" t="s">
        <v>1584</v>
      </c>
      <c r="E1795" s="1" t="s">
        <v>134</v>
      </c>
      <c r="F1795" s="5" t="s">
        <v>538</v>
      </c>
      <c r="G1795" s="3">
        <f t="shared" si="1851"/>
        <v>7.4</v>
      </c>
      <c r="H1795" s="14" t="str">
        <f t="shared" ref="H1795" si="1919">IF(NOT(ISNUMBER(VALUE(G1795))), "NA",IF(VALUE(G1795)&gt;17,"HIGH",IF(VALUE(G1795)&lt;6,"LOW", "VALUE IN RANGE")))</f>
        <v>VALUE IN RANGE</v>
      </c>
    </row>
    <row r="1796" spans="3:8" x14ac:dyDescent="0.25">
      <c r="C1796" s="13"/>
      <c r="D1796" s="4" t="s">
        <v>1584</v>
      </c>
      <c r="E1796" s="4" t="s">
        <v>136</v>
      </c>
      <c r="F1796" s="3" t="s">
        <v>268</v>
      </c>
      <c r="G1796" s="3">
        <f t="shared" ref="G1796:G1859" si="1920">IFERROR(
   VALUE(
      SUBSTITUTE(
         CLEAN(
            TRIM(F1796)
         ),
         ".",
         ","
      )
   ),
   ""
)</f>
        <v>6.1</v>
      </c>
      <c r="H1796" s="14" t="str">
        <f t="shared" ref="H1796" si="1921">IF(NOT(ISNUMBER(VALUE(G1796))), "NA",IF(VALUE(G1796)&gt;30,"HIGH",IF(VALUE(G1796)&lt;12,"LOW", "VALUE IN RANGE")))</f>
        <v>LOW</v>
      </c>
    </row>
    <row r="1797" spans="3:8" x14ac:dyDescent="0.25">
      <c r="C1797" s="13"/>
      <c r="D1797" s="4" t="s">
        <v>1584</v>
      </c>
      <c r="E1797" s="1" t="s">
        <v>7</v>
      </c>
      <c r="F1797" s="5" t="s">
        <v>294</v>
      </c>
      <c r="G1797" s="3">
        <f t="shared" si="1920"/>
        <v>8.6999999999999993</v>
      </c>
      <c r="H1797" s="14" t="str">
        <f t="shared" ref="H1797" si="1922">IF(NOT(ISNUMBER(VALUE(G1797))), "NA",IF(VALUE(G1797)&gt;9,"HIGH",IF(VALUE(G1797)&lt;2,"LOW", "VALUE IN RANGE")))</f>
        <v>VALUE IN RANGE</v>
      </c>
    </row>
    <row r="1798" spans="3:8" x14ac:dyDescent="0.25">
      <c r="C1798" s="13"/>
      <c r="D1798" s="4" t="s">
        <v>1584</v>
      </c>
      <c r="E1798" s="4" t="s">
        <v>139</v>
      </c>
      <c r="F1798" s="3" t="s">
        <v>891</v>
      </c>
      <c r="G1798" s="3">
        <f t="shared" si="1920"/>
        <v>85.2</v>
      </c>
      <c r="H1798" s="14" t="str">
        <f t="shared" ref="H1798" si="1923">IF(NOT(ISNUMBER(VALUE(G1798))), "NA",IF(VALUE(G1798)&gt;83,"HIGH",IF(VALUE(G1798)&lt;60,"LOW", "VALUE IN RANGE")))</f>
        <v>HIGH</v>
      </c>
    </row>
    <row r="1799" spans="3:8" x14ac:dyDescent="0.25">
      <c r="C1799" s="13"/>
      <c r="D1799" s="4" t="s">
        <v>1584</v>
      </c>
      <c r="E1799" s="1" t="s">
        <v>141</v>
      </c>
      <c r="F1799" s="5" t="s">
        <v>167</v>
      </c>
      <c r="G1799" s="3">
        <f t="shared" si="1920"/>
        <v>0.4</v>
      </c>
      <c r="H1799" s="14" t="str">
        <f t="shared" ref="H1799" si="1924">IF(NOT(ISNUMBER(VALUE(G1799))), "NA",IF(VALUE(G1799)&gt;5.1,"HIGH",IF(VALUE(G1799)&lt;0.8,"LOW", "VALUE IN RANGE")))</f>
        <v>LOW</v>
      </c>
    </row>
    <row r="1800" spans="3:8" x14ac:dyDescent="0.25">
      <c r="C1800" s="13"/>
      <c r="D1800" s="4" t="s">
        <v>1584</v>
      </c>
      <c r="E1800" s="4" t="s">
        <v>143</v>
      </c>
      <c r="F1800" s="3" t="s">
        <v>52</v>
      </c>
      <c r="G1800" s="3">
        <f t="shared" si="1920"/>
        <v>0.6</v>
      </c>
      <c r="H1800" s="14" t="str">
        <f t="shared" ref="H1800" si="1925">IF(NOT(ISNUMBER(VALUE(G1800))), "NA",IF(VALUE(G1800)&gt;1.8,"HIGH",IF(VALUE(G1800)&lt;0,"LOW", "VALUE IN RANGE")))</f>
        <v>VALUE IN RANGE</v>
      </c>
    </row>
    <row r="1801" spans="3:8" x14ac:dyDescent="0.25">
      <c r="C1801" s="13"/>
      <c r="D1801" s="4" t="s">
        <v>1584</v>
      </c>
      <c r="E1801" s="1" t="s">
        <v>144</v>
      </c>
      <c r="F1801" s="5">
        <v>6400</v>
      </c>
      <c r="G1801" s="3">
        <f t="shared" si="1920"/>
        <v>6400</v>
      </c>
      <c r="H1801" s="14" t="str">
        <f t="shared" ref="H1801" si="1926">IF(NOT(ISNUMBER(VALUE(G1801))), "NA",IF(VALUE(G1801)&gt;12.6,"HIGH",IF(VALUE(G1801)&lt;4,"LOW", "VALUE IN RANGE")))</f>
        <v>HIGH</v>
      </c>
    </row>
    <row r="1802" spans="3:8" x14ac:dyDescent="0.25">
      <c r="C1802" s="13"/>
      <c r="D1802" s="4" t="s">
        <v>1584</v>
      </c>
      <c r="E1802" s="4" t="s">
        <v>146</v>
      </c>
      <c r="F1802" s="3" t="s">
        <v>999</v>
      </c>
      <c r="G1802" s="3">
        <f t="shared" si="1920"/>
        <v>8.3699999999999992</v>
      </c>
      <c r="H1802" s="14" t="str">
        <f t="shared" ref="H1802" si="1927">IF(NOT(ISNUMBER(VALUE(G1802))), "NA",IF(VALUE(G1802)&gt;8.5,"HIGH",IF(VALUE(G1802)&lt;5.5,"LOW", "VALUE IN RANGE")))</f>
        <v>VALUE IN RANGE</v>
      </c>
    </row>
    <row r="1803" spans="3:8" x14ac:dyDescent="0.25">
      <c r="C1803" s="13"/>
      <c r="D1803" s="4" t="s">
        <v>1584</v>
      </c>
      <c r="E1803" s="1" t="s">
        <v>148</v>
      </c>
      <c r="F1803" s="5">
        <v>110</v>
      </c>
      <c r="G1803" s="3">
        <f t="shared" si="1920"/>
        <v>110</v>
      </c>
      <c r="H1803" s="14" t="str">
        <f t="shared" ref="H1803" si="1928">IF(NOT(ISNUMBER(VALUE(G1803))), "NA",IF(VALUE(G1803)&gt;190,"HIGH",IF(VALUE(G1803)&lt;110,"LOW", "VALUE IN RANGE")))</f>
        <v>VALUE IN RANGE</v>
      </c>
    </row>
    <row r="1804" spans="3:8" x14ac:dyDescent="0.25">
      <c r="C1804" s="13"/>
      <c r="D1804" s="4" t="s">
        <v>1584</v>
      </c>
      <c r="E1804" s="4" t="s">
        <v>150</v>
      </c>
      <c r="F1804" s="3" t="s">
        <v>302</v>
      </c>
      <c r="G1804" s="3">
        <f t="shared" si="1920"/>
        <v>39</v>
      </c>
      <c r="H1804" s="14" t="str">
        <f t="shared" ref="H1804" si="1929">IF(NOT(ISNUMBER(VALUE(G1804))), "NA",IF(VALUE(G1804)&gt;56,"HIGH",IF(VALUE(G1804)&lt;39,"LOW", "VALUE IN RANGE")))</f>
        <v>VALUE IN RANGE</v>
      </c>
    </row>
    <row r="1805" spans="3:8" x14ac:dyDescent="0.25">
      <c r="C1805" s="13"/>
      <c r="D1805" s="4" t="s">
        <v>1584</v>
      </c>
      <c r="E1805" s="1" t="s">
        <v>152</v>
      </c>
      <c r="F1805" s="5" t="s">
        <v>1001</v>
      </c>
      <c r="G1805" s="3">
        <f t="shared" si="1920"/>
        <v>46.7</v>
      </c>
      <c r="H1805" s="14" t="str">
        <f t="shared" ref="H1805" si="1930">IF(NOT(ISNUMBER(VALUE(G1805))), "NA",IF(VALUE(G1805)&gt;72,"HIGH",IF(VALUE(G1805)&lt;62,"LOW", "VALUE IN RANGE")))</f>
        <v>LOW</v>
      </c>
    </row>
    <row r="1806" spans="3:8" x14ac:dyDescent="0.25">
      <c r="C1806" s="13"/>
      <c r="D1806" s="4" t="s">
        <v>1584</v>
      </c>
      <c r="E1806" s="4" t="s">
        <v>154</v>
      </c>
      <c r="F1806" s="3" t="s">
        <v>471</v>
      </c>
      <c r="G1806" s="3">
        <f t="shared" si="1920"/>
        <v>13.1</v>
      </c>
      <c r="H1806" s="14" t="str">
        <f t="shared" ref="H1806" si="1931">IF(NOT(ISNUMBER(VALUE(G1806))), "NA",IF(VALUE(G1806)&gt;25,"HIGH",IF(VALUE(G1806)&lt;20,"LOW", "VALUE IN RANGE")))</f>
        <v>LOW</v>
      </c>
    </row>
    <row r="1807" spans="3:8" x14ac:dyDescent="0.25">
      <c r="C1807" s="13"/>
      <c r="D1807" s="4" t="s">
        <v>1584</v>
      </c>
      <c r="E1807" s="1" t="s">
        <v>27</v>
      </c>
      <c r="F1807" s="5">
        <v>282</v>
      </c>
      <c r="G1807" s="3">
        <f t="shared" si="1920"/>
        <v>282</v>
      </c>
      <c r="H1807" s="14" t="str">
        <f t="shared" ref="H1807" si="1932">IF(NOT(ISNUMBER(VALUE(G1807))), "NA",IF(VALUE(G1807)&gt;380,"HIGH",IF(VALUE(G1807)&lt;300,"LOW", "VALUE IN RANGE")))</f>
        <v>LOW</v>
      </c>
    </row>
    <row r="1808" spans="3:8" x14ac:dyDescent="0.25">
      <c r="C1808" s="13"/>
      <c r="D1808" s="4" t="s">
        <v>1584</v>
      </c>
      <c r="E1808" s="4" t="s">
        <v>157</v>
      </c>
      <c r="F1808" s="3" t="s">
        <v>1002</v>
      </c>
      <c r="G1808" s="3">
        <f t="shared" si="1920"/>
        <v>16</v>
      </c>
      <c r="H1808" s="14" t="str">
        <f t="shared" ref="H1808" si="1933">IF(NOT(ISNUMBER(VALUE(G1808))), "NA",IF(VALUE(G1808)&gt;15.5,"HIGH",IF(VALUE(G1808)&lt;11,"LOW", "VALUE IN RANGE")))</f>
        <v>HIGH</v>
      </c>
    </row>
    <row r="1809" spans="3:8" x14ac:dyDescent="0.25">
      <c r="C1809" s="13"/>
      <c r="D1809" s="4" t="s">
        <v>1584</v>
      </c>
      <c r="E1809" s="1" t="s">
        <v>159</v>
      </c>
      <c r="F1809" s="5">
        <v>225</v>
      </c>
      <c r="G1809" s="3">
        <f t="shared" si="1920"/>
        <v>225</v>
      </c>
      <c r="H1809" s="14" t="str">
        <f t="shared" ref="H1809" si="1934">IF(NOT(ISNUMBER(VALUE(G1809))), "NA",IF(VALUE(G1809)&gt;460,"HIGH",IF(VALUE(G1809)&lt;117,"LOW", "VALUE IN RANGE")))</f>
        <v>VALUE IN RANGE</v>
      </c>
    </row>
    <row r="1810" spans="3:8" x14ac:dyDescent="0.25">
      <c r="C1810" s="13"/>
      <c r="D1810" s="4" t="s">
        <v>1584</v>
      </c>
      <c r="E1810" s="4" t="s">
        <v>161</v>
      </c>
      <c r="F1810" s="3" t="s">
        <v>537</v>
      </c>
      <c r="G1810" s="3">
        <f t="shared" si="1920"/>
        <v>10.7</v>
      </c>
      <c r="H1810" s="14" t="str">
        <f t="shared" ref="H1810" si="1935">IF(NOT(ISNUMBER(VALUE(G1810))), "NA",IF(VALUE(G1810)&gt;12,"HIGH",IF(VALUE(G1810)&lt;7,"LOW", "VALUE IN RANGE")))</f>
        <v>VALUE IN RANGE</v>
      </c>
    </row>
    <row r="1811" spans="3:8" ht="15" customHeight="1" x14ac:dyDescent="0.25">
      <c r="C1811" s="13" t="str">
        <f t="shared" ref="C1811" si="1936">IF(D1811=D1826,D1825,"falso")</f>
        <v>PATIENT_0114</v>
      </c>
      <c r="D1811" s="4" t="s">
        <v>1585</v>
      </c>
      <c r="E1811" s="1" t="s">
        <v>134</v>
      </c>
      <c r="F1811" s="5" t="s">
        <v>63</v>
      </c>
      <c r="G1811" s="3">
        <f t="shared" si="1920"/>
        <v>6.8</v>
      </c>
      <c r="H1811" s="14" t="str">
        <f t="shared" ref="H1811" si="1937">IF(NOT(ISNUMBER(VALUE(G1811))), "NA",IF(VALUE(G1811)&gt;17,"HIGH",IF(VALUE(G1811)&lt;6,"LOW", "VALUE IN RANGE")))</f>
        <v>VALUE IN RANGE</v>
      </c>
    </row>
    <row r="1812" spans="3:8" x14ac:dyDescent="0.25">
      <c r="C1812" s="13"/>
      <c r="D1812" s="4" t="s">
        <v>1585</v>
      </c>
      <c r="E1812" s="4" t="s">
        <v>136</v>
      </c>
      <c r="F1812" s="3" t="s">
        <v>868</v>
      </c>
      <c r="G1812" s="3">
        <f t="shared" si="1920"/>
        <v>11.8</v>
      </c>
      <c r="H1812" s="14" t="str">
        <f t="shared" ref="H1812" si="1938">IF(NOT(ISNUMBER(VALUE(G1812))), "NA",IF(VALUE(G1812)&gt;30,"HIGH",IF(VALUE(G1812)&lt;12,"LOW", "VALUE IN RANGE")))</f>
        <v>LOW</v>
      </c>
    </row>
    <row r="1813" spans="3:8" x14ac:dyDescent="0.25">
      <c r="C1813" s="13"/>
      <c r="D1813" s="4" t="s">
        <v>1585</v>
      </c>
      <c r="E1813" s="1" t="s">
        <v>7</v>
      </c>
      <c r="F1813" s="5" t="s">
        <v>903</v>
      </c>
      <c r="G1813" s="3">
        <f t="shared" si="1920"/>
        <v>4.7</v>
      </c>
      <c r="H1813" s="14" t="str">
        <f t="shared" ref="H1813" si="1939">IF(NOT(ISNUMBER(VALUE(G1813))), "NA",IF(VALUE(G1813)&gt;9,"HIGH",IF(VALUE(G1813)&lt;2,"LOW", "VALUE IN RANGE")))</f>
        <v>VALUE IN RANGE</v>
      </c>
    </row>
    <row r="1814" spans="3:8" x14ac:dyDescent="0.25">
      <c r="C1814" s="13"/>
      <c r="D1814" s="4" t="s">
        <v>1585</v>
      </c>
      <c r="E1814" s="4" t="s">
        <v>139</v>
      </c>
      <c r="F1814" s="3" t="s">
        <v>876</v>
      </c>
      <c r="G1814" s="3">
        <f t="shared" si="1920"/>
        <v>83.5</v>
      </c>
      <c r="H1814" s="14" t="str">
        <f t="shared" ref="H1814" si="1940">IF(NOT(ISNUMBER(VALUE(G1814))), "NA",IF(VALUE(G1814)&gt;83,"HIGH",IF(VALUE(G1814)&lt;60,"LOW", "VALUE IN RANGE")))</f>
        <v>HIGH</v>
      </c>
    </row>
    <row r="1815" spans="3:8" x14ac:dyDescent="0.25">
      <c r="C1815" s="13"/>
      <c r="D1815" s="4" t="s">
        <v>1585</v>
      </c>
      <c r="E1815" s="1" t="s">
        <v>141</v>
      </c>
      <c r="F1815" s="5" t="s">
        <v>476</v>
      </c>
      <c r="G1815" s="3">
        <f t="shared" si="1920"/>
        <v>0.8</v>
      </c>
      <c r="H1815" s="14" t="str">
        <f t="shared" ref="H1815" si="1941">IF(NOT(ISNUMBER(VALUE(G1815))), "NA",IF(VALUE(G1815)&gt;5.1,"HIGH",IF(VALUE(G1815)&lt;0.8,"LOW", "VALUE IN RANGE")))</f>
        <v>VALUE IN RANGE</v>
      </c>
    </row>
    <row r="1816" spans="3:8" x14ac:dyDescent="0.25">
      <c r="C1816" s="13"/>
      <c r="D1816" s="4" t="s">
        <v>1585</v>
      </c>
      <c r="E1816" s="4" t="s">
        <v>143</v>
      </c>
      <c r="F1816" s="3" t="s">
        <v>14</v>
      </c>
      <c r="G1816" s="3">
        <f t="shared" si="1920"/>
        <v>0.3</v>
      </c>
      <c r="H1816" s="14" t="str">
        <f t="shared" ref="H1816" si="1942">IF(NOT(ISNUMBER(VALUE(G1816))), "NA",IF(VALUE(G1816)&gt;1.8,"HIGH",IF(VALUE(G1816)&lt;0,"LOW", "VALUE IN RANGE")))</f>
        <v>VALUE IN RANGE</v>
      </c>
    </row>
    <row r="1817" spans="3:8" x14ac:dyDescent="0.25">
      <c r="C1817" s="13"/>
      <c r="D1817" s="4" t="s">
        <v>1585</v>
      </c>
      <c r="E1817" s="1" t="s">
        <v>144</v>
      </c>
      <c r="F1817" s="5">
        <v>5700</v>
      </c>
      <c r="G1817" s="3">
        <f t="shared" si="1920"/>
        <v>5700</v>
      </c>
      <c r="H1817" s="14" t="str">
        <f t="shared" ref="H1817" si="1943">IF(NOT(ISNUMBER(VALUE(G1817))), "NA",IF(VALUE(G1817)&gt;12.6,"HIGH",IF(VALUE(G1817)&lt;4,"LOW", "VALUE IN RANGE")))</f>
        <v>HIGH</v>
      </c>
    </row>
    <row r="1818" spans="3:8" x14ac:dyDescent="0.25">
      <c r="C1818" s="13"/>
      <c r="D1818" s="4" t="s">
        <v>1585</v>
      </c>
      <c r="E1818" s="4" t="s">
        <v>146</v>
      </c>
      <c r="F1818" s="3" t="s">
        <v>1003</v>
      </c>
      <c r="G1818" s="3">
        <f t="shared" si="1920"/>
        <v>10.55</v>
      </c>
      <c r="H1818" s="14" t="str">
        <f t="shared" ref="H1818" si="1944">IF(NOT(ISNUMBER(VALUE(G1818))), "NA",IF(VALUE(G1818)&gt;8.5,"HIGH",IF(VALUE(G1818)&lt;5.5,"LOW", "VALUE IN RANGE")))</f>
        <v>HIGH</v>
      </c>
    </row>
    <row r="1819" spans="3:8" x14ac:dyDescent="0.25">
      <c r="C1819" s="13"/>
      <c r="D1819" s="4" t="s">
        <v>1585</v>
      </c>
      <c r="E1819" s="1" t="s">
        <v>148</v>
      </c>
      <c r="F1819" s="5">
        <v>134</v>
      </c>
      <c r="G1819" s="3">
        <f t="shared" si="1920"/>
        <v>134</v>
      </c>
      <c r="H1819" s="14" t="str">
        <f t="shared" ref="H1819" si="1945">IF(NOT(ISNUMBER(VALUE(G1819))), "NA",IF(VALUE(G1819)&gt;190,"HIGH",IF(VALUE(G1819)&lt;110,"LOW", "VALUE IN RANGE")))</f>
        <v>VALUE IN RANGE</v>
      </c>
    </row>
    <row r="1820" spans="3:8" x14ac:dyDescent="0.25">
      <c r="C1820" s="13"/>
      <c r="D1820" s="4" t="s">
        <v>1585</v>
      </c>
      <c r="E1820" s="4" t="s">
        <v>150</v>
      </c>
      <c r="F1820" s="3" t="s">
        <v>1004</v>
      </c>
      <c r="G1820" s="3">
        <f t="shared" si="1920"/>
        <v>48.4</v>
      </c>
      <c r="H1820" s="14" t="str">
        <f t="shared" ref="H1820" si="1946">IF(NOT(ISNUMBER(VALUE(G1820))), "NA",IF(VALUE(G1820)&gt;56,"HIGH",IF(VALUE(G1820)&lt;39,"LOW", "VALUE IN RANGE")))</f>
        <v>VALUE IN RANGE</v>
      </c>
    </row>
    <row r="1821" spans="3:8" x14ac:dyDescent="0.25">
      <c r="C1821" s="13"/>
      <c r="D1821" s="4" t="s">
        <v>1585</v>
      </c>
      <c r="E1821" s="1" t="s">
        <v>152</v>
      </c>
      <c r="F1821" s="5" t="s">
        <v>468</v>
      </c>
      <c r="G1821" s="3">
        <f t="shared" si="1920"/>
        <v>45.9</v>
      </c>
      <c r="H1821" s="14" t="str">
        <f t="shared" ref="H1821" si="1947">IF(NOT(ISNUMBER(VALUE(G1821))), "NA",IF(VALUE(G1821)&gt;72,"HIGH",IF(VALUE(G1821)&lt;62,"LOW", "VALUE IN RANGE")))</f>
        <v>LOW</v>
      </c>
    </row>
    <row r="1822" spans="3:8" x14ac:dyDescent="0.25">
      <c r="C1822" s="13"/>
      <c r="D1822" s="4" t="s">
        <v>1585</v>
      </c>
      <c r="E1822" s="4" t="s">
        <v>154</v>
      </c>
      <c r="F1822" s="3" t="s">
        <v>58</v>
      </c>
      <c r="G1822" s="3">
        <f t="shared" si="1920"/>
        <v>12.7</v>
      </c>
      <c r="H1822" s="14" t="str">
        <f t="shared" ref="H1822" si="1948">IF(NOT(ISNUMBER(VALUE(G1822))), "NA",IF(VALUE(G1822)&gt;25,"HIGH",IF(VALUE(G1822)&lt;20,"LOW", "VALUE IN RANGE")))</f>
        <v>LOW</v>
      </c>
    </row>
    <row r="1823" spans="3:8" x14ac:dyDescent="0.25">
      <c r="C1823" s="13"/>
      <c r="D1823" s="4" t="s">
        <v>1585</v>
      </c>
      <c r="E1823" s="1" t="s">
        <v>27</v>
      </c>
      <c r="F1823" s="5">
        <v>276</v>
      </c>
      <c r="G1823" s="3">
        <f t="shared" si="1920"/>
        <v>276</v>
      </c>
      <c r="H1823" s="14" t="str">
        <f t="shared" ref="H1823" si="1949">IF(NOT(ISNUMBER(VALUE(G1823))), "NA",IF(VALUE(G1823)&gt;380,"HIGH",IF(VALUE(G1823)&lt;300,"LOW", "VALUE IN RANGE")))</f>
        <v>LOW</v>
      </c>
    </row>
    <row r="1824" spans="3:8" x14ac:dyDescent="0.25">
      <c r="C1824" s="13"/>
      <c r="D1824" s="4" t="s">
        <v>1585</v>
      </c>
      <c r="E1824" s="4" t="s">
        <v>157</v>
      </c>
      <c r="F1824" s="3" t="s">
        <v>620</v>
      </c>
      <c r="G1824" s="3">
        <f t="shared" si="1920"/>
        <v>16.3</v>
      </c>
      <c r="H1824" s="14" t="str">
        <f t="shared" ref="H1824" si="1950">IF(NOT(ISNUMBER(VALUE(G1824))), "NA",IF(VALUE(G1824)&gt;15.5,"HIGH",IF(VALUE(G1824)&lt;11,"LOW", "VALUE IN RANGE")))</f>
        <v>HIGH</v>
      </c>
    </row>
    <row r="1825" spans="3:8" x14ac:dyDescent="0.25">
      <c r="C1825" s="13"/>
      <c r="D1825" s="4" t="s">
        <v>1585</v>
      </c>
      <c r="E1825" s="1" t="s">
        <v>159</v>
      </c>
      <c r="F1825" s="5">
        <v>284</v>
      </c>
      <c r="G1825" s="3">
        <f t="shared" si="1920"/>
        <v>284</v>
      </c>
      <c r="H1825" s="14" t="str">
        <f t="shared" ref="H1825" si="1951">IF(NOT(ISNUMBER(VALUE(G1825))), "NA",IF(VALUE(G1825)&gt;460,"HIGH",IF(VALUE(G1825)&lt;117,"LOW", "VALUE IN RANGE")))</f>
        <v>VALUE IN RANGE</v>
      </c>
    </row>
    <row r="1826" spans="3:8" x14ac:dyDescent="0.25">
      <c r="C1826" s="13"/>
      <c r="D1826" s="4" t="s">
        <v>1585</v>
      </c>
      <c r="E1826" s="4" t="s">
        <v>161</v>
      </c>
      <c r="F1826" s="3" t="s">
        <v>414</v>
      </c>
      <c r="G1826" s="3">
        <f t="shared" si="1920"/>
        <v>12.1</v>
      </c>
      <c r="H1826" s="14" t="str">
        <f t="shared" ref="H1826" si="1952">IF(NOT(ISNUMBER(VALUE(G1826))), "NA",IF(VALUE(G1826)&gt;12,"HIGH",IF(VALUE(G1826)&lt;7,"LOW", "VALUE IN RANGE")))</f>
        <v>HIGH</v>
      </c>
    </row>
    <row r="1827" spans="3:8" ht="15" customHeight="1" x14ac:dyDescent="0.25">
      <c r="C1827" s="13" t="str">
        <f t="shared" ref="C1827" si="1953">IF(D1827=D1842,D1841,"falso")</f>
        <v>PATIENT_0115</v>
      </c>
      <c r="D1827" s="4" t="s">
        <v>1586</v>
      </c>
      <c r="E1827" s="1" t="s">
        <v>3</v>
      </c>
      <c r="F1827" s="5" t="s">
        <v>915</v>
      </c>
      <c r="G1827" s="3">
        <f t="shared" si="1920"/>
        <v>10.5</v>
      </c>
      <c r="H1827" s="14" t="str">
        <f t="shared" ref="H1827" si="1954">IF(NOT(ISNUMBER(VALUE(G1827))), "NA",IF(VALUE(G1827)&gt;17,"HIGH",IF(VALUE(G1827)&lt;6,"LOW", "VALUE IN RANGE")))</f>
        <v>VALUE IN RANGE</v>
      </c>
    </row>
    <row r="1828" spans="3:8" x14ac:dyDescent="0.25">
      <c r="C1828" s="13"/>
      <c r="D1828" s="4" t="s">
        <v>1586</v>
      </c>
      <c r="E1828" s="4" t="s">
        <v>5</v>
      </c>
      <c r="F1828" s="3" t="s">
        <v>1005</v>
      </c>
      <c r="G1828" s="3">
        <f t="shared" si="1920"/>
        <v>16.5</v>
      </c>
      <c r="H1828" s="14" t="str">
        <f t="shared" ref="H1828" si="1955">IF(NOT(ISNUMBER(VALUE(G1828))), "NA",IF(VALUE(G1828)&gt;30,"HIGH",IF(VALUE(G1828)&lt;12,"LOW", "VALUE IN RANGE")))</f>
        <v>VALUE IN RANGE</v>
      </c>
    </row>
    <row r="1829" spans="3:8" x14ac:dyDescent="0.25">
      <c r="C1829" s="13"/>
      <c r="D1829" s="4" t="s">
        <v>1586</v>
      </c>
      <c r="E1829" s="1" t="s">
        <v>7</v>
      </c>
      <c r="F1829" s="5" t="s">
        <v>1006</v>
      </c>
      <c r="G1829" s="3">
        <f t="shared" si="1920"/>
        <v>13.3</v>
      </c>
      <c r="H1829" s="14" t="str">
        <f t="shared" ref="H1829" si="1956">IF(NOT(ISNUMBER(VALUE(G1829))), "NA",IF(VALUE(G1829)&gt;9,"HIGH",IF(VALUE(G1829)&lt;2,"LOW", "VALUE IN RANGE")))</f>
        <v>HIGH</v>
      </c>
    </row>
    <row r="1830" spans="3:8" x14ac:dyDescent="0.25">
      <c r="C1830" s="13"/>
      <c r="D1830" s="4" t="s">
        <v>1586</v>
      </c>
      <c r="E1830" s="4" t="s">
        <v>9</v>
      </c>
      <c r="F1830" s="3" t="s">
        <v>1007</v>
      </c>
      <c r="G1830" s="3">
        <f t="shared" si="1920"/>
        <v>70.2</v>
      </c>
      <c r="H1830" s="14" t="str">
        <f t="shared" ref="H1830" si="1957">IF(NOT(ISNUMBER(VALUE(G1830))), "NA",IF(VALUE(G1830)&gt;83,"HIGH",IF(VALUE(G1830)&lt;60,"LOW", "VALUE IN RANGE")))</f>
        <v>VALUE IN RANGE</v>
      </c>
    </row>
    <row r="1831" spans="3:8" x14ac:dyDescent="0.25">
      <c r="C1831" s="13"/>
      <c r="D1831" s="4" t="s">
        <v>1586</v>
      </c>
      <c r="E1831" s="1" t="s">
        <v>11</v>
      </c>
      <c r="F1831" s="5">
        <v>1700</v>
      </c>
      <c r="G1831" s="3">
        <f t="shared" si="1920"/>
        <v>1700</v>
      </c>
      <c r="H1831" s="14" t="str">
        <f t="shared" ref="H1831" si="1958">IF(NOT(ISNUMBER(VALUE(G1831))), "NA",IF(VALUE(G1831)&gt;5.1,"HIGH",IF(VALUE(G1831)&lt;0.8,"LOW", "VALUE IN RANGE")))</f>
        <v>HIGH</v>
      </c>
    </row>
    <row r="1832" spans="3:8" x14ac:dyDescent="0.25">
      <c r="C1832" s="13"/>
      <c r="D1832" s="4" t="s">
        <v>1586</v>
      </c>
      <c r="E1832" s="4" t="s">
        <v>13</v>
      </c>
      <c r="F1832" s="3">
        <v>1300</v>
      </c>
      <c r="G1832" s="3">
        <f t="shared" si="1920"/>
        <v>1300</v>
      </c>
      <c r="H1832" s="14" t="str">
        <f t="shared" ref="H1832" si="1959">IF(NOT(ISNUMBER(VALUE(G1832))), "NA",IF(VALUE(G1832)&gt;1.8,"HIGH",IF(VALUE(G1832)&lt;0,"LOW", "VALUE IN RANGE")))</f>
        <v>HIGH</v>
      </c>
    </row>
    <row r="1833" spans="3:8" x14ac:dyDescent="0.25">
      <c r="C1833" s="13"/>
      <c r="D1833" s="4" t="s">
        <v>1586</v>
      </c>
      <c r="E1833" s="1" t="s">
        <v>15</v>
      </c>
      <c r="F1833" s="5">
        <v>7500</v>
      </c>
      <c r="G1833" s="3">
        <f t="shared" si="1920"/>
        <v>7500</v>
      </c>
      <c r="H1833" s="14" t="str">
        <f t="shared" ref="H1833" si="1960">IF(NOT(ISNUMBER(VALUE(G1833))), "NA",IF(VALUE(G1833)&gt;12.6,"HIGH",IF(VALUE(G1833)&lt;4,"LOW", "VALUE IN RANGE")))</f>
        <v>HIGH</v>
      </c>
    </row>
    <row r="1834" spans="3:8" x14ac:dyDescent="0.25">
      <c r="C1834" s="13"/>
      <c r="D1834" s="4" t="s">
        <v>1586</v>
      </c>
      <c r="E1834" s="4" t="s">
        <v>17</v>
      </c>
      <c r="F1834" s="3" t="s">
        <v>666</v>
      </c>
      <c r="G1834" s="3">
        <f t="shared" si="1920"/>
        <v>6.75</v>
      </c>
      <c r="H1834" s="14" t="str">
        <f t="shared" ref="H1834" si="1961">IF(NOT(ISNUMBER(VALUE(G1834))), "NA",IF(VALUE(G1834)&gt;8.5,"HIGH",IF(VALUE(G1834)&lt;5.5,"LOW", "VALUE IN RANGE")))</f>
        <v>VALUE IN RANGE</v>
      </c>
    </row>
    <row r="1835" spans="3:8" x14ac:dyDescent="0.25">
      <c r="C1835" s="13"/>
      <c r="D1835" s="4" t="s">
        <v>1586</v>
      </c>
      <c r="E1835" s="1" t="s">
        <v>19</v>
      </c>
      <c r="F1835" s="5">
        <v>135</v>
      </c>
      <c r="G1835" s="3">
        <f t="shared" si="1920"/>
        <v>135</v>
      </c>
      <c r="H1835" s="14" t="str">
        <f t="shared" ref="H1835" si="1962">IF(NOT(ISNUMBER(VALUE(G1835))), "NA",IF(VALUE(G1835)&gt;190,"HIGH",IF(VALUE(G1835)&lt;110,"LOW", "VALUE IN RANGE")))</f>
        <v>VALUE IN RANGE</v>
      </c>
    </row>
    <row r="1836" spans="3:8" x14ac:dyDescent="0.25">
      <c r="C1836" s="13"/>
      <c r="D1836" s="4" t="s">
        <v>1586</v>
      </c>
      <c r="E1836" s="4" t="s">
        <v>21</v>
      </c>
      <c r="F1836" s="3" t="s">
        <v>734</v>
      </c>
      <c r="G1836" s="3">
        <f t="shared" si="1920"/>
        <v>40.5</v>
      </c>
      <c r="H1836" s="14" t="str">
        <f t="shared" ref="H1836" si="1963">IF(NOT(ISNUMBER(VALUE(G1836))), "NA",IF(VALUE(G1836)&gt;56,"HIGH",IF(VALUE(G1836)&lt;39,"LOW", "VALUE IN RANGE")))</f>
        <v>VALUE IN RANGE</v>
      </c>
    </row>
    <row r="1837" spans="3:8" x14ac:dyDescent="0.25">
      <c r="C1837" s="13"/>
      <c r="D1837" s="4" t="s">
        <v>1586</v>
      </c>
      <c r="E1837" s="1" t="s">
        <v>23</v>
      </c>
      <c r="F1837" s="5" t="s">
        <v>1008</v>
      </c>
      <c r="G1837" s="3">
        <f t="shared" si="1920"/>
        <v>60.1</v>
      </c>
      <c r="H1837" s="14" t="str">
        <f t="shared" ref="H1837" si="1964">IF(NOT(ISNUMBER(VALUE(G1837))), "NA",IF(VALUE(G1837)&gt;72,"HIGH",IF(VALUE(G1837)&lt;62,"LOW", "VALUE IN RANGE")))</f>
        <v>LOW</v>
      </c>
    </row>
    <row r="1838" spans="3:8" x14ac:dyDescent="0.25">
      <c r="C1838" s="13"/>
      <c r="D1838" s="4" t="s">
        <v>1586</v>
      </c>
      <c r="E1838" s="4" t="s">
        <v>25</v>
      </c>
      <c r="F1838" s="3" t="s">
        <v>186</v>
      </c>
      <c r="G1838" s="3">
        <f t="shared" si="1920"/>
        <v>20</v>
      </c>
      <c r="H1838" s="14" t="str">
        <f t="shared" ref="H1838" si="1965">IF(NOT(ISNUMBER(VALUE(G1838))), "NA",IF(VALUE(G1838)&gt;25,"HIGH",IF(VALUE(G1838)&lt;20,"LOW", "VALUE IN RANGE")))</f>
        <v>VALUE IN RANGE</v>
      </c>
    </row>
    <row r="1839" spans="3:8" x14ac:dyDescent="0.25">
      <c r="C1839" s="13"/>
      <c r="D1839" s="4" t="s">
        <v>1586</v>
      </c>
      <c r="E1839" s="1" t="s">
        <v>27</v>
      </c>
      <c r="F1839" s="5">
        <v>333</v>
      </c>
      <c r="G1839" s="3">
        <f t="shared" si="1920"/>
        <v>333</v>
      </c>
      <c r="H1839" s="14" t="str">
        <f t="shared" ref="H1839" si="1966">IF(NOT(ISNUMBER(VALUE(G1839))), "NA",IF(VALUE(G1839)&gt;380,"HIGH",IF(VALUE(G1839)&lt;300,"LOW", "VALUE IN RANGE")))</f>
        <v>VALUE IN RANGE</v>
      </c>
    </row>
    <row r="1840" spans="3:8" x14ac:dyDescent="0.25">
      <c r="C1840" s="13"/>
      <c r="D1840" s="4" t="s">
        <v>1586</v>
      </c>
      <c r="E1840" s="4" t="s">
        <v>29</v>
      </c>
      <c r="F1840" s="3" t="s">
        <v>926</v>
      </c>
      <c r="G1840" s="3">
        <f t="shared" si="1920"/>
        <v>13.3</v>
      </c>
      <c r="H1840" s="14" t="str">
        <f t="shared" ref="H1840" si="1967">IF(NOT(ISNUMBER(VALUE(G1840))), "NA",IF(VALUE(G1840)&gt;15.5,"HIGH",IF(VALUE(G1840)&lt;11,"LOW", "VALUE IN RANGE")))</f>
        <v>VALUE IN RANGE</v>
      </c>
    </row>
    <row r="1841" spans="3:8" x14ac:dyDescent="0.25">
      <c r="C1841" s="13"/>
      <c r="D1841" s="4" t="s">
        <v>1586</v>
      </c>
      <c r="E1841" s="1" t="s">
        <v>31</v>
      </c>
      <c r="F1841" s="5">
        <v>101</v>
      </c>
      <c r="G1841" s="3">
        <f t="shared" si="1920"/>
        <v>101</v>
      </c>
      <c r="H1841" s="14" t="str">
        <f t="shared" ref="H1841" si="1968">IF(NOT(ISNUMBER(VALUE(G1841))), "NA",IF(VALUE(G1841)&gt;460,"HIGH",IF(VALUE(G1841)&lt;117,"LOW", "VALUE IN RANGE")))</f>
        <v>LOW</v>
      </c>
    </row>
    <row r="1842" spans="3:8" x14ac:dyDescent="0.25">
      <c r="C1842" s="13"/>
      <c r="D1842" s="4" t="s">
        <v>1586</v>
      </c>
      <c r="E1842" s="4" t="s">
        <v>33</v>
      </c>
      <c r="F1842" s="3" t="s">
        <v>279</v>
      </c>
      <c r="G1842" s="3">
        <f t="shared" si="1920"/>
        <v>9.5</v>
      </c>
      <c r="H1842" s="14" t="str">
        <f t="shared" ref="H1842" si="1969">IF(NOT(ISNUMBER(VALUE(G1842))), "NA",IF(VALUE(G1842)&gt;12,"HIGH",IF(VALUE(G1842)&lt;7,"LOW", "VALUE IN RANGE")))</f>
        <v>VALUE IN RANGE</v>
      </c>
    </row>
    <row r="1843" spans="3:8" ht="15" customHeight="1" x14ac:dyDescent="0.25">
      <c r="C1843" s="13" t="str">
        <f t="shared" ref="C1843" si="1970">IF(D1843=D1858,D1857,"falso")</f>
        <v>PATIENT_0116</v>
      </c>
      <c r="D1843" s="4" t="s">
        <v>1587</v>
      </c>
      <c r="E1843" s="1" t="s">
        <v>3</v>
      </c>
      <c r="F1843" s="5" t="s">
        <v>106</v>
      </c>
      <c r="G1843" s="3">
        <f t="shared" si="1920"/>
        <v>6.5</v>
      </c>
      <c r="H1843" s="14" t="str">
        <f t="shared" ref="H1843" si="1971">IF(NOT(ISNUMBER(VALUE(G1843))), "NA",IF(VALUE(G1843)&gt;17,"HIGH",IF(VALUE(G1843)&lt;6,"LOW", "VALUE IN RANGE")))</f>
        <v>VALUE IN RANGE</v>
      </c>
    </row>
    <row r="1844" spans="3:8" x14ac:dyDescent="0.25">
      <c r="C1844" s="13"/>
      <c r="D1844" s="4" t="s">
        <v>1587</v>
      </c>
      <c r="E1844" s="4" t="s">
        <v>5</v>
      </c>
      <c r="F1844" s="3" t="s">
        <v>806</v>
      </c>
      <c r="G1844" s="3">
        <f t="shared" si="1920"/>
        <v>9.6999999999999993</v>
      </c>
      <c r="H1844" s="14" t="str">
        <f t="shared" ref="H1844" si="1972">IF(NOT(ISNUMBER(VALUE(G1844))), "NA",IF(VALUE(G1844)&gt;30,"HIGH",IF(VALUE(G1844)&lt;12,"LOW", "VALUE IN RANGE")))</f>
        <v>LOW</v>
      </c>
    </row>
    <row r="1845" spans="3:8" x14ac:dyDescent="0.25">
      <c r="C1845" s="13"/>
      <c r="D1845" s="4" t="s">
        <v>1587</v>
      </c>
      <c r="E1845" s="1" t="s">
        <v>7</v>
      </c>
      <c r="F1845" s="5" t="s">
        <v>308</v>
      </c>
      <c r="G1845" s="3">
        <f t="shared" si="1920"/>
        <v>2.6</v>
      </c>
      <c r="H1845" s="14" t="str">
        <f t="shared" ref="H1845" si="1973">IF(NOT(ISNUMBER(VALUE(G1845))), "NA",IF(VALUE(G1845)&gt;9,"HIGH",IF(VALUE(G1845)&lt;2,"LOW", "VALUE IN RANGE")))</f>
        <v>VALUE IN RANGE</v>
      </c>
    </row>
    <row r="1846" spans="3:8" x14ac:dyDescent="0.25">
      <c r="C1846" s="13"/>
      <c r="D1846" s="4" t="s">
        <v>1587</v>
      </c>
      <c r="E1846" s="4" t="s">
        <v>9</v>
      </c>
      <c r="F1846" s="3" t="s">
        <v>518</v>
      </c>
      <c r="G1846" s="3">
        <f t="shared" si="1920"/>
        <v>87.7</v>
      </c>
      <c r="H1846" s="14" t="str">
        <f t="shared" ref="H1846" si="1974">IF(NOT(ISNUMBER(VALUE(G1846))), "NA",IF(VALUE(G1846)&gt;83,"HIGH",IF(VALUE(G1846)&lt;60,"LOW", "VALUE IN RANGE")))</f>
        <v>HIGH</v>
      </c>
    </row>
    <row r="1847" spans="3:8" x14ac:dyDescent="0.25">
      <c r="C1847" s="13"/>
      <c r="D1847" s="4" t="s">
        <v>1587</v>
      </c>
      <c r="E1847" s="1" t="s">
        <v>11</v>
      </c>
      <c r="F1847" s="5" t="s">
        <v>52</v>
      </c>
      <c r="G1847" s="3">
        <f t="shared" si="1920"/>
        <v>0.6</v>
      </c>
      <c r="H1847" s="14" t="str">
        <f t="shared" ref="H1847" si="1975">IF(NOT(ISNUMBER(VALUE(G1847))), "NA",IF(VALUE(G1847)&gt;5.1,"HIGH",IF(VALUE(G1847)&lt;0.8,"LOW", "VALUE IN RANGE")))</f>
        <v>LOW</v>
      </c>
    </row>
    <row r="1848" spans="3:8" x14ac:dyDescent="0.25">
      <c r="C1848" s="13"/>
      <c r="D1848" s="4" t="s">
        <v>1587</v>
      </c>
      <c r="E1848" s="4" t="s">
        <v>13</v>
      </c>
      <c r="F1848" s="3" t="s">
        <v>40</v>
      </c>
      <c r="G1848" s="3">
        <f t="shared" si="1920"/>
        <v>0.1</v>
      </c>
      <c r="H1848" s="14" t="str">
        <f t="shared" ref="H1848" si="1976">IF(NOT(ISNUMBER(VALUE(G1848))), "NA",IF(VALUE(G1848)&gt;1.8,"HIGH",IF(VALUE(G1848)&lt;0,"LOW", "VALUE IN RANGE")))</f>
        <v>VALUE IN RANGE</v>
      </c>
    </row>
    <row r="1849" spans="3:8" x14ac:dyDescent="0.25">
      <c r="C1849" s="13"/>
      <c r="D1849" s="4" t="s">
        <v>1587</v>
      </c>
      <c r="E1849" s="1" t="s">
        <v>15</v>
      </c>
      <c r="F1849" s="5">
        <v>5800</v>
      </c>
      <c r="G1849" s="3">
        <f t="shared" si="1920"/>
        <v>5800</v>
      </c>
      <c r="H1849" s="14" t="str">
        <f t="shared" ref="H1849" si="1977">IF(NOT(ISNUMBER(VALUE(G1849))), "NA",IF(VALUE(G1849)&gt;12.6,"HIGH",IF(VALUE(G1849)&lt;4,"LOW", "VALUE IN RANGE")))</f>
        <v>HIGH</v>
      </c>
    </row>
    <row r="1850" spans="3:8" x14ac:dyDescent="0.25">
      <c r="C1850" s="13"/>
      <c r="D1850" s="4" t="s">
        <v>1587</v>
      </c>
      <c r="E1850" s="4" t="s">
        <v>17</v>
      </c>
      <c r="F1850" s="3" t="s">
        <v>998</v>
      </c>
      <c r="G1850" s="3">
        <f t="shared" si="1920"/>
        <v>6.62</v>
      </c>
      <c r="H1850" s="14" t="str">
        <f t="shared" ref="H1850" si="1978">IF(NOT(ISNUMBER(VALUE(G1850))), "NA",IF(VALUE(G1850)&gt;8.5,"HIGH",IF(VALUE(G1850)&lt;5.5,"LOW", "VALUE IN RANGE")))</f>
        <v>VALUE IN RANGE</v>
      </c>
    </row>
    <row r="1851" spans="3:8" x14ac:dyDescent="0.25">
      <c r="C1851" s="13"/>
      <c r="D1851" s="4" t="s">
        <v>1587</v>
      </c>
      <c r="E1851" s="1" t="s">
        <v>19</v>
      </c>
      <c r="F1851" s="5">
        <v>153</v>
      </c>
      <c r="G1851" s="3">
        <f t="shared" si="1920"/>
        <v>153</v>
      </c>
      <c r="H1851" s="14" t="str">
        <f t="shared" ref="H1851" si="1979">IF(NOT(ISNUMBER(VALUE(G1851))), "NA",IF(VALUE(G1851)&gt;190,"HIGH",IF(VALUE(G1851)&lt;110,"LOW", "VALUE IN RANGE")))</f>
        <v>VALUE IN RANGE</v>
      </c>
    </row>
    <row r="1852" spans="3:8" x14ac:dyDescent="0.25">
      <c r="C1852" s="13"/>
      <c r="D1852" s="4" t="s">
        <v>1587</v>
      </c>
      <c r="E1852" s="4" t="s">
        <v>21</v>
      </c>
      <c r="F1852" s="3" t="s">
        <v>379</v>
      </c>
      <c r="G1852" s="3">
        <f t="shared" si="1920"/>
        <v>47.5</v>
      </c>
      <c r="H1852" s="14" t="str">
        <f t="shared" ref="H1852" si="1980">IF(NOT(ISNUMBER(VALUE(G1852))), "NA",IF(VALUE(G1852)&gt;56,"HIGH",IF(VALUE(G1852)&lt;39,"LOW", "VALUE IN RANGE")))</f>
        <v>VALUE IN RANGE</v>
      </c>
    </row>
    <row r="1853" spans="3:8" x14ac:dyDescent="0.25">
      <c r="C1853" s="13"/>
      <c r="D1853" s="4" t="s">
        <v>1587</v>
      </c>
      <c r="E1853" s="1" t="s">
        <v>23</v>
      </c>
      <c r="F1853" s="5" t="s">
        <v>1012</v>
      </c>
      <c r="G1853" s="3">
        <f t="shared" si="1920"/>
        <v>71.900000000000006</v>
      </c>
      <c r="H1853" s="14" t="str">
        <f t="shared" ref="H1853" si="1981">IF(NOT(ISNUMBER(VALUE(G1853))), "NA",IF(VALUE(G1853)&gt;72,"HIGH",IF(VALUE(G1853)&lt;62,"LOW", "VALUE IN RANGE")))</f>
        <v>VALUE IN RANGE</v>
      </c>
    </row>
    <row r="1854" spans="3:8" x14ac:dyDescent="0.25">
      <c r="C1854" s="13"/>
      <c r="D1854" s="4" t="s">
        <v>1587</v>
      </c>
      <c r="E1854" s="4" t="s">
        <v>25</v>
      </c>
      <c r="F1854" s="3" t="s">
        <v>115</v>
      </c>
      <c r="G1854" s="3">
        <f t="shared" si="1920"/>
        <v>23.1</v>
      </c>
      <c r="H1854" s="14" t="str">
        <f t="shared" ref="H1854" si="1982">IF(NOT(ISNUMBER(VALUE(G1854))), "NA",IF(VALUE(G1854)&gt;25,"HIGH",IF(VALUE(G1854)&lt;20,"LOW", "VALUE IN RANGE")))</f>
        <v>VALUE IN RANGE</v>
      </c>
    </row>
    <row r="1855" spans="3:8" x14ac:dyDescent="0.25">
      <c r="C1855" s="13"/>
      <c r="D1855" s="4" t="s">
        <v>1587</v>
      </c>
      <c r="E1855" s="1" t="s">
        <v>27</v>
      </c>
      <c r="F1855" s="5">
        <v>322</v>
      </c>
      <c r="G1855" s="3">
        <f t="shared" si="1920"/>
        <v>322</v>
      </c>
      <c r="H1855" s="14" t="str">
        <f t="shared" ref="H1855" si="1983">IF(NOT(ISNUMBER(VALUE(G1855))), "NA",IF(VALUE(G1855)&gt;380,"HIGH",IF(VALUE(G1855)&lt;300,"LOW", "VALUE IN RANGE")))</f>
        <v>VALUE IN RANGE</v>
      </c>
    </row>
    <row r="1856" spans="3:8" x14ac:dyDescent="0.25">
      <c r="C1856" s="13"/>
      <c r="D1856" s="4" t="s">
        <v>1587</v>
      </c>
      <c r="E1856" s="4" t="s">
        <v>29</v>
      </c>
      <c r="F1856" s="3" t="s">
        <v>494</v>
      </c>
      <c r="G1856" s="3">
        <f t="shared" si="1920"/>
        <v>12.3</v>
      </c>
      <c r="H1856" s="14" t="str">
        <f t="shared" ref="H1856" si="1984">IF(NOT(ISNUMBER(VALUE(G1856))), "NA",IF(VALUE(G1856)&gt;15.5,"HIGH",IF(VALUE(G1856)&lt;11,"LOW", "VALUE IN RANGE")))</f>
        <v>VALUE IN RANGE</v>
      </c>
    </row>
    <row r="1857" spans="3:8" x14ac:dyDescent="0.25">
      <c r="C1857" s="13"/>
      <c r="D1857" s="4" t="s">
        <v>1587</v>
      </c>
      <c r="E1857" s="1" t="s">
        <v>31</v>
      </c>
      <c r="F1857" s="5">
        <v>216</v>
      </c>
      <c r="G1857" s="3">
        <f t="shared" si="1920"/>
        <v>216</v>
      </c>
      <c r="H1857" s="14" t="str">
        <f t="shared" ref="H1857" si="1985">IF(NOT(ISNUMBER(VALUE(G1857))), "NA",IF(VALUE(G1857)&gt;460,"HIGH",IF(VALUE(G1857)&lt;117,"LOW", "VALUE IN RANGE")))</f>
        <v>VALUE IN RANGE</v>
      </c>
    </row>
    <row r="1858" spans="3:8" x14ac:dyDescent="0.25">
      <c r="C1858" s="13"/>
      <c r="D1858" s="4" t="s">
        <v>1587</v>
      </c>
      <c r="E1858" s="4" t="s">
        <v>33</v>
      </c>
      <c r="F1858" s="3" t="s">
        <v>404</v>
      </c>
      <c r="G1858" s="3">
        <f t="shared" si="1920"/>
        <v>8.6</v>
      </c>
      <c r="H1858" s="14" t="str">
        <f t="shared" ref="H1858" si="1986">IF(NOT(ISNUMBER(VALUE(G1858))), "NA",IF(VALUE(G1858)&gt;12,"HIGH",IF(VALUE(G1858)&lt;7,"LOW", "VALUE IN RANGE")))</f>
        <v>VALUE IN RANGE</v>
      </c>
    </row>
    <row r="1859" spans="3:8" ht="15" customHeight="1" x14ac:dyDescent="0.25">
      <c r="C1859" s="13" t="str">
        <f t="shared" ref="C1859" si="1987">IF(D1859=D1874,D1873,"falso")</f>
        <v>PATIENT_0117</v>
      </c>
      <c r="D1859" s="4" t="s">
        <v>1588</v>
      </c>
      <c r="E1859" s="1" t="s">
        <v>3</v>
      </c>
      <c r="F1859" s="5" t="s">
        <v>746</v>
      </c>
      <c r="G1859" s="3">
        <f t="shared" si="1920"/>
        <v>11</v>
      </c>
      <c r="H1859" s="14" t="str">
        <f t="shared" ref="H1859" si="1988">IF(NOT(ISNUMBER(VALUE(G1859))), "NA",IF(VALUE(G1859)&gt;17,"HIGH",IF(VALUE(G1859)&lt;6,"LOW", "VALUE IN RANGE")))</f>
        <v>VALUE IN RANGE</v>
      </c>
    </row>
    <row r="1860" spans="3:8" x14ac:dyDescent="0.25">
      <c r="C1860" s="13"/>
      <c r="D1860" s="4" t="s">
        <v>1588</v>
      </c>
      <c r="E1860" s="4" t="s">
        <v>5</v>
      </c>
      <c r="F1860" s="3" t="s">
        <v>1014</v>
      </c>
      <c r="G1860" s="3">
        <f t="shared" ref="G1860:G1923" si="1989">IFERROR(
   VALUE(
      SUBSTITUTE(
         CLEAN(
            TRIM(F1860)
         ),
         ".",
         ","
      )
   ),
   ""
)</f>
        <v>19.899999999999999</v>
      </c>
      <c r="H1860" s="14" t="str">
        <f t="shared" ref="H1860" si="1990">IF(NOT(ISNUMBER(VALUE(G1860))), "NA",IF(VALUE(G1860)&gt;30,"HIGH",IF(VALUE(G1860)&lt;12,"LOW", "VALUE IN RANGE")))</f>
        <v>VALUE IN RANGE</v>
      </c>
    </row>
    <row r="1861" spans="3:8" x14ac:dyDescent="0.25">
      <c r="C1861" s="13"/>
      <c r="D1861" s="4" t="s">
        <v>1588</v>
      </c>
      <c r="E1861" s="1" t="s">
        <v>7</v>
      </c>
      <c r="F1861" s="5" t="s">
        <v>343</v>
      </c>
      <c r="G1861" s="3">
        <f t="shared" si="1989"/>
        <v>7.8</v>
      </c>
      <c r="H1861" s="14" t="str">
        <f t="shared" ref="H1861" si="1991">IF(NOT(ISNUMBER(VALUE(G1861))), "NA",IF(VALUE(G1861)&gt;9,"HIGH",IF(VALUE(G1861)&lt;2,"LOW", "VALUE IN RANGE")))</f>
        <v>VALUE IN RANGE</v>
      </c>
    </row>
    <row r="1862" spans="3:8" x14ac:dyDescent="0.25">
      <c r="C1862" s="13"/>
      <c r="D1862" s="4" t="s">
        <v>1588</v>
      </c>
      <c r="E1862" s="4" t="s">
        <v>9</v>
      </c>
      <c r="F1862" s="3" t="s">
        <v>1015</v>
      </c>
      <c r="G1862" s="3">
        <f t="shared" si="1989"/>
        <v>72.3</v>
      </c>
      <c r="H1862" s="14" t="str">
        <f t="shared" ref="H1862" si="1992">IF(NOT(ISNUMBER(VALUE(G1862))), "NA",IF(VALUE(G1862)&gt;83,"HIGH",IF(VALUE(G1862)&lt;60,"LOW", "VALUE IN RANGE")))</f>
        <v>VALUE IN RANGE</v>
      </c>
    </row>
    <row r="1863" spans="3:8" x14ac:dyDescent="0.25">
      <c r="C1863" s="13"/>
      <c r="D1863" s="4" t="s">
        <v>1588</v>
      </c>
      <c r="E1863" s="1" t="s">
        <v>11</v>
      </c>
      <c r="F1863" s="5">
        <v>2100</v>
      </c>
      <c r="G1863" s="3">
        <f t="shared" si="1989"/>
        <v>2100</v>
      </c>
      <c r="H1863" s="14" t="str">
        <f t="shared" ref="H1863" si="1993">IF(NOT(ISNUMBER(VALUE(G1863))), "NA",IF(VALUE(G1863)&gt;5.1,"HIGH",IF(VALUE(G1863)&lt;0.8,"LOW", "VALUE IN RANGE")))</f>
        <v>HIGH</v>
      </c>
    </row>
    <row r="1864" spans="3:8" x14ac:dyDescent="0.25">
      <c r="C1864" s="13"/>
      <c r="D1864" s="4" t="s">
        <v>1588</v>
      </c>
      <c r="E1864" s="4" t="s">
        <v>13</v>
      </c>
      <c r="F1864" s="3" t="s">
        <v>476</v>
      </c>
      <c r="G1864" s="3">
        <f t="shared" si="1989"/>
        <v>0.8</v>
      </c>
      <c r="H1864" s="14" t="str">
        <f t="shared" ref="H1864" si="1994">IF(NOT(ISNUMBER(VALUE(G1864))), "NA",IF(VALUE(G1864)&gt;1.8,"HIGH",IF(VALUE(G1864)&lt;0,"LOW", "VALUE IN RANGE")))</f>
        <v>VALUE IN RANGE</v>
      </c>
    </row>
    <row r="1865" spans="3:8" x14ac:dyDescent="0.25">
      <c r="C1865" s="13"/>
      <c r="D1865" s="4" t="s">
        <v>1588</v>
      </c>
      <c r="E1865" s="1" t="s">
        <v>15</v>
      </c>
      <c r="F1865" s="5">
        <v>8100</v>
      </c>
      <c r="G1865" s="3">
        <f t="shared" si="1989"/>
        <v>8100</v>
      </c>
      <c r="H1865" s="14" t="str">
        <f t="shared" ref="H1865" si="1995">IF(NOT(ISNUMBER(VALUE(G1865))), "NA",IF(VALUE(G1865)&gt;12.6,"HIGH",IF(VALUE(G1865)&lt;4,"LOW", "VALUE IN RANGE")))</f>
        <v>HIGH</v>
      </c>
    </row>
    <row r="1866" spans="3:8" x14ac:dyDescent="0.25">
      <c r="C1866" s="13"/>
      <c r="D1866" s="4" t="s">
        <v>1588</v>
      </c>
      <c r="E1866" s="4" t="s">
        <v>17</v>
      </c>
      <c r="F1866" s="3" t="s">
        <v>286</v>
      </c>
      <c r="G1866" s="3">
        <f t="shared" si="1989"/>
        <v>6.79</v>
      </c>
      <c r="H1866" s="14" t="str">
        <f t="shared" ref="H1866" si="1996">IF(NOT(ISNUMBER(VALUE(G1866))), "NA",IF(VALUE(G1866)&gt;8.5,"HIGH",IF(VALUE(G1866)&lt;5.5,"LOW", "VALUE IN RANGE")))</f>
        <v>VALUE IN RANGE</v>
      </c>
    </row>
    <row r="1867" spans="3:8" x14ac:dyDescent="0.25">
      <c r="C1867" s="13"/>
      <c r="D1867" s="4" t="s">
        <v>1588</v>
      </c>
      <c r="E1867" s="1" t="s">
        <v>19</v>
      </c>
      <c r="F1867" s="5">
        <v>151</v>
      </c>
      <c r="G1867" s="3">
        <f t="shared" si="1989"/>
        <v>151</v>
      </c>
      <c r="H1867" s="14" t="str">
        <f t="shared" ref="H1867" si="1997">IF(NOT(ISNUMBER(VALUE(G1867))), "NA",IF(VALUE(G1867)&gt;190,"HIGH",IF(VALUE(G1867)&lt;110,"LOW", "VALUE IN RANGE")))</f>
        <v>VALUE IN RANGE</v>
      </c>
    </row>
    <row r="1868" spans="3:8" x14ac:dyDescent="0.25">
      <c r="C1868" s="13"/>
      <c r="D1868" s="4" t="s">
        <v>1588</v>
      </c>
      <c r="E1868" s="4" t="s">
        <v>21</v>
      </c>
      <c r="F1868" s="3" t="s">
        <v>448</v>
      </c>
      <c r="G1868" s="3">
        <f t="shared" si="1989"/>
        <v>47.6</v>
      </c>
      <c r="H1868" s="14" t="str">
        <f t="shared" ref="H1868" si="1998">IF(NOT(ISNUMBER(VALUE(G1868))), "NA",IF(VALUE(G1868)&gt;56,"HIGH",IF(VALUE(G1868)&lt;39,"LOW", "VALUE IN RANGE")))</f>
        <v>VALUE IN RANGE</v>
      </c>
    </row>
    <row r="1869" spans="3:8" x14ac:dyDescent="0.25">
      <c r="C1869" s="13"/>
      <c r="D1869" s="4" t="s">
        <v>1588</v>
      </c>
      <c r="E1869" s="1" t="s">
        <v>23</v>
      </c>
      <c r="F1869" s="5" t="s">
        <v>380</v>
      </c>
      <c r="G1869" s="3">
        <f t="shared" si="1989"/>
        <v>70.2</v>
      </c>
      <c r="H1869" s="14" t="str">
        <f t="shared" ref="H1869" si="1999">IF(NOT(ISNUMBER(VALUE(G1869))), "NA",IF(VALUE(G1869)&gt;72,"HIGH",IF(VALUE(G1869)&lt;62,"LOW", "VALUE IN RANGE")))</f>
        <v>VALUE IN RANGE</v>
      </c>
    </row>
    <row r="1870" spans="3:8" x14ac:dyDescent="0.25">
      <c r="C1870" s="13"/>
      <c r="D1870" s="4" t="s">
        <v>1588</v>
      </c>
      <c r="E1870" s="4" t="s">
        <v>25</v>
      </c>
      <c r="F1870" s="3" t="s">
        <v>450</v>
      </c>
      <c r="G1870" s="3">
        <f t="shared" si="1989"/>
        <v>22.2</v>
      </c>
      <c r="H1870" s="14" t="str">
        <f t="shared" ref="H1870" si="2000">IF(NOT(ISNUMBER(VALUE(G1870))), "NA",IF(VALUE(G1870)&gt;25,"HIGH",IF(VALUE(G1870)&lt;20,"LOW", "VALUE IN RANGE")))</f>
        <v>VALUE IN RANGE</v>
      </c>
    </row>
    <row r="1871" spans="3:8" x14ac:dyDescent="0.25">
      <c r="C1871" s="13"/>
      <c r="D1871" s="4" t="s">
        <v>1588</v>
      </c>
      <c r="E1871" s="1" t="s">
        <v>27</v>
      </c>
      <c r="F1871" s="5">
        <v>317</v>
      </c>
      <c r="G1871" s="3">
        <f t="shared" si="1989"/>
        <v>317</v>
      </c>
      <c r="H1871" s="14" t="str">
        <f t="shared" ref="H1871" si="2001">IF(NOT(ISNUMBER(VALUE(G1871))), "NA",IF(VALUE(G1871)&gt;380,"HIGH",IF(VALUE(G1871)&lt;300,"LOW", "VALUE IN RANGE")))</f>
        <v>VALUE IN RANGE</v>
      </c>
    </row>
    <row r="1872" spans="3:8" x14ac:dyDescent="0.25">
      <c r="C1872" s="13"/>
      <c r="D1872" s="4" t="s">
        <v>1588</v>
      </c>
      <c r="E1872" s="4" t="s">
        <v>29</v>
      </c>
      <c r="F1872" s="3" t="s">
        <v>383</v>
      </c>
      <c r="G1872" s="3">
        <f t="shared" si="1989"/>
        <v>12</v>
      </c>
      <c r="H1872" s="14" t="str">
        <f t="shared" ref="H1872" si="2002">IF(NOT(ISNUMBER(VALUE(G1872))), "NA",IF(VALUE(G1872)&gt;15.5,"HIGH",IF(VALUE(G1872)&lt;11,"LOW", "VALUE IN RANGE")))</f>
        <v>VALUE IN RANGE</v>
      </c>
    </row>
    <row r="1873" spans="3:8" x14ac:dyDescent="0.25">
      <c r="C1873" s="13"/>
      <c r="D1873" s="4" t="s">
        <v>1588</v>
      </c>
      <c r="E1873" s="1" t="s">
        <v>31</v>
      </c>
      <c r="F1873" s="5">
        <v>105</v>
      </c>
      <c r="G1873" s="3">
        <f t="shared" si="1989"/>
        <v>105</v>
      </c>
      <c r="H1873" s="14" t="str">
        <f t="shared" ref="H1873" si="2003">IF(NOT(ISNUMBER(VALUE(G1873))), "NA",IF(VALUE(G1873)&gt;460,"HIGH",IF(VALUE(G1873)&lt;117,"LOW", "VALUE IN RANGE")))</f>
        <v>LOW</v>
      </c>
    </row>
    <row r="1874" spans="3:8" x14ac:dyDescent="0.25">
      <c r="C1874" s="13"/>
      <c r="D1874" s="4" t="s">
        <v>1588</v>
      </c>
      <c r="E1874" s="4" t="s">
        <v>33</v>
      </c>
      <c r="F1874" s="3" t="s">
        <v>241</v>
      </c>
      <c r="G1874" s="3">
        <f t="shared" si="1989"/>
        <v>9.9</v>
      </c>
      <c r="H1874" s="14" t="str">
        <f t="shared" ref="H1874" si="2004">IF(NOT(ISNUMBER(VALUE(G1874))), "NA",IF(VALUE(G1874)&gt;12,"HIGH",IF(VALUE(G1874)&lt;7,"LOW", "VALUE IN RANGE")))</f>
        <v>VALUE IN RANGE</v>
      </c>
    </row>
    <row r="1875" spans="3:8" ht="15" customHeight="1" x14ac:dyDescent="0.25">
      <c r="C1875" s="13" t="str">
        <f t="shared" ref="C1875" si="2005">IF(D1875=D1890,D1889,"falso")</f>
        <v>PATIENT_0118</v>
      </c>
      <c r="D1875" s="4" t="s">
        <v>1589</v>
      </c>
      <c r="E1875" s="1" t="s">
        <v>3</v>
      </c>
      <c r="F1875" s="5" t="s">
        <v>106</v>
      </c>
      <c r="G1875" s="3">
        <f t="shared" si="1989"/>
        <v>6.5</v>
      </c>
      <c r="H1875" s="14" t="str">
        <f t="shared" ref="H1875" si="2006">IF(NOT(ISNUMBER(VALUE(G1875))), "NA",IF(VALUE(G1875)&gt;17,"HIGH",IF(VALUE(G1875)&lt;6,"LOW", "VALUE IN RANGE")))</f>
        <v>VALUE IN RANGE</v>
      </c>
    </row>
    <row r="1876" spans="3:8" x14ac:dyDescent="0.25">
      <c r="C1876" s="13"/>
      <c r="D1876" s="4" t="s">
        <v>1589</v>
      </c>
      <c r="E1876" s="4" t="s">
        <v>5</v>
      </c>
      <c r="F1876" s="3" t="s">
        <v>352</v>
      </c>
      <c r="G1876" s="3">
        <f t="shared" si="1989"/>
        <v>4.9000000000000004</v>
      </c>
      <c r="H1876" s="14" t="str">
        <f t="shared" ref="H1876" si="2007">IF(NOT(ISNUMBER(VALUE(G1876))), "NA",IF(VALUE(G1876)&gt;30,"HIGH",IF(VALUE(G1876)&lt;12,"LOW", "VALUE IN RANGE")))</f>
        <v>LOW</v>
      </c>
    </row>
    <row r="1877" spans="3:8" x14ac:dyDescent="0.25">
      <c r="C1877" s="13"/>
      <c r="D1877" s="4" t="s">
        <v>1589</v>
      </c>
      <c r="E1877" s="1" t="s">
        <v>7</v>
      </c>
      <c r="F1877" s="5" t="s">
        <v>282</v>
      </c>
      <c r="G1877" s="3">
        <f t="shared" si="1989"/>
        <v>6.4</v>
      </c>
      <c r="H1877" s="14" t="str">
        <f t="shared" ref="H1877" si="2008">IF(NOT(ISNUMBER(VALUE(G1877))), "NA",IF(VALUE(G1877)&gt;9,"HIGH",IF(VALUE(G1877)&lt;2,"LOW", "VALUE IN RANGE")))</f>
        <v>VALUE IN RANGE</v>
      </c>
    </row>
    <row r="1878" spans="3:8" x14ac:dyDescent="0.25">
      <c r="C1878" s="13"/>
      <c r="D1878" s="4" t="s">
        <v>1589</v>
      </c>
      <c r="E1878" s="4" t="s">
        <v>9</v>
      </c>
      <c r="F1878" s="3" t="s">
        <v>1017</v>
      </c>
      <c r="G1878" s="3">
        <f t="shared" si="1989"/>
        <v>88.7</v>
      </c>
      <c r="H1878" s="14" t="str">
        <f t="shared" ref="H1878" si="2009">IF(NOT(ISNUMBER(VALUE(G1878))), "NA",IF(VALUE(G1878)&gt;83,"HIGH",IF(VALUE(G1878)&lt;60,"LOW", "VALUE IN RANGE")))</f>
        <v>HIGH</v>
      </c>
    </row>
    <row r="1879" spans="3:8" x14ac:dyDescent="0.25">
      <c r="C1879" s="13"/>
      <c r="D1879" s="4" t="s">
        <v>1589</v>
      </c>
      <c r="E1879" s="1" t="s">
        <v>11</v>
      </c>
      <c r="F1879" s="5" t="s">
        <v>14</v>
      </c>
      <c r="G1879" s="3">
        <f t="shared" si="1989"/>
        <v>0.3</v>
      </c>
      <c r="H1879" s="14" t="str">
        <f t="shared" ref="H1879" si="2010">IF(NOT(ISNUMBER(VALUE(G1879))), "NA",IF(VALUE(G1879)&gt;5.1,"HIGH",IF(VALUE(G1879)&lt;0.8,"LOW", "VALUE IN RANGE")))</f>
        <v>LOW</v>
      </c>
    </row>
    <row r="1880" spans="3:8" x14ac:dyDescent="0.25">
      <c r="C1880" s="13"/>
      <c r="D1880" s="4" t="s">
        <v>1589</v>
      </c>
      <c r="E1880" s="4" t="s">
        <v>13</v>
      </c>
      <c r="F1880" s="3" t="s">
        <v>167</v>
      </c>
      <c r="G1880" s="3">
        <f t="shared" si="1989"/>
        <v>0.4</v>
      </c>
      <c r="H1880" s="14" t="str">
        <f t="shared" ref="H1880" si="2011">IF(NOT(ISNUMBER(VALUE(G1880))), "NA",IF(VALUE(G1880)&gt;1.8,"HIGH",IF(VALUE(G1880)&lt;0,"LOW", "VALUE IN RANGE")))</f>
        <v>VALUE IN RANGE</v>
      </c>
    </row>
    <row r="1881" spans="3:8" x14ac:dyDescent="0.25">
      <c r="C1881" s="13"/>
      <c r="D1881" s="4" t="s">
        <v>1589</v>
      </c>
      <c r="E1881" s="1" t="s">
        <v>15</v>
      </c>
      <c r="F1881" s="5">
        <v>5800</v>
      </c>
      <c r="G1881" s="3">
        <f t="shared" si="1989"/>
        <v>5800</v>
      </c>
      <c r="H1881" s="14" t="str">
        <f t="shared" ref="H1881" si="2012">IF(NOT(ISNUMBER(VALUE(G1881))), "NA",IF(VALUE(G1881)&gt;12.6,"HIGH",IF(VALUE(G1881)&lt;4,"LOW", "VALUE IN RANGE")))</f>
        <v>HIGH</v>
      </c>
    </row>
    <row r="1882" spans="3:8" x14ac:dyDescent="0.25">
      <c r="C1882" s="13"/>
      <c r="D1882" s="4" t="s">
        <v>1589</v>
      </c>
      <c r="E1882" s="4" t="s">
        <v>17</v>
      </c>
      <c r="F1882" s="3" t="s">
        <v>1018</v>
      </c>
      <c r="G1882" s="3">
        <f t="shared" si="1989"/>
        <v>6.53</v>
      </c>
      <c r="H1882" s="14" t="str">
        <f t="shared" ref="H1882" si="2013">IF(NOT(ISNUMBER(VALUE(G1882))), "NA",IF(VALUE(G1882)&gt;8.5,"HIGH",IF(VALUE(G1882)&lt;5.5,"LOW", "VALUE IN RANGE")))</f>
        <v>VALUE IN RANGE</v>
      </c>
    </row>
    <row r="1883" spans="3:8" x14ac:dyDescent="0.25">
      <c r="C1883" s="13"/>
      <c r="D1883" s="4" t="s">
        <v>1589</v>
      </c>
      <c r="E1883" s="1" t="s">
        <v>19</v>
      </c>
      <c r="F1883" s="5">
        <v>141</v>
      </c>
      <c r="G1883" s="3">
        <f t="shared" si="1989"/>
        <v>141</v>
      </c>
      <c r="H1883" s="14" t="str">
        <f t="shared" ref="H1883" si="2014">IF(NOT(ISNUMBER(VALUE(G1883))), "NA",IF(VALUE(G1883)&gt;190,"HIGH",IF(VALUE(G1883)&lt;110,"LOW", "VALUE IN RANGE")))</f>
        <v>VALUE IN RANGE</v>
      </c>
    </row>
    <row r="1884" spans="3:8" x14ac:dyDescent="0.25">
      <c r="C1884" s="13"/>
      <c r="D1884" s="4" t="s">
        <v>1589</v>
      </c>
      <c r="E1884" s="4" t="s">
        <v>21</v>
      </c>
      <c r="F1884" s="3" t="s">
        <v>1020</v>
      </c>
      <c r="G1884" s="3">
        <f t="shared" si="1989"/>
        <v>44.2</v>
      </c>
      <c r="H1884" s="14" t="str">
        <f t="shared" ref="H1884" si="2015">IF(NOT(ISNUMBER(VALUE(G1884))), "NA",IF(VALUE(G1884)&gt;56,"HIGH",IF(VALUE(G1884)&lt;39,"LOW", "VALUE IN RANGE")))</f>
        <v>VALUE IN RANGE</v>
      </c>
    </row>
    <row r="1885" spans="3:8" x14ac:dyDescent="0.25">
      <c r="C1885" s="13"/>
      <c r="D1885" s="4" t="s">
        <v>1589</v>
      </c>
      <c r="E1885" s="1" t="s">
        <v>23</v>
      </c>
      <c r="F1885" s="5" t="s">
        <v>1021</v>
      </c>
      <c r="G1885" s="3">
        <f t="shared" si="1989"/>
        <v>67.7</v>
      </c>
      <c r="H1885" s="14" t="str">
        <f t="shared" ref="H1885" si="2016">IF(NOT(ISNUMBER(VALUE(G1885))), "NA",IF(VALUE(G1885)&gt;72,"HIGH",IF(VALUE(G1885)&lt;62,"LOW", "VALUE IN RANGE")))</f>
        <v>VALUE IN RANGE</v>
      </c>
    </row>
    <row r="1886" spans="3:8" x14ac:dyDescent="0.25">
      <c r="C1886" s="13"/>
      <c r="D1886" s="4" t="s">
        <v>1589</v>
      </c>
      <c r="E1886" s="4" t="s">
        <v>25</v>
      </c>
      <c r="F1886" s="3" t="s">
        <v>493</v>
      </c>
      <c r="G1886" s="3">
        <f t="shared" si="1989"/>
        <v>21.5</v>
      </c>
      <c r="H1886" s="14" t="str">
        <f t="shared" ref="H1886" si="2017">IF(NOT(ISNUMBER(VALUE(G1886))), "NA",IF(VALUE(G1886)&gt;25,"HIGH",IF(VALUE(G1886)&lt;20,"LOW", "VALUE IN RANGE")))</f>
        <v>VALUE IN RANGE</v>
      </c>
    </row>
    <row r="1887" spans="3:8" x14ac:dyDescent="0.25">
      <c r="C1887" s="13"/>
      <c r="D1887" s="4" t="s">
        <v>1589</v>
      </c>
      <c r="E1887" s="1" t="s">
        <v>27</v>
      </c>
      <c r="F1887" s="5">
        <v>319</v>
      </c>
      <c r="G1887" s="3">
        <f t="shared" si="1989"/>
        <v>319</v>
      </c>
      <c r="H1887" s="14" t="str">
        <f t="shared" ref="H1887" si="2018">IF(NOT(ISNUMBER(VALUE(G1887))), "NA",IF(VALUE(G1887)&gt;380,"HIGH",IF(VALUE(G1887)&lt;300,"LOW", "VALUE IN RANGE")))</f>
        <v>VALUE IN RANGE</v>
      </c>
    </row>
    <row r="1888" spans="3:8" x14ac:dyDescent="0.25">
      <c r="C1888" s="13"/>
      <c r="D1888" s="4" t="s">
        <v>1589</v>
      </c>
      <c r="E1888" s="4" t="s">
        <v>29</v>
      </c>
      <c r="F1888" s="3" t="s">
        <v>174</v>
      </c>
      <c r="G1888" s="3">
        <f t="shared" si="1989"/>
        <v>12.5</v>
      </c>
      <c r="H1888" s="14" t="str">
        <f t="shared" ref="H1888" si="2019">IF(NOT(ISNUMBER(VALUE(G1888))), "NA",IF(VALUE(G1888)&gt;15.5,"HIGH",IF(VALUE(G1888)&lt;11,"LOW", "VALUE IN RANGE")))</f>
        <v>VALUE IN RANGE</v>
      </c>
    </row>
    <row r="1889" spans="3:8" x14ac:dyDescent="0.25">
      <c r="C1889" s="13"/>
      <c r="D1889" s="4" t="s">
        <v>1589</v>
      </c>
      <c r="E1889" s="1" t="s">
        <v>31</v>
      </c>
      <c r="F1889" s="5">
        <v>28</v>
      </c>
      <c r="G1889" s="3">
        <f t="shared" si="1989"/>
        <v>28</v>
      </c>
      <c r="H1889" s="14" t="str">
        <f t="shared" ref="H1889" si="2020">IF(NOT(ISNUMBER(VALUE(G1889))), "NA",IF(VALUE(G1889)&gt;460,"HIGH",IF(VALUE(G1889)&lt;117,"LOW", "VALUE IN RANGE")))</f>
        <v>LOW</v>
      </c>
    </row>
    <row r="1890" spans="3:8" x14ac:dyDescent="0.25">
      <c r="C1890" s="13"/>
      <c r="D1890" s="4" t="s">
        <v>1589</v>
      </c>
      <c r="E1890" s="4" t="s">
        <v>33</v>
      </c>
      <c r="F1890" s="3" t="s">
        <v>372</v>
      </c>
      <c r="G1890" s="3">
        <f t="shared" si="1989"/>
        <v>7.7</v>
      </c>
      <c r="H1890" s="14" t="str">
        <f t="shared" ref="H1890" si="2021">IF(NOT(ISNUMBER(VALUE(G1890))), "NA",IF(VALUE(G1890)&gt;12,"HIGH",IF(VALUE(G1890)&lt;7,"LOW", "VALUE IN RANGE")))</f>
        <v>VALUE IN RANGE</v>
      </c>
    </row>
    <row r="1891" spans="3:8" ht="15" customHeight="1" x14ac:dyDescent="0.25">
      <c r="C1891" s="13" t="str">
        <f t="shared" ref="C1891" si="2022">IF(D1891=D1906,D1905,"falso")</f>
        <v>PATIENT_0119</v>
      </c>
      <c r="D1891" s="4" t="s">
        <v>1590</v>
      </c>
      <c r="E1891" s="1" t="s">
        <v>3</v>
      </c>
      <c r="F1891" s="5" t="s">
        <v>1023</v>
      </c>
      <c r="G1891" s="3">
        <f t="shared" si="1989"/>
        <v>21</v>
      </c>
      <c r="H1891" s="14" t="str">
        <f t="shared" ref="H1891" si="2023">IF(NOT(ISNUMBER(VALUE(G1891))), "NA",IF(VALUE(G1891)&gt;17,"HIGH",IF(VALUE(G1891)&lt;6,"LOW", "VALUE IN RANGE")))</f>
        <v>HIGH</v>
      </c>
    </row>
    <row r="1892" spans="3:8" x14ac:dyDescent="0.25">
      <c r="C1892" s="13"/>
      <c r="D1892" s="4" t="s">
        <v>1590</v>
      </c>
      <c r="E1892" s="4" t="s">
        <v>5</v>
      </c>
      <c r="F1892" s="3" t="s">
        <v>527</v>
      </c>
      <c r="G1892" s="3">
        <f t="shared" si="1989"/>
        <v>14</v>
      </c>
      <c r="H1892" s="14" t="str">
        <f t="shared" ref="H1892" si="2024">IF(NOT(ISNUMBER(VALUE(G1892))), "NA",IF(VALUE(G1892)&gt;30,"HIGH",IF(VALUE(G1892)&lt;12,"LOW", "VALUE IN RANGE")))</f>
        <v>VALUE IN RANGE</v>
      </c>
    </row>
    <row r="1893" spans="3:8" x14ac:dyDescent="0.25">
      <c r="C1893" s="13"/>
      <c r="D1893" s="4" t="s">
        <v>1590</v>
      </c>
      <c r="E1893" s="1" t="s">
        <v>7</v>
      </c>
      <c r="F1893" s="5" t="s">
        <v>65</v>
      </c>
      <c r="G1893" s="3">
        <f t="shared" si="1989"/>
        <v>5.0999999999999996</v>
      </c>
      <c r="H1893" s="14" t="str">
        <f t="shared" ref="H1893" si="2025">IF(NOT(ISNUMBER(VALUE(G1893))), "NA",IF(VALUE(G1893)&gt;9,"HIGH",IF(VALUE(G1893)&lt;2,"LOW", "VALUE IN RANGE")))</f>
        <v>VALUE IN RANGE</v>
      </c>
    </row>
    <row r="1894" spans="3:8" x14ac:dyDescent="0.25">
      <c r="C1894" s="13"/>
      <c r="D1894" s="4" t="s">
        <v>1590</v>
      </c>
      <c r="E1894" s="4" t="s">
        <v>9</v>
      </c>
      <c r="F1894" s="3" t="s">
        <v>1024</v>
      </c>
      <c r="G1894" s="3">
        <f t="shared" si="1989"/>
        <v>80.900000000000006</v>
      </c>
      <c r="H1894" s="14" t="str">
        <f t="shared" ref="H1894" si="2026">IF(NOT(ISNUMBER(VALUE(G1894))), "NA",IF(VALUE(G1894)&gt;83,"HIGH",IF(VALUE(G1894)&lt;60,"LOW", "VALUE IN RANGE")))</f>
        <v>VALUE IN RANGE</v>
      </c>
    </row>
    <row r="1895" spans="3:8" x14ac:dyDescent="0.25">
      <c r="C1895" s="13"/>
      <c r="D1895" s="4" t="s">
        <v>1590</v>
      </c>
      <c r="E1895" s="1" t="s">
        <v>11</v>
      </c>
      <c r="F1895" s="5">
        <v>2900</v>
      </c>
      <c r="G1895" s="3">
        <f t="shared" si="1989"/>
        <v>2900</v>
      </c>
      <c r="H1895" s="14" t="str">
        <f t="shared" ref="H1895" si="2027">IF(NOT(ISNUMBER(VALUE(G1895))), "NA",IF(VALUE(G1895)&gt;5.1,"HIGH",IF(VALUE(G1895)&lt;0.8,"LOW", "VALUE IN RANGE")))</f>
        <v>HIGH</v>
      </c>
    </row>
    <row r="1896" spans="3:8" x14ac:dyDescent="0.25">
      <c r="C1896" s="13"/>
      <c r="D1896" s="4" t="s">
        <v>1590</v>
      </c>
      <c r="E1896" s="4" t="s">
        <v>13</v>
      </c>
      <c r="F1896" s="3">
        <v>1000</v>
      </c>
      <c r="G1896" s="3">
        <f t="shared" si="1989"/>
        <v>1000</v>
      </c>
      <c r="H1896" s="14" t="str">
        <f t="shared" ref="H1896" si="2028">IF(NOT(ISNUMBER(VALUE(G1896))), "NA",IF(VALUE(G1896)&gt;1.8,"HIGH",IF(VALUE(G1896)&lt;0,"LOW", "VALUE IN RANGE")))</f>
        <v>HIGH</v>
      </c>
    </row>
    <row r="1897" spans="3:8" x14ac:dyDescent="0.25">
      <c r="C1897" s="13"/>
      <c r="D1897" s="4" t="s">
        <v>1590</v>
      </c>
      <c r="E1897" s="1" t="s">
        <v>15</v>
      </c>
      <c r="F1897" s="5">
        <v>17100</v>
      </c>
      <c r="G1897" s="3">
        <f t="shared" si="1989"/>
        <v>17100</v>
      </c>
      <c r="H1897" s="14" t="str">
        <f t="shared" ref="H1897" si="2029">IF(NOT(ISNUMBER(VALUE(G1897))), "NA",IF(VALUE(G1897)&gt;12.6,"HIGH",IF(VALUE(G1897)&lt;4,"LOW", "VALUE IN RANGE")))</f>
        <v>HIGH</v>
      </c>
    </row>
    <row r="1898" spans="3:8" x14ac:dyDescent="0.25">
      <c r="C1898" s="13"/>
      <c r="D1898" s="4" t="s">
        <v>1590</v>
      </c>
      <c r="E1898" s="4" t="s">
        <v>17</v>
      </c>
      <c r="F1898" s="3" t="s">
        <v>1026</v>
      </c>
      <c r="G1898" s="3">
        <f t="shared" si="1989"/>
        <v>5.24</v>
      </c>
      <c r="H1898" s="14" t="str">
        <f t="shared" ref="H1898" si="2030">IF(NOT(ISNUMBER(VALUE(G1898))), "NA",IF(VALUE(G1898)&gt;8.5,"HIGH",IF(VALUE(G1898)&lt;5.5,"LOW", "VALUE IN RANGE")))</f>
        <v>LOW</v>
      </c>
    </row>
    <row r="1899" spans="3:8" x14ac:dyDescent="0.25">
      <c r="C1899" s="13"/>
      <c r="D1899" s="4" t="s">
        <v>1590</v>
      </c>
      <c r="E1899" s="1" t="s">
        <v>19</v>
      </c>
      <c r="F1899" s="5">
        <v>103</v>
      </c>
      <c r="G1899" s="3">
        <f t="shared" si="1989"/>
        <v>103</v>
      </c>
      <c r="H1899" s="14" t="str">
        <f t="shared" ref="H1899" si="2031">IF(NOT(ISNUMBER(VALUE(G1899))), "NA",IF(VALUE(G1899)&gt;190,"HIGH",IF(VALUE(G1899)&lt;110,"LOW", "VALUE IN RANGE")))</f>
        <v>LOW</v>
      </c>
    </row>
    <row r="1900" spans="3:8" x14ac:dyDescent="0.25">
      <c r="C1900" s="13"/>
      <c r="D1900" s="4" t="s">
        <v>1590</v>
      </c>
      <c r="E1900" s="4" t="s">
        <v>21</v>
      </c>
      <c r="F1900" s="3" t="s">
        <v>1027</v>
      </c>
      <c r="G1900" s="3">
        <f t="shared" si="1989"/>
        <v>33.700000000000003</v>
      </c>
      <c r="H1900" s="14" t="str">
        <f t="shared" ref="H1900" si="2032">IF(NOT(ISNUMBER(VALUE(G1900))), "NA",IF(VALUE(G1900)&gt;56,"HIGH",IF(VALUE(G1900)&lt;39,"LOW", "VALUE IN RANGE")))</f>
        <v>LOW</v>
      </c>
    </row>
    <row r="1901" spans="3:8" x14ac:dyDescent="0.25">
      <c r="C1901" s="13"/>
      <c r="D1901" s="4" t="s">
        <v>1590</v>
      </c>
      <c r="E1901" s="1" t="s">
        <v>23</v>
      </c>
      <c r="F1901" s="5" t="s">
        <v>1028</v>
      </c>
      <c r="G1901" s="3">
        <f t="shared" si="1989"/>
        <v>64.400000000000006</v>
      </c>
      <c r="H1901" s="14" t="str">
        <f t="shared" ref="H1901" si="2033">IF(NOT(ISNUMBER(VALUE(G1901))), "NA",IF(VALUE(G1901)&gt;72,"HIGH",IF(VALUE(G1901)&lt;62,"LOW", "VALUE IN RANGE")))</f>
        <v>VALUE IN RANGE</v>
      </c>
    </row>
    <row r="1902" spans="3:8" x14ac:dyDescent="0.25">
      <c r="C1902" s="13"/>
      <c r="D1902" s="4" t="s">
        <v>1590</v>
      </c>
      <c r="E1902" s="4" t="s">
        <v>25</v>
      </c>
      <c r="F1902" s="3" t="s">
        <v>513</v>
      </c>
      <c r="G1902" s="3">
        <f t="shared" si="1989"/>
        <v>19.600000000000001</v>
      </c>
      <c r="H1902" s="14" t="str">
        <f t="shared" ref="H1902" si="2034">IF(NOT(ISNUMBER(VALUE(G1902))), "NA",IF(VALUE(G1902)&gt;25,"HIGH",IF(VALUE(G1902)&lt;20,"LOW", "VALUE IN RANGE")))</f>
        <v>LOW</v>
      </c>
    </row>
    <row r="1903" spans="3:8" x14ac:dyDescent="0.25">
      <c r="C1903" s="13"/>
      <c r="D1903" s="4" t="s">
        <v>1590</v>
      </c>
      <c r="E1903" s="1" t="s">
        <v>27</v>
      </c>
      <c r="F1903" s="5">
        <v>305</v>
      </c>
      <c r="G1903" s="3">
        <f t="shared" si="1989"/>
        <v>305</v>
      </c>
      <c r="H1903" s="14" t="str">
        <f t="shared" ref="H1903" si="2035">IF(NOT(ISNUMBER(VALUE(G1903))), "NA",IF(VALUE(G1903)&gt;380,"HIGH",IF(VALUE(G1903)&lt;300,"LOW", "VALUE IN RANGE")))</f>
        <v>VALUE IN RANGE</v>
      </c>
    </row>
    <row r="1904" spans="3:8" x14ac:dyDescent="0.25">
      <c r="C1904" s="13"/>
      <c r="D1904" s="4" t="s">
        <v>1590</v>
      </c>
      <c r="E1904" s="4" t="s">
        <v>29</v>
      </c>
      <c r="F1904" s="3" t="s">
        <v>471</v>
      </c>
      <c r="G1904" s="3">
        <f t="shared" si="1989"/>
        <v>13.1</v>
      </c>
      <c r="H1904" s="14" t="str">
        <f t="shared" ref="H1904" si="2036">IF(NOT(ISNUMBER(VALUE(G1904))), "NA",IF(VALUE(G1904)&gt;15.5,"HIGH",IF(VALUE(G1904)&lt;11,"LOW", "VALUE IN RANGE")))</f>
        <v>VALUE IN RANGE</v>
      </c>
    </row>
    <row r="1905" spans="3:8" x14ac:dyDescent="0.25">
      <c r="C1905" s="13"/>
      <c r="D1905" s="4" t="s">
        <v>1590</v>
      </c>
      <c r="E1905" s="1" t="s">
        <v>31</v>
      </c>
      <c r="F1905" s="5">
        <v>279</v>
      </c>
      <c r="G1905" s="3">
        <f t="shared" si="1989"/>
        <v>279</v>
      </c>
      <c r="H1905" s="14" t="str">
        <f t="shared" ref="H1905" si="2037">IF(NOT(ISNUMBER(VALUE(G1905))), "NA",IF(VALUE(G1905)&gt;460,"HIGH",IF(VALUE(G1905)&lt;117,"LOW", "VALUE IN RANGE")))</f>
        <v>VALUE IN RANGE</v>
      </c>
    </row>
    <row r="1906" spans="3:8" x14ac:dyDescent="0.25">
      <c r="C1906" s="13"/>
      <c r="D1906" s="4" t="s">
        <v>1590</v>
      </c>
      <c r="E1906" s="4" t="s">
        <v>33</v>
      </c>
      <c r="F1906" s="3" t="s">
        <v>901</v>
      </c>
      <c r="G1906" s="3">
        <f t="shared" si="1989"/>
        <v>10.4</v>
      </c>
      <c r="H1906" s="14" t="str">
        <f t="shared" ref="H1906" si="2038">IF(NOT(ISNUMBER(VALUE(G1906))), "NA",IF(VALUE(G1906)&gt;12,"HIGH",IF(VALUE(G1906)&lt;7,"LOW", "VALUE IN RANGE")))</f>
        <v>VALUE IN RANGE</v>
      </c>
    </row>
    <row r="1907" spans="3:8" ht="15" customHeight="1" x14ac:dyDescent="0.25">
      <c r="C1907" s="13" t="str">
        <f t="shared" ref="C1907" si="2039">IF(D1907=D1922,D1921,"falso")</f>
        <v>PATIENT_0120</v>
      </c>
      <c r="D1907" s="4" t="s">
        <v>1591</v>
      </c>
      <c r="E1907" s="1" t="s">
        <v>3</v>
      </c>
      <c r="F1907" s="5" t="s">
        <v>755</v>
      </c>
      <c r="G1907" s="3">
        <f t="shared" si="1989"/>
        <v>3.6</v>
      </c>
      <c r="H1907" s="14" t="str">
        <f t="shared" ref="H1907" si="2040">IF(NOT(ISNUMBER(VALUE(G1907))), "NA",IF(VALUE(G1907)&gt;17,"HIGH",IF(VALUE(G1907)&lt;6,"LOW", "VALUE IN RANGE")))</f>
        <v>LOW</v>
      </c>
    </row>
    <row r="1908" spans="3:8" x14ac:dyDescent="0.25">
      <c r="C1908" s="13"/>
      <c r="D1908" s="4" t="s">
        <v>1591</v>
      </c>
      <c r="E1908" s="4" t="s">
        <v>5</v>
      </c>
      <c r="F1908" s="3" t="s">
        <v>1029</v>
      </c>
      <c r="G1908" s="3">
        <f t="shared" si="1989"/>
        <v>19</v>
      </c>
      <c r="H1908" s="14" t="str">
        <f t="shared" ref="H1908" si="2041">IF(NOT(ISNUMBER(VALUE(G1908))), "NA",IF(VALUE(G1908)&gt;30,"HIGH",IF(VALUE(G1908)&lt;12,"LOW", "VALUE IN RANGE")))</f>
        <v>VALUE IN RANGE</v>
      </c>
    </row>
    <row r="1909" spans="3:8" x14ac:dyDescent="0.25">
      <c r="C1909" s="13"/>
      <c r="D1909" s="4" t="s">
        <v>1591</v>
      </c>
      <c r="E1909" s="1" t="s">
        <v>7</v>
      </c>
      <c r="F1909" s="5" t="s">
        <v>396</v>
      </c>
      <c r="G1909" s="3">
        <f t="shared" si="1989"/>
        <v>4.4000000000000004</v>
      </c>
      <c r="H1909" s="14" t="str">
        <f t="shared" ref="H1909" si="2042">IF(NOT(ISNUMBER(VALUE(G1909))), "NA",IF(VALUE(G1909)&gt;9,"HIGH",IF(VALUE(G1909)&lt;2,"LOW", "VALUE IN RANGE")))</f>
        <v>VALUE IN RANGE</v>
      </c>
    </row>
    <row r="1910" spans="3:8" x14ac:dyDescent="0.25">
      <c r="C1910" s="13"/>
      <c r="D1910" s="4" t="s">
        <v>1591</v>
      </c>
      <c r="E1910" s="4" t="s">
        <v>9</v>
      </c>
      <c r="F1910" s="3" t="s">
        <v>1030</v>
      </c>
      <c r="G1910" s="3">
        <f t="shared" si="1989"/>
        <v>76.599999999999994</v>
      </c>
      <c r="H1910" s="14" t="str">
        <f t="shared" ref="H1910" si="2043">IF(NOT(ISNUMBER(VALUE(G1910))), "NA",IF(VALUE(G1910)&gt;83,"HIGH",IF(VALUE(G1910)&lt;60,"LOW", "VALUE IN RANGE")))</f>
        <v>VALUE IN RANGE</v>
      </c>
    </row>
    <row r="1911" spans="3:8" x14ac:dyDescent="0.25">
      <c r="C1911" s="13"/>
      <c r="D1911" s="4" t="s">
        <v>1591</v>
      </c>
      <c r="E1911" s="1" t="s">
        <v>11</v>
      </c>
      <c r="F1911" s="5" t="s">
        <v>52</v>
      </c>
      <c r="G1911" s="3">
        <f t="shared" si="1989"/>
        <v>0.6</v>
      </c>
      <c r="H1911" s="14" t="str">
        <f t="shared" ref="H1911" si="2044">IF(NOT(ISNUMBER(VALUE(G1911))), "NA",IF(VALUE(G1911)&gt;5.1,"HIGH",IF(VALUE(G1911)&lt;0.8,"LOW", "VALUE IN RANGE")))</f>
        <v>LOW</v>
      </c>
    </row>
    <row r="1912" spans="3:8" x14ac:dyDescent="0.25">
      <c r="C1912" s="13"/>
      <c r="D1912" s="4" t="s">
        <v>1591</v>
      </c>
      <c r="E1912" s="4" t="s">
        <v>13</v>
      </c>
      <c r="F1912" s="3" t="s">
        <v>40</v>
      </c>
      <c r="G1912" s="3">
        <f t="shared" si="1989"/>
        <v>0.1</v>
      </c>
      <c r="H1912" s="14" t="str">
        <f t="shared" ref="H1912" si="2045">IF(NOT(ISNUMBER(VALUE(G1912))), "NA",IF(VALUE(G1912)&gt;1.8,"HIGH",IF(VALUE(G1912)&lt;0,"LOW", "VALUE IN RANGE")))</f>
        <v>VALUE IN RANGE</v>
      </c>
    </row>
    <row r="1913" spans="3:8" x14ac:dyDescent="0.25">
      <c r="C1913" s="13"/>
      <c r="D1913" s="4" t="s">
        <v>1591</v>
      </c>
      <c r="E1913" s="1" t="s">
        <v>15</v>
      </c>
      <c r="F1913" s="5">
        <v>2900</v>
      </c>
      <c r="G1913" s="3">
        <f t="shared" si="1989"/>
        <v>2900</v>
      </c>
      <c r="H1913" s="14" t="str">
        <f t="shared" ref="H1913" si="2046">IF(NOT(ISNUMBER(VALUE(G1913))), "NA",IF(VALUE(G1913)&gt;12.6,"HIGH",IF(VALUE(G1913)&lt;4,"LOW", "VALUE IN RANGE")))</f>
        <v>HIGH</v>
      </c>
    </row>
    <row r="1914" spans="3:8" x14ac:dyDescent="0.25">
      <c r="C1914" s="13"/>
      <c r="D1914" s="4" t="s">
        <v>1591</v>
      </c>
      <c r="E1914" s="4" t="s">
        <v>17</v>
      </c>
      <c r="F1914" s="3" t="s">
        <v>300</v>
      </c>
      <c r="G1914" s="3">
        <f t="shared" si="1989"/>
        <v>7.59</v>
      </c>
      <c r="H1914" s="14" t="str">
        <f t="shared" ref="H1914" si="2047">IF(NOT(ISNUMBER(VALUE(G1914))), "NA",IF(VALUE(G1914)&gt;8.5,"HIGH",IF(VALUE(G1914)&lt;5.5,"LOW", "VALUE IN RANGE")))</f>
        <v>VALUE IN RANGE</v>
      </c>
    </row>
    <row r="1915" spans="3:8" x14ac:dyDescent="0.25">
      <c r="C1915" s="13"/>
      <c r="D1915" s="4" t="s">
        <v>1591</v>
      </c>
      <c r="E1915" s="1" t="s">
        <v>19</v>
      </c>
      <c r="F1915" s="5">
        <v>100</v>
      </c>
      <c r="G1915" s="3">
        <f t="shared" si="1989"/>
        <v>100</v>
      </c>
      <c r="H1915" s="14" t="str">
        <f t="shared" ref="H1915" si="2048">IF(NOT(ISNUMBER(VALUE(G1915))), "NA",IF(VALUE(G1915)&gt;190,"HIGH",IF(VALUE(G1915)&lt;110,"LOW", "VALUE IN RANGE")))</f>
        <v>LOW</v>
      </c>
    </row>
    <row r="1916" spans="3:8" x14ac:dyDescent="0.25">
      <c r="C1916" s="13"/>
      <c r="D1916" s="4" t="s">
        <v>1591</v>
      </c>
      <c r="E1916" s="4" t="s">
        <v>21</v>
      </c>
      <c r="F1916" s="3" t="s">
        <v>1031</v>
      </c>
      <c r="G1916" s="3">
        <f t="shared" si="1989"/>
        <v>31.1</v>
      </c>
      <c r="H1916" s="14" t="str">
        <f t="shared" ref="H1916" si="2049">IF(NOT(ISNUMBER(VALUE(G1916))), "NA",IF(VALUE(G1916)&gt;56,"HIGH",IF(VALUE(G1916)&lt;39,"LOW", "VALUE IN RANGE")))</f>
        <v>LOW</v>
      </c>
    </row>
    <row r="1917" spans="3:8" x14ac:dyDescent="0.25">
      <c r="C1917" s="13"/>
      <c r="D1917" s="4" t="s">
        <v>1591</v>
      </c>
      <c r="E1917" s="1" t="s">
        <v>23</v>
      </c>
      <c r="F1917" s="5" t="s">
        <v>708</v>
      </c>
      <c r="G1917" s="3">
        <f t="shared" si="1989"/>
        <v>41.1</v>
      </c>
      <c r="H1917" s="14" t="str">
        <f t="shared" ref="H1917" si="2050">IF(NOT(ISNUMBER(VALUE(G1917))), "NA",IF(VALUE(G1917)&gt;72,"HIGH",IF(VALUE(G1917)&lt;62,"LOW", "VALUE IN RANGE")))</f>
        <v>LOW</v>
      </c>
    </row>
    <row r="1918" spans="3:8" x14ac:dyDescent="0.25">
      <c r="C1918" s="13"/>
      <c r="D1918" s="4" t="s">
        <v>1591</v>
      </c>
      <c r="E1918" s="4" t="s">
        <v>25</v>
      </c>
      <c r="F1918" s="3" t="s">
        <v>471</v>
      </c>
      <c r="G1918" s="3">
        <f t="shared" si="1989"/>
        <v>13.1</v>
      </c>
      <c r="H1918" s="14" t="str">
        <f t="shared" ref="H1918" si="2051">IF(NOT(ISNUMBER(VALUE(G1918))), "NA",IF(VALUE(G1918)&gt;25,"HIGH",IF(VALUE(G1918)&lt;20,"LOW", "VALUE IN RANGE")))</f>
        <v>LOW</v>
      </c>
    </row>
    <row r="1919" spans="3:8" x14ac:dyDescent="0.25">
      <c r="C1919" s="13"/>
      <c r="D1919" s="4" t="s">
        <v>1591</v>
      </c>
      <c r="E1919" s="1" t="s">
        <v>27</v>
      </c>
      <c r="F1919" s="5">
        <v>321</v>
      </c>
      <c r="G1919" s="3">
        <f t="shared" si="1989"/>
        <v>321</v>
      </c>
      <c r="H1919" s="14" t="str">
        <f t="shared" ref="H1919" si="2052">IF(NOT(ISNUMBER(VALUE(G1919))), "NA",IF(VALUE(G1919)&gt;380,"HIGH",IF(VALUE(G1919)&lt;300,"LOW", "VALUE IN RANGE")))</f>
        <v>VALUE IN RANGE</v>
      </c>
    </row>
    <row r="1920" spans="3:8" x14ac:dyDescent="0.25">
      <c r="C1920" s="13"/>
      <c r="D1920" s="4" t="s">
        <v>1591</v>
      </c>
      <c r="E1920" s="4" t="s">
        <v>29</v>
      </c>
      <c r="F1920" s="3" t="s">
        <v>1032</v>
      </c>
      <c r="G1920" s="3">
        <f t="shared" si="1989"/>
        <v>15.6</v>
      </c>
      <c r="H1920" s="14" t="str">
        <f t="shared" ref="H1920" si="2053">IF(NOT(ISNUMBER(VALUE(G1920))), "NA",IF(VALUE(G1920)&gt;15.5,"HIGH",IF(VALUE(G1920)&lt;11,"LOW", "VALUE IN RANGE")))</f>
        <v>HIGH</v>
      </c>
    </row>
    <row r="1921" spans="3:8" x14ac:dyDescent="0.25">
      <c r="C1921" s="13"/>
      <c r="D1921" s="4" t="s">
        <v>1591</v>
      </c>
      <c r="E1921" s="1" t="s">
        <v>31</v>
      </c>
      <c r="F1921" s="5">
        <v>151</v>
      </c>
      <c r="G1921" s="3">
        <f t="shared" si="1989"/>
        <v>151</v>
      </c>
      <c r="H1921" s="14" t="str">
        <f t="shared" ref="H1921" si="2054">IF(NOT(ISNUMBER(VALUE(G1921))), "NA",IF(VALUE(G1921)&gt;460,"HIGH",IF(VALUE(G1921)&lt;117,"LOW", "VALUE IN RANGE")))</f>
        <v>VALUE IN RANGE</v>
      </c>
    </row>
    <row r="1922" spans="3:8" x14ac:dyDescent="0.25">
      <c r="C1922" s="13"/>
      <c r="D1922" s="4" t="s">
        <v>1591</v>
      </c>
      <c r="E1922" s="4" t="s">
        <v>33</v>
      </c>
      <c r="F1922" s="3" t="s">
        <v>1033</v>
      </c>
      <c r="G1922" s="3">
        <f t="shared" si="1989"/>
        <v>10.1</v>
      </c>
      <c r="H1922" s="14" t="str">
        <f t="shared" ref="H1922" si="2055">IF(NOT(ISNUMBER(VALUE(G1922))), "NA",IF(VALUE(G1922)&gt;12,"HIGH",IF(VALUE(G1922)&lt;7,"LOW", "VALUE IN RANGE")))</f>
        <v>VALUE IN RANGE</v>
      </c>
    </row>
    <row r="1923" spans="3:8" ht="15" customHeight="1" x14ac:dyDescent="0.25">
      <c r="C1923" s="13" t="str">
        <f t="shared" ref="C1923" si="2056">IF(D1923=D1938,D1937,"falso")</f>
        <v>PATIENT_0121</v>
      </c>
      <c r="D1923" s="4" t="s">
        <v>1592</v>
      </c>
      <c r="E1923" s="1" t="s">
        <v>134</v>
      </c>
      <c r="F1923" s="5" t="s">
        <v>1034</v>
      </c>
      <c r="G1923" s="3">
        <f t="shared" si="1989"/>
        <v>14.7</v>
      </c>
      <c r="H1923" s="14" t="str">
        <f t="shared" ref="H1923" si="2057">IF(NOT(ISNUMBER(VALUE(G1923))), "NA",IF(VALUE(G1923)&gt;17,"HIGH",IF(VALUE(G1923)&lt;6,"LOW", "VALUE IN RANGE")))</f>
        <v>VALUE IN RANGE</v>
      </c>
    </row>
    <row r="1924" spans="3:8" x14ac:dyDescent="0.25">
      <c r="C1924" s="13"/>
      <c r="D1924" s="4" t="s">
        <v>1592</v>
      </c>
      <c r="E1924" s="4" t="s">
        <v>136</v>
      </c>
      <c r="F1924" s="3" t="s">
        <v>1035</v>
      </c>
      <c r="G1924" s="3">
        <f t="shared" ref="G1924:G1987" si="2058">IFERROR(
   VALUE(
      SUBSTITUTE(
         CLEAN(
            TRIM(F1924)
         ),
         ".",
         ","
      )
   ),
   ""
)</f>
        <v>14.6</v>
      </c>
      <c r="H1924" s="14" t="str">
        <f t="shared" ref="H1924" si="2059">IF(NOT(ISNUMBER(VALUE(G1924))), "NA",IF(VALUE(G1924)&gt;30,"HIGH",IF(VALUE(G1924)&lt;12,"LOW", "VALUE IN RANGE")))</f>
        <v>VALUE IN RANGE</v>
      </c>
    </row>
    <row r="1925" spans="3:8" x14ac:dyDescent="0.25">
      <c r="C1925" s="13"/>
      <c r="D1925" s="4" t="s">
        <v>1592</v>
      </c>
      <c r="E1925" s="1" t="s">
        <v>7</v>
      </c>
      <c r="F1925" s="5" t="s">
        <v>65</v>
      </c>
      <c r="G1925" s="3">
        <f t="shared" si="2058"/>
        <v>5.0999999999999996</v>
      </c>
      <c r="H1925" s="14" t="str">
        <f t="shared" ref="H1925" si="2060">IF(NOT(ISNUMBER(VALUE(G1925))), "NA",IF(VALUE(G1925)&gt;9,"HIGH",IF(VALUE(G1925)&lt;2,"LOW", "VALUE IN RANGE")))</f>
        <v>VALUE IN RANGE</v>
      </c>
    </row>
    <row r="1926" spans="3:8" x14ac:dyDescent="0.25">
      <c r="C1926" s="13"/>
      <c r="D1926" s="4" t="s">
        <v>1592</v>
      </c>
      <c r="E1926" s="4" t="s">
        <v>139</v>
      </c>
      <c r="F1926" s="3" t="s">
        <v>1036</v>
      </c>
      <c r="G1926" s="3">
        <f t="shared" si="2058"/>
        <v>80.3</v>
      </c>
      <c r="H1926" s="14" t="str">
        <f t="shared" ref="H1926" si="2061">IF(NOT(ISNUMBER(VALUE(G1926))), "NA",IF(VALUE(G1926)&gt;83,"HIGH",IF(VALUE(G1926)&lt;60,"LOW", "VALUE IN RANGE")))</f>
        <v>VALUE IN RANGE</v>
      </c>
    </row>
    <row r="1927" spans="3:8" x14ac:dyDescent="0.25">
      <c r="C1927" s="13"/>
      <c r="D1927" s="4" t="s">
        <v>1592</v>
      </c>
      <c r="E1927" s="1" t="s">
        <v>141</v>
      </c>
      <c r="F1927" s="5">
        <v>2100</v>
      </c>
      <c r="G1927" s="3">
        <f t="shared" si="2058"/>
        <v>2100</v>
      </c>
      <c r="H1927" s="14" t="str">
        <f t="shared" ref="H1927" si="2062">IF(NOT(ISNUMBER(VALUE(G1927))), "NA",IF(VALUE(G1927)&gt;5.1,"HIGH",IF(VALUE(G1927)&lt;0.8,"LOW", "VALUE IN RANGE")))</f>
        <v>HIGH</v>
      </c>
    </row>
    <row r="1928" spans="3:8" x14ac:dyDescent="0.25">
      <c r="C1928" s="13"/>
      <c r="D1928" s="4" t="s">
        <v>1592</v>
      </c>
      <c r="E1928" s="4" t="s">
        <v>143</v>
      </c>
      <c r="F1928" s="3" t="s">
        <v>12</v>
      </c>
      <c r="G1928" s="3">
        <f t="shared" si="2058"/>
        <v>0.7</v>
      </c>
      <c r="H1928" s="14" t="str">
        <f t="shared" ref="H1928" si="2063">IF(NOT(ISNUMBER(VALUE(G1928))), "NA",IF(VALUE(G1928)&gt;1.8,"HIGH",IF(VALUE(G1928)&lt;0,"LOW", "VALUE IN RANGE")))</f>
        <v>VALUE IN RANGE</v>
      </c>
    </row>
    <row r="1929" spans="3:8" x14ac:dyDescent="0.25">
      <c r="C1929" s="13"/>
      <c r="D1929" s="4" t="s">
        <v>1592</v>
      </c>
      <c r="E1929" s="1" t="s">
        <v>144</v>
      </c>
      <c r="F1929" s="5">
        <v>11900</v>
      </c>
      <c r="G1929" s="3">
        <f t="shared" si="2058"/>
        <v>11900</v>
      </c>
      <c r="H1929" s="14" t="str">
        <f t="shared" ref="H1929" si="2064">IF(NOT(ISNUMBER(VALUE(G1929))), "NA",IF(VALUE(G1929)&gt;12.6,"HIGH",IF(VALUE(G1929)&lt;4,"LOW", "VALUE IN RANGE")))</f>
        <v>HIGH</v>
      </c>
    </row>
    <row r="1930" spans="3:8" x14ac:dyDescent="0.25">
      <c r="C1930" s="13"/>
      <c r="D1930" s="4" t="s">
        <v>1592</v>
      </c>
      <c r="E1930" s="4" t="s">
        <v>146</v>
      </c>
      <c r="F1930" s="3" t="s">
        <v>1038</v>
      </c>
      <c r="G1930" s="3">
        <f t="shared" si="2058"/>
        <v>5.77</v>
      </c>
      <c r="H1930" s="14" t="str">
        <f t="shared" ref="H1930" si="2065">IF(NOT(ISNUMBER(VALUE(G1930))), "NA",IF(VALUE(G1930)&gt;8.5,"HIGH",IF(VALUE(G1930)&lt;5.5,"LOW", "VALUE IN RANGE")))</f>
        <v>VALUE IN RANGE</v>
      </c>
    </row>
    <row r="1931" spans="3:8" x14ac:dyDescent="0.25">
      <c r="C1931" s="13"/>
      <c r="D1931" s="4" t="s">
        <v>1592</v>
      </c>
      <c r="E1931" s="1" t="s">
        <v>148</v>
      </c>
      <c r="F1931" s="5">
        <v>76</v>
      </c>
      <c r="G1931" s="3">
        <f t="shared" si="2058"/>
        <v>76</v>
      </c>
      <c r="H1931" s="14" t="str">
        <f t="shared" ref="H1931" si="2066">IF(NOT(ISNUMBER(VALUE(G1931))), "NA",IF(VALUE(G1931)&gt;190,"HIGH",IF(VALUE(G1931)&lt;110,"LOW", "VALUE IN RANGE")))</f>
        <v>LOW</v>
      </c>
    </row>
    <row r="1932" spans="3:8" x14ac:dyDescent="0.25">
      <c r="C1932" s="13"/>
      <c r="D1932" s="4" t="s">
        <v>1592</v>
      </c>
      <c r="E1932" s="4" t="s">
        <v>150</v>
      </c>
      <c r="F1932" s="3" t="s">
        <v>543</v>
      </c>
      <c r="G1932" s="3">
        <f t="shared" si="2058"/>
        <v>24</v>
      </c>
      <c r="H1932" s="14" t="str">
        <f t="shared" ref="H1932" si="2067">IF(NOT(ISNUMBER(VALUE(G1932))), "NA",IF(VALUE(G1932)&gt;56,"HIGH",IF(VALUE(G1932)&lt;39,"LOW", "VALUE IN RANGE")))</f>
        <v>LOW</v>
      </c>
    </row>
    <row r="1933" spans="3:8" x14ac:dyDescent="0.25">
      <c r="C1933" s="13"/>
      <c r="D1933" s="4" t="s">
        <v>1592</v>
      </c>
      <c r="E1933" s="1" t="s">
        <v>152</v>
      </c>
      <c r="F1933" s="5" t="s">
        <v>1040</v>
      </c>
      <c r="G1933" s="3">
        <f t="shared" si="2058"/>
        <v>41.6</v>
      </c>
      <c r="H1933" s="14" t="str">
        <f t="shared" ref="H1933" si="2068">IF(NOT(ISNUMBER(VALUE(G1933))), "NA",IF(VALUE(G1933)&gt;72,"HIGH",IF(VALUE(G1933)&lt;62,"LOW", "VALUE IN RANGE")))</f>
        <v>LOW</v>
      </c>
    </row>
    <row r="1934" spans="3:8" x14ac:dyDescent="0.25">
      <c r="C1934" s="13"/>
      <c r="D1934" s="4" t="s">
        <v>1592</v>
      </c>
      <c r="E1934" s="4" t="s">
        <v>154</v>
      </c>
      <c r="F1934" s="3" t="s">
        <v>471</v>
      </c>
      <c r="G1934" s="3">
        <f t="shared" si="2058"/>
        <v>13.1</v>
      </c>
      <c r="H1934" s="14" t="str">
        <f t="shared" ref="H1934" si="2069">IF(NOT(ISNUMBER(VALUE(G1934))), "NA",IF(VALUE(G1934)&gt;25,"HIGH",IF(VALUE(G1934)&lt;20,"LOW", "VALUE IN RANGE")))</f>
        <v>LOW</v>
      </c>
    </row>
    <row r="1935" spans="3:8" x14ac:dyDescent="0.25">
      <c r="C1935" s="13"/>
      <c r="D1935" s="4" t="s">
        <v>1592</v>
      </c>
      <c r="E1935" s="1" t="s">
        <v>27</v>
      </c>
      <c r="F1935" s="5">
        <v>316</v>
      </c>
      <c r="G1935" s="3">
        <f t="shared" si="2058"/>
        <v>316</v>
      </c>
      <c r="H1935" s="14" t="str">
        <f t="shared" ref="H1935" si="2070">IF(NOT(ISNUMBER(VALUE(G1935))), "NA",IF(VALUE(G1935)&gt;380,"HIGH",IF(VALUE(G1935)&lt;300,"LOW", "VALUE IN RANGE")))</f>
        <v>VALUE IN RANGE</v>
      </c>
    </row>
    <row r="1936" spans="3:8" x14ac:dyDescent="0.25">
      <c r="C1936" s="13"/>
      <c r="D1936" s="4" t="s">
        <v>1592</v>
      </c>
      <c r="E1936" s="4" t="s">
        <v>157</v>
      </c>
      <c r="F1936" s="3" t="s">
        <v>1002</v>
      </c>
      <c r="G1936" s="3">
        <f t="shared" si="2058"/>
        <v>16</v>
      </c>
      <c r="H1936" s="14" t="str">
        <f t="shared" ref="H1936" si="2071">IF(NOT(ISNUMBER(VALUE(G1936))), "NA",IF(VALUE(G1936)&gt;15.5,"HIGH",IF(VALUE(G1936)&lt;11,"LOW", "VALUE IN RANGE")))</f>
        <v>HIGH</v>
      </c>
    </row>
    <row r="1937" spans="3:8" x14ac:dyDescent="0.25">
      <c r="C1937" s="13"/>
      <c r="D1937" s="4" t="s">
        <v>1592</v>
      </c>
      <c r="E1937" s="1" t="s">
        <v>159</v>
      </c>
      <c r="F1937" s="5">
        <v>257</v>
      </c>
      <c r="G1937" s="3">
        <f t="shared" si="2058"/>
        <v>257</v>
      </c>
      <c r="H1937" s="14" t="str">
        <f t="shared" ref="H1937" si="2072">IF(NOT(ISNUMBER(VALUE(G1937))), "NA",IF(VALUE(G1937)&gt;460,"HIGH",IF(VALUE(G1937)&lt;117,"LOW", "VALUE IN RANGE")))</f>
        <v>VALUE IN RANGE</v>
      </c>
    </row>
    <row r="1938" spans="3:8" x14ac:dyDescent="0.25">
      <c r="C1938" s="13"/>
      <c r="D1938" s="4" t="s">
        <v>1592</v>
      </c>
      <c r="E1938" s="4" t="s">
        <v>161</v>
      </c>
      <c r="F1938" s="3" t="s">
        <v>640</v>
      </c>
      <c r="G1938" s="3">
        <f t="shared" si="2058"/>
        <v>11</v>
      </c>
      <c r="H1938" s="14" t="str">
        <f t="shared" ref="H1938" si="2073">IF(NOT(ISNUMBER(VALUE(G1938))), "NA",IF(VALUE(G1938)&gt;12,"HIGH",IF(VALUE(G1938)&lt;7,"LOW", "VALUE IN RANGE")))</f>
        <v>VALUE IN RANGE</v>
      </c>
    </row>
    <row r="1939" spans="3:8" ht="15" customHeight="1" x14ac:dyDescent="0.25">
      <c r="C1939" s="13" t="str">
        <f t="shared" ref="C1939" si="2074">IF(D1939=D1954,D1953,"falso")</f>
        <v>PATIENT_0122</v>
      </c>
      <c r="D1939" s="4" t="s">
        <v>1593</v>
      </c>
      <c r="E1939" s="1" t="s">
        <v>134</v>
      </c>
      <c r="F1939" s="5" t="s">
        <v>1042</v>
      </c>
      <c r="G1939" s="3">
        <f t="shared" si="2058"/>
        <v>37.799999999999997</v>
      </c>
      <c r="H1939" s="14" t="str">
        <f t="shared" ref="H1939" si="2075">IF(NOT(ISNUMBER(VALUE(G1939))), "NA",IF(VALUE(G1939)&gt;17,"HIGH",IF(VALUE(G1939)&lt;6,"LOW", "VALUE IN RANGE")))</f>
        <v>HIGH</v>
      </c>
    </row>
    <row r="1940" spans="3:8" x14ac:dyDescent="0.25">
      <c r="C1940" s="13"/>
      <c r="D1940" s="4" t="s">
        <v>1593</v>
      </c>
      <c r="E1940" s="4" t="s">
        <v>136</v>
      </c>
      <c r="F1940" s="3" t="s">
        <v>219</v>
      </c>
      <c r="G1940" s="3">
        <f t="shared" si="2058"/>
        <v>6.2</v>
      </c>
      <c r="H1940" s="14" t="str">
        <f t="shared" ref="H1940" si="2076">IF(NOT(ISNUMBER(VALUE(G1940))), "NA",IF(VALUE(G1940)&gt;30,"HIGH",IF(VALUE(G1940)&lt;12,"LOW", "VALUE IN RANGE")))</f>
        <v>LOW</v>
      </c>
    </row>
    <row r="1941" spans="3:8" x14ac:dyDescent="0.25">
      <c r="C1941" s="13"/>
      <c r="D1941" s="4" t="s">
        <v>1593</v>
      </c>
      <c r="E1941" s="1" t="s">
        <v>7</v>
      </c>
      <c r="F1941" s="5" t="s">
        <v>407</v>
      </c>
      <c r="G1941" s="3">
        <f t="shared" si="2058"/>
        <v>3.7</v>
      </c>
      <c r="H1941" s="14" t="str">
        <f t="shared" ref="H1941" si="2077">IF(NOT(ISNUMBER(VALUE(G1941))), "NA",IF(VALUE(G1941)&gt;9,"HIGH",IF(VALUE(G1941)&lt;2,"LOW", "VALUE IN RANGE")))</f>
        <v>VALUE IN RANGE</v>
      </c>
    </row>
    <row r="1942" spans="3:8" x14ac:dyDescent="0.25">
      <c r="C1942" s="13"/>
      <c r="D1942" s="4" t="s">
        <v>1593</v>
      </c>
      <c r="E1942" s="4" t="s">
        <v>139</v>
      </c>
      <c r="F1942" s="3" t="s">
        <v>958</v>
      </c>
      <c r="G1942" s="3">
        <f t="shared" si="2058"/>
        <v>90.1</v>
      </c>
      <c r="H1942" s="14" t="str">
        <f t="shared" ref="H1942" si="2078">IF(NOT(ISNUMBER(VALUE(G1942))), "NA",IF(VALUE(G1942)&gt;83,"HIGH",IF(VALUE(G1942)&lt;60,"LOW", "VALUE IN RANGE")))</f>
        <v>HIGH</v>
      </c>
    </row>
    <row r="1943" spans="3:8" x14ac:dyDescent="0.25">
      <c r="C1943" s="13"/>
      <c r="D1943" s="4" t="s">
        <v>1593</v>
      </c>
      <c r="E1943" s="1" t="s">
        <v>141</v>
      </c>
      <c r="F1943" s="5">
        <v>2300</v>
      </c>
      <c r="G1943" s="3">
        <f t="shared" si="2058"/>
        <v>2300</v>
      </c>
      <c r="H1943" s="14" t="str">
        <f t="shared" ref="H1943" si="2079">IF(NOT(ISNUMBER(VALUE(G1943))), "NA",IF(VALUE(G1943)&gt;5.1,"HIGH",IF(VALUE(G1943)&lt;0.8,"LOW", "VALUE IN RANGE")))</f>
        <v>HIGH</v>
      </c>
    </row>
    <row r="1944" spans="3:8" x14ac:dyDescent="0.25">
      <c r="C1944" s="13"/>
      <c r="D1944" s="4" t="s">
        <v>1593</v>
      </c>
      <c r="E1944" s="4" t="s">
        <v>143</v>
      </c>
      <c r="F1944" s="3">
        <v>1300</v>
      </c>
      <c r="G1944" s="3">
        <f t="shared" si="2058"/>
        <v>1300</v>
      </c>
      <c r="H1944" s="14" t="str">
        <f t="shared" ref="H1944" si="2080">IF(NOT(ISNUMBER(VALUE(G1944))), "NA",IF(VALUE(G1944)&gt;1.8,"HIGH",IF(VALUE(G1944)&lt;0,"LOW", "VALUE IN RANGE")))</f>
        <v>HIGH</v>
      </c>
    </row>
    <row r="1945" spans="3:8" x14ac:dyDescent="0.25">
      <c r="C1945" s="13"/>
      <c r="D1945" s="4" t="s">
        <v>1593</v>
      </c>
      <c r="E1945" s="1" t="s">
        <v>144</v>
      </c>
      <c r="F1945" s="5">
        <v>34200</v>
      </c>
      <c r="G1945" s="3">
        <f t="shared" si="2058"/>
        <v>34200</v>
      </c>
      <c r="H1945" s="14" t="str">
        <f t="shared" ref="H1945" si="2081">IF(NOT(ISNUMBER(VALUE(G1945))), "NA",IF(VALUE(G1945)&gt;12.6,"HIGH",IF(VALUE(G1945)&lt;4,"LOW", "VALUE IN RANGE")))</f>
        <v>HIGH</v>
      </c>
    </row>
    <row r="1946" spans="3:8" x14ac:dyDescent="0.25">
      <c r="C1946" s="13"/>
      <c r="D1946" s="4" t="s">
        <v>1593</v>
      </c>
      <c r="E1946" s="4" t="s">
        <v>146</v>
      </c>
      <c r="F1946" s="3" t="s">
        <v>1044</v>
      </c>
      <c r="G1946" s="3">
        <f t="shared" si="2058"/>
        <v>4.3099999999999996</v>
      </c>
      <c r="H1946" s="14" t="str">
        <f t="shared" ref="H1946" si="2082">IF(NOT(ISNUMBER(VALUE(G1946))), "NA",IF(VALUE(G1946)&gt;8.5,"HIGH",IF(VALUE(G1946)&lt;5.5,"LOW", "VALUE IN RANGE")))</f>
        <v>LOW</v>
      </c>
    </row>
    <row r="1947" spans="3:8" x14ac:dyDescent="0.25">
      <c r="C1947" s="13"/>
      <c r="D1947" s="4" t="s">
        <v>1593</v>
      </c>
      <c r="E1947" s="1" t="s">
        <v>148</v>
      </c>
      <c r="F1947" s="5">
        <v>56</v>
      </c>
      <c r="G1947" s="3">
        <f t="shared" si="2058"/>
        <v>56</v>
      </c>
      <c r="H1947" s="14" t="str">
        <f t="shared" ref="H1947" si="2083">IF(NOT(ISNUMBER(VALUE(G1947))), "NA",IF(VALUE(G1947)&gt;190,"HIGH",IF(VALUE(G1947)&lt;110,"LOW", "VALUE IN RANGE")))</f>
        <v>LOW</v>
      </c>
    </row>
    <row r="1948" spans="3:8" x14ac:dyDescent="0.25">
      <c r="C1948" s="13"/>
      <c r="D1948" s="4" t="s">
        <v>1593</v>
      </c>
      <c r="E1948" s="4" t="s">
        <v>150</v>
      </c>
      <c r="F1948" s="3" t="s">
        <v>1046</v>
      </c>
      <c r="G1948" s="3">
        <f t="shared" si="2058"/>
        <v>21</v>
      </c>
      <c r="H1948" s="14" t="str">
        <f t="shared" ref="H1948" si="2084">IF(NOT(ISNUMBER(VALUE(G1948))), "NA",IF(VALUE(G1948)&gt;56,"HIGH",IF(VALUE(G1948)&lt;39,"LOW", "VALUE IN RANGE")))</f>
        <v>LOW</v>
      </c>
    </row>
    <row r="1949" spans="3:8" x14ac:dyDescent="0.25">
      <c r="C1949" s="13"/>
      <c r="D1949" s="4" t="s">
        <v>1593</v>
      </c>
      <c r="E1949" s="1" t="s">
        <v>152</v>
      </c>
      <c r="F1949" s="5" t="s">
        <v>533</v>
      </c>
      <c r="G1949" s="3">
        <f t="shared" si="2058"/>
        <v>48.9</v>
      </c>
      <c r="H1949" s="14" t="str">
        <f t="shared" ref="H1949" si="2085">IF(NOT(ISNUMBER(VALUE(G1949))), "NA",IF(VALUE(G1949)&gt;72,"HIGH",IF(VALUE(G1949)&lt;62,"LOW", "VALUE IN RANGE")))</f>
        <v>LOW</v>
      </c>
    </row>
    <row r="1950" spans="3:8" x14ac:dyDescent="0.25">
      <c r="C1950" s="13"/>
      <c r="D1950" s="4" t="s">
        <v>1593</v>
      </c>
      <c r="E1950" s="4" t="s">
        <v>154</v>
      </c>
      <c r="F1950" s="3" t="s">
        <v>103</v>
      </c>
      <c r="G1950" s="3">
        <f t="shared" si="2058"/>
        <v>12.9</v>
      </c>
      <c r="H1950" s="14" t="str">
        <f t="shared" ref="H1950" si="2086">IF(NOT(ISNUMBER(VALUE(G1950))), "NA",IF(VALUE(G1950)&gt;25,"HIGH",IF(VALUE(G1950)&lt;20,"LOW", "VALUE IN RANGE")))</f>
        <v>LOW</v>
      </c>
    </row>
    <row r="1951" spans="3:8" x14ac:dyDescent="0.25">
      <c r="C1951" s="13"/>
      <c r="D1951" s="4" t="s">
        <v>1593</v>
      </c>
      <c r="E1951" s="1" t="s">
        <v>27</v>
      </c>
      <c r="F1951" s="5">
        <v>266</v>
      </c>
      <c r="G1951" s="3">
        <f t="shared" si="2058"/>
        <v>266</v>
      </c>
      <c r="H1951" s="14" t="str">
        <f t="shared" ref="H1951" si="2087">IF(NOT(ISNUMBER(VALUE(G1951))), "NA",IF(VALUE(G1951)&gt;380,"HIGH",IF(VALUE(G1951)&lt;300,"LOW", "VALUE IN RANGE")))</f>
        <v>LOW</v>
      </c>
    </row>
    <row r="1952" spans="3:8" x14ac:dyDescent="0.25">
      <c r="C1952" s="13"/>
      <c r="D1952" s="4" t="s">
        <v>1593</v>
      </c>
      <c r="E1952" s="4" t="s">
        <v>157</v>
      </c>
      <c r="F1952" s="3" t="s">
        <v>950</v>
      </c>
      <c r="G1952" s="3">
        <f t="shared" si="2058"/>
        <v>16.100000000000001</v>
      </c>
      <c r="H1952" s="14" t="str">
        <f t="shared" ref="H1952" si="2088">IF(NOT(ISNUMBER(VALUE(G1952))), "NA",IF(VALUE(G1952)&gt;15.5,"HIGH",IF(VALUE(G1952)&lt;11,"LOW", "VALUE IN RANGE")))</f>
        <v>HIGH</v>
      </c>
    </row>
    <row r="1953" spans="3:8" x14ac:dyDescent="0.25">
      <c r="C1953" s="13"/>
      <c r="D1953" s="4" t="s">
        <v>1593</v>
      </c>
      <c r="E1953" s="1" t="s">
        <v>159</v>
      </c>
      <c r="F1953" s="5">
        <v>149</v>
      </c>
      <c r="G1953" s="3">
        <f t="shared" si="2058"/>
        <v>149</v>
      </c>
      <c r="H1953" s="14" t="str">
        <f t="shared" ref="H1953" si="2089">IF(NOT(ISNUMBER(VALUE(G1953))), "NA",IF(VALUE(G1953)&gt;460,"HIGH",IF(VALUE(G1953)&lt;117,"LOW", "VALUE IN RANGE")))</f>
        <v>VALUE IN RANGE</v>
      </c>
    </row>
    <row r="1954" spans="3:8" x14ac:dyDescent="0.25">
      <c r="C1954" s="13"/>
      <c r="D1954" s="4" t="s">
        <v>1593</v>
      </c>
      <c r="E1954" s="4" t="s">
        <v>161</v>
      </c>
      <c r="F1954" s="3" t="s">
        <v>901</v>
      </c>
      <c r="G1954" s="3">
        <f t="shared" si="2058"/>
        <v>10.4</v>
      </c>
      <c r="H1954" s="14" t="str">
        <f t="shared" ref="H1954" si="2090">IF(NOT(ISNUMBER(VALUE(G1954))), "NA",IF(VALUE(G1954)&gt;12,"HIGH",IF(VALUE(G1954)&lt;7,"LOW", "VALUE IN RANGE")))</f>
        <v>VALUE IN RANGE</v>
      </c>
    </row>
    <row r="1955" spans="3:8" ht="15" customHeight="1" x14ac:dyDescent="0.25">
      <c r="C1955" s="13" t="str">
        <f t="shared" ref="C1955" si="2091">IF(D1955=D1970,D1969,"falso")</f>
        <v>PATIENT_0123</v>
      </c>
      <c r="D1955" s="4" t="s">
        <v>1594</v>
      </c>
      <c r="E1955" s="1" t="s">
        <v>3</v>
      </c>
      <c r="F1955" s="5" t="s">
        <v>1048</v>
      </c>
      <c r="G1955" s="3">
        <f t="shared" si="2058"/>
        <v>23.5</v>
      </c>
      <c r="H1955" s="14" t="str">
        <f t="shared" ref="H1955" si="2092">IF(NOT(ISNUMBER(VALUE(G1955))), "NA",IF(VALUE(G1955)&gt;17,"HIGH",IF(VALUE(G1955)&lt;6,"LOW", "VALUE IN RANGE")))</f>
        <v>HIGH</v>
      </c>
    </row>
    <row r="1956" spans="3:8" x14ac:dyDescent="0.25">
      <c r="C1956" s="13"/>
      <c r="D1956" s="4" t="s">
        <v>1594</v>
      </c>
      <c r="E1956" s="4" t="s">
        <v>5</v>
      </c>
      <c r="F1956" s="3" t="s">
        <v>546</v>
      </c>
      <c r="G1956" s="3">
        <f t="shared" si="2058"/>
        <v>9.3000000000000007</v>
      </c>
      <c r="H1956" s="14" t="str">
        <f t="shared" ref="H1956" si="2093">IF(NOT(ISNUMBER(VALUE(G1956))), "NA",IF(VALUE(G1956)&gt;30,"HIGH",IF(VALUE(G1956)&lt;12,"LOW", "VALUE IN RANGE")))</f>
        <v>LOW</v>
      </c>
    </row>
    <row r="1957" spans="3:8" x14ac:dyDescent="0.25">
      <c r="C1957" s="13"/>
      <c r="D1957" s="4" t="s">
        <v>1594</v>
      </c>
      <c r="E1957" s="1" t="s">
        <v>7</v>
      </c>
      <c r="F1957" s="5" t="s">
        <v>747</v>
      </c>
      <c r="G1957" s="3">
        <f t="shared" si="2058"/>
        <v>3.9</v>
      </c>
      <c r="H1957" s="14" t="str">
        <f t="shared" ref="H1957" si="2094">IF(NOT(ISNUMBER(VALUE(G1957))), "NA",IF(VALUE(G1957)&gt;9,"HIGH",IF(VALUE(G1957)&lt;2,"LOW", "VALUE IN RANGE")))</f>
        <v>VALUE IN RANGE</v>
      </c>
    </row>
    <row r="1958" spans="3:8" x14ac:dyDescent="0.25">
      <c r="C1958" s="13"/>
      <c r="D1958" s="4" t="s">
        <v>1594</v>
      </c>
      <c r="E1958" s="4" t="s">
        <v>9</v>
      </c>
      <c r="F1958" s="3" t="s">
        <v>1049</v>
      </c>
      <c r="G1958" s="3">
        <f t="shared" si="2058"/>
        <v>86.8</v>
      </c>
      <c r="H1958" s="14" t="str">
        <f t="shared" ref="H1958" si="2095">IF(NOT(ISNUMBER(VALUE(G1958))), "NA",IF(VALUE(G1958)&gt;83,"HIGH",IF(VALUE(G1958)&lt;60,"LOW", "VALUE IN RANGE")))</f>
        <v>HIGH</v>
      </c>
    </row>
    <row r="1959" spans="3:8" x14ac:dyDescent="0.25">
      <c r="C1959" s="13"/>
      <c r="D1959" s="4" t="s">
        <v>1594</v>
      </c>
      <c r="E1959" s="1" t="s">
        <v>11</v>
      </c>
      <c r="F1959" s="5">
        <v>2100</v>
      </c>
      <c r="G1959" s="3">
        <f t="shared" si="2058"/>
        <v>2100</v>
      </c>
      <c r="H1959" s="14" t="str">
        <f t="shared" ref="H1959" si="2096">IF(NOT(ISNUMBER(VALUE(G1959))), "NA",IF(VALUE(G1959)&gt;5.1,"HIGH",IF(VALUE(G1959)&lt;0.8,"LOW", "VALUE IN RANGE")))</f>
        <v>HIGH</v>
      </c>
    </row>
    <row r="1960" spans="3:8" x14ac:dyDescent="0.25">
      <c r="C1960" s="13"/>
      <c r="D1960" s="4" t="s">
        <v>1594</v>
      </c>
      <c r="E1960" s="4" t="s">
        <v>13</v>
      </c>
      <c r="F1960" s="3" t="s">
        <v>41</v>
      </c>
      <c r="G1960" s="3">
        <f t="shared" si="2058"/>
        <v>0.9</v>
      </c>
      <c r="H1960" s="14" t="str">
        <f t="shared" ref="H1960" si="2097">IF(NOT(ISNUMBER(VALUE(G1960))), "NA",IF(VALUE(G1960)&gt;1.8,"HIGH",IF(VALUE(G1960)&lt;0,"LOW", "VALUE IN RANGE")))</f>
        <v>VALUE IN RANGE</v>
      </c>
    </row>
    <row r="1961" spans="3:8" x14ac:dyDescent="0.25">
      <c r="C1961" s="13"/>
      <c r="D1961" s="4" t="s">
        <v>1594</v>
      </c>
      <c r="E1961" s="1" t="s">
        <v>15</v>
      </c>
      <c r="F1961" s="5">
        <v>20500</v>
      </c>
      <c r="G1961" s="3">
        <f t="shared" si="2058"/>
        <v>20500</v>
      </c>
      <c r="H1961" s="14" t="str">
        <f t="shared" ref="H1961" si="2098">IF(NOT(ISNUMBER(VALUE(G1961))), "NA",IF(VALUE(G1961)&gt;12.6,"HIGH",IF(VALUE(G1961)&lt;4,"LOW", "VALUE IN RANGE")))</f>
        <v>HIGH</v>
      </c>
    </row>
    <row r="1962" spans="3:8" x14ac:dyDescent="0.25">
      <c r="C1962" s="13"/>
      <c r="D1962" s="4" t="s">
        <v>1594</v>
      </c>
      <c r="E1962" s="4" t="s">
        <v>17</v>
      </c>
      <c r="F1962" s="3" t="s">
        <v>1051</v>
      </c>
      <c r="G1962" s="3">
        <f t="shared" si="2058"/>
        <v>3.92</v>
      </c>
      <c r="H1962" s="14" t="str">
        <f t="shared" ref="H1962" si="2099">IF(NOT(ISNUMBER(VALUE(G1962))), "NA",IF(VALUE(G1962)&gt;8.5,"HIGH",IF(VALUE(G1962)&lt;5.5,"LOW", "VALUE IN RANGE")))</f>
        <v>LOW</v>
      </c>
    </row>
    <row r="1963" spans="3:8" x14ac:dyDescent="0.25">
      <c r="C1963" s="13"/>
      <c r="D1963" s="4" t="s">
        <v>1594</v>
      </c>
      <c r="E1963" s="1" t="s">
        <v>19</v>
      </c>
      <c r="F1963" s="5">
        <v>80</v>
      </c>
      <c r="G1963" s="3">
        <f t="shared" si="2058"/>
        <v>80</v>
      </c>
      <c r="H1963" s="14" t="str">
        <f t="shared" ref="H1963" si="2100">IF(NOT(ISNUMBER(VALUE(G1963))), "NA",IF(VALUE(G1963)&gt;190,"HIGH",IF(VALUE(G1963)&lt;110,"LOW", "VALUE IN RANGE")))</f>
        <v>LOW</v>
      </c>
    </row>
    <row r="1964" spans="3:8" x14ac:dyDescent="0.25">
      <c r="C1964" s="13"/>
      <c r="D1964" s="4" t="s">
        <v>1594</v>
      </c>
      <c r="E1964" s="4" t="s">
        <v>21</v>
      </c>
      <c r="F1964" s="3" t="s">
        <v>1052</v>
      </c>
      <c r="G1964" s="3">
        <f t="shared" si="2058"/>
        <v>25.7</v>
      </c>
      <c r="H1964" s="14" t="str">
        <f t="shared" ref="H1964" si="2101">IF(NOT(ISNUMBER(VALUE(G1964))), "NA",IF(VALUE(G1964)&gt;56,"HIGH",IF(VALUE(G1964)&lt;39,"LOW", "VALUE IN RANGE")))</f>
        <v>LOW</v>
      </c>
    </row>
    <row r="1965" spans="3:8" x14ac:dyDescent="0.25">
      <c r="C1965" s="13"/>
      <c r="D1965" s="4" t="s">
        <v>1594</v>
      </c>
      <c r="E1965" s="1" t="s">
        <v>23</v>
      </c>
      <c r="F1965" s="5" t="s">
        <v>814</v>
      </c>
      <c r="G1965" s="3">
        <f t="shared" si="2058"/>
        <v>65.7</v>
      </c>
      <c r="H1965" s="14" t="str">
        <f t="shared" ref="H1965" si="2102">IF(NOT(ISNUMBER(VALUE(G1965))), "NA",IF(VALUE(G1965)&gt;72,"HIGH",IF(VALUE(G1965)&lt;62,"LOW", "VALUE IN RANGE")))</f>
        <v>VALUE IN RANGE</v>
      </c>
    </row>
    <row r="1966" spans="3:8" x14ac:dyDescent="0.25">
      <c r="C1966" s="13"/>
      <c r="D1966" s="4" t="s">
        <v>1594</v>
      </c>
      <c r="E1966" s="4" t="s">
        <v>25</v>
      </c>
      <c r="F1966" s="3" t="s">
        <v>1053</v>
      </c>
      <c r="G1966" s="3">
        <f t="shared" si="2058"/>
        <v>20.399999999999999</v>
      </c>
      <c r="H1966" s="14" t="str">
        <f t="shared" ref="H1966" si="2103">IF(NOT(ISNUMBER(VALUE(G1966))), "NA",IF(VALUE(G1966)&gt;25,"HIGH",IF(VALUE(G1966)&lt;20,"LOW", "VALUE IN RANGE")))</f>
        <v>VALUE IN RANGE</v>
      </c>
    </row>
    <row r="1967" spans="3:8" x14ac:dyDescent="0.25">
      <c r="C1967" s="13"/>
      <c r="D1967" s="4" t="s">
        <v>1594</v>
      </c>
      <c r="E1967" s="1" t="s">
        <v>27</v>
      </c>
      <c r="F1967" s="5">
        <v>311</v>
      </c>
      <c r="G1967" s="3">
        <f t="shared" si="2058"/>
        <v>311</v>
      </c>
      <c r="H1967" s="14" t="str">
        <f t="shared" ref="H1967" si="2104">IF(NOT(ISNUMBER(VALUE(G1967))), "NA",IF(VALUE(G1967)&gt;380,"HIGH",IF(VALUE(G1967)&lt;300,"LOW", "VALUE IN RANGE")))</f>
        <v>VALUE IN RANGE</v>
      </c>
    </row>
    <row r="1968" spans="3:8" x14ac:dyDescent="0.25">
      <c r="C1968" s="13"/>
      <c r="D1968" s="4" t="s">
        <v>1594</v>
      </c>
      <c r="E1968" s="4" t="s">
        <v>29</v>
      </c>
      <c r="F1968" s="3" t="s">
        <v>459</v>
      </c>
      <c r="G1968" s="3">
        <f t="shared" si="2058"/>
        <v>14</v>
      </c>
      <c r="H1968" s="14" t="str">
        <f t="shared" ref="H1968" si="2105">IF(NOT(ISNUMBER(VALUE(G1968))), "NA",IF(VALUE(G1968)&gt;15.5,"HIGH",IF(VALUE(G1968)&lt;11,"LOW", "VALUE IN RANGE")))</f>
        <v>VALUE IN RANGE</v>
      </c>
    </row>
    <row r="1969" spans="3:8" x14ac:dyDescent="0.25">
      <c r="C1969" s="13"/>
      <c r="D1969" s="4" t="s">
        <v>1594</v>
      </c>
      <c r="E1969" s="1" t="s">
        <v>31</v>
      </c>
      <c r="F1969" s="5">
        <v>354</v>
      </c>
      <c r="G1969" s="3">
        <f t="shared" si="2058"/>
        <v>354</v>
      </c>
      <c r="H1969" s="14" t="str">
        <f t="shared" ref="H1969" si="2106">IF(NOT(ISNUMBER(VALUE(G1969))), "NA",IF(VALUE(G1969)&gt;460,"HIGH",IF(VALUE(G1969)&lt;117,"LOW", "VALUE IN RANGE")))</f>
        <v>VALUE IN RANGE</v>
      </c>
    </row>
    <row r="1970" spans="3:8" x14ac:dyDescent="0.25">
      <c r="C1970" s="13"/>
      <c r="D1970" s="4" t="s">
        <v>1594</v>
      </c>
      <c r="E1970" s="4" t="s">
        <v>33</v>
      </c>
      <c r="F1970" s="3" t="s">
        <v>414</v>
      </c>
      <c r="G1970" s="3">
        <f t="shared" si="2058"/>
        <v>12.1</v>
      </c>
      <c r="H1970" s="14" t="str">
        <f t="shared" ref="H1970" si="2107">IF(NOT(ISNUMBER(VALUE(G1970))), "NA",IF(VALUE(G1970)&gt;12,"HIGH",IF(VALUE(G1970)&lt;7,"LOW", "VALUE IN RANGE")))</f>
        <v>HIGH</v>
      </c>
    </row>
    <row r="1971" spans="3:8" ht="15" customHeight="1" x14ac:dyDescent="0.25">
      <c r="C1971" s="13" t="str">
        <f t="shared" ref="C1971" si="2108">IF(D1971=D1986,D1985,"falso")</f>
        <v>PATIENT_0124</v>
      </c>
      <c r="D1971" s="4" t="s">
        <v>1595</v>
      </c>
      <c r="E1971" s="1" t="s">
        <v>3</v>
      </c>
      <c r="F1971" s="5" t="s">
        <v>868</v>
      </c>
      <c r="G1971" s="3">
        <f t="shared" si="2058"/>
        <v>11.8</v>
      </c>
      <c r="H1971" s="14" t="str">
        <f t="shared" ref="H1971" si="2109">IF(NOT(ISNUMBER(VALUE(G1971))), "NA",IF(VALUE(G1971)&gt;17,"HIGH",IF(VALUE(G1971)&lt;6,"LOW", "VALUE IN RANGE")))</f>
        <v>VALUE IN RANGE</v>
      </c>
    </row>
    <row r="1972" spans="3:8" x14ac:dyDescent="0.25">
      <c r="C1972" s="13"/>
      <c r="D1972" s="4" t="s">
        <v>1595</v>
      </c>
      <c r="E1972" s="4" t="s">
        <v>5</v>
      </c>
      <c r="F1972" s="3" t="s">
        <v>342</v>
      </c>
      <c r="G1972" s="3">
        <f t="shared" si="2058"/>
        <v>15</v>
      </c>
      <c r="H1972" s="14" t="str">
        <f t="shared" ref="H1972" si="2110">IF(NOT(ISNUMBER(VALUE(G1972))), "NA",IF(VALUE(G1972)&gt;30,"HIGH",IF(VALUE(G1972)&lt;12,"LOW", "VALUE IN RANGE")))</f>
        <v>VALUE IN RANGE</v>
      </c>
    </row>
    <row r="1973" spans="3:8" x14ac:dyDescent="0.25">
      <c r="C1973" s="13"/>
      <c r="D1973" s="4" t="s">
        <v>1595</v>
      </c>
      <c r="E1973" s="1" t="s">
        <v>7</v>
      </c>
      <c r="F1973" s="5" t="s">
        <v>648</v>
      </c>
      <c r="G1973" s="3">
        <f t="shared" si="2058"/>
        <v>6.3</v>
      </c>
      <c r="H1973" s="14" t="str">
        <f t="shared" ref="H1973" si="2111">IF(NOT(ISNUMBER(VALUE(G1973))), "NA",IF(VALUE(G1973)&gt;9,"HIGH",IF(VALUE(G1973)&lt;2,"LOW", "VALUE IN RANGE")))</f>
        <v>VALUE IN RANGE</v>
      </c>
    </row>
    <row r="1974" spans="3:8" x14ac:dyDescent="0.25">
      <c r="C1974" s="13"/>
      <c r="D1974" s="4" t="s">
        <v>1595</v>
      </c>
      <c r="E1974" s="4" t="s">
        <v>9</v>
      </c>
      <c r="F1974" s="3" t="s">
        <v>1055</v>
      </c>
      <c r="G1974" s="3">
        <f t="shared" si="2058"/>
        <v>78.7</v>
      </c>
      <c r="H1974" s="14" t="str">
        <f t="shared" ref="H1974" si="2112">IF(NOT(ISNUMBER(VALUE(G1974))), "NA",IF(VALUE(G1974)&gt;83,"HIGH",IF(VALUE(G1974)&lt;60,"LOW", "VALUE IN RANGE")))</f>
        <v>VALUE IN RANGE</v>
      </c>
    </row>
    <row r="1975" spans="3:8" x14ac:dyDescent="0.25">
      <c r="C1975" s="13"/>
      <c r="D1975" s="4" t="s">
        <v>1595</v>
      </c>
      <c r="E1975" s="1" t="s">
        <v>11</v>
      </c>
      <c r="F1975" s="5">
        <v>1700</v>
      </c>
      <c r="G1975" s="3">
        <f t="shared" si="2058"/>
        <v>1700</v>
      </c>
      <c r="H1975" s="14" t="str">
        <f t="shared" ref="H1975" si="2113">IF(NOT(ISNUMBER(VALUE(G1975))), "NA",IF(VALUE(G1975)&gt;5.1,"HIGH",IF(VALUE(G1975)&lt;0.8,"LOW", "VALUE IN RANGE")))</f>
        <v>HIGH</v>
      </c>
    </row>
    <row r="1976" spans="3:8" x14ac:dyDescent="0.25">
      <c r="C1976" s="13"/>
      <c r="D1976" s="4" t="s">
        <v>1595</v>
      </c>
      <c r="E1976" s="4" t="s">
        <v>13</v>
      </c>
      <c r="F1976" s="3" t="s">
        <v>12</v>
      </c>
      <c r="G1976" s="3">
        <f t="shared" si="2058"/>
        <v>0.7</v>
      </c>
      <c r="H1976" s="14" t="str">
        <f t="shared" ref="H1976" si="2114">IF(NOT(ISNUMBER(VALUE(G1976))), "NA",IF(VALUE(G1976)&gt;1.8,"HIGH",IF(VALUE(G1976)&lt;0,"LOW", "VALUE IN RANGE")))</f>
        <v>VALUE IN RANGE</v>
      </c>
    </row>
    <row r="1977" spans="3:8" x14ac:dyDescent="0.25">
      <c r="C1977" s="13"/>
      <c r="D1977" s="4" t="s">
        <v>1595</v>
      </c>
      <c r="E1977" s="1" t="s">
        <v>15</v>
      </c>
      <c r="F1977" s="5">
        <v>9400</v>
      </c>
      <c r="G1977" s="3">
        <f t="shared" si="2058"/>
        <v>9400</v>
      </c>
      <c r="H1977" s="14" t="str">
        <f t="shared" ref="H1977" si="2115">IF(NOT(ISNUMBER(VALUE(G1977))), "NA",IF(VALUE(G1977)&gt;12.6,"HIGH",IF(VALUE(G1977)&lt;4,"LOW", "VALUE IN RANGE")))</f>
        <v>HIGH</v>
      </c>
    </row>
    <row r="1978" spans="3:8" x14ac:dyDescent="0.25">
      <c r="C1978" s="13"/>
      <c r="D1978" s="4" t="s">
        <v>1595</v>
      </c>
      <c r="E1978" s="4" t="s">
        <v>17</v>
      </c>
      <c r="F1978" s="3" t="s">
        <v>1056</v>
      </c>
      <c r="G1978" s="3">
        <f t="shared" si="2058"/>
        <v>5.38</v>
      </c>
      <c r="H1978" s="14" t="str">
        <f t="shared" ref="H1978" si="2116">IF(NOT(ISNUMBER(VALUE(G1978))), "NA",IF(VALUE(G1978)&gt;8.5,"HIGH",IF(VALUE(G1978)&lt;5.5,"LOW", "VALUE IN RANGE")))</f>
        <v>LOW</v>
      </c>
    </row>
    <row r="1979" spans="3:8" x14ac:dyDescent="0.25">
      <c r="C1979" s="13"/>
      <c r="D1979" s="4" t="s">
        <v>1595</v>
      </c>
      <c r="E1979" s="1" t="s">
        <v>19</v>
      </c>
      <c r="F1979" s="5">
        <v>115</v>
      </c>
      <c r="G1979" s="3">
        <f t="shared" si="2058"/>
        <v>115</v>
      </c>
      <c r="H1979" s="14" t="str">
        <f t="shared" ref="H1979" si="2117">IF(NOT(ISNUMBER(VALUE(G1979))), "NA",IF(VALUE(G1979)&gt;190,"HIGH",IF(VALUE(G1979)&lt;110,"LOW", "VALUE IN RANGE")))</f>
        <v>VALUE IN RANGE</v>
      </c>
    </row>
    <row r="1980" spans="3:8" x14ac:dyDescent="0.25">
      <c r="C1980" s="13"/>
      <c r="D1980" s="4" t="s">
        <v>1595</v>
      </c>
      <c r="E1980" s="4" t="s">
        <v>21</v>
      </c>
      <c r="F1980" s="3" t="s">
        <v>1057</v>
      </c>
      <c r="G1980" s="3">
        <f t="shared" si="2058"/>
        <v>36.200000000000003</v>
      </c>
      <c r="H1980" s="14" t="str">
        <f t="shared" ref="H1980" si="2118">IF(NOT(ISNUMBER(VALUE(G1980))), "NA",IF(VALUE(G1980)&gt;56,"HIGH",IF(VALUE(G1980)&lt;39,"LOW", "VALUE IN RANGE")))</f>
        <v>LOW</v>
      </c>
    </row>
    <row r="1981" spans="3:8" x14ac:dyDescent="0.25">
      <c r="C1981" s="13"/>
      <c r="D1981" s="4" t="s">
        <v>1595</v>
      </c>
      <c r="E1981" s="1" t="s">
        <v>23</v>
      </c>
      <c r="F1981" s="5" t="s">
        <v>766</v>
      </c>
      <c r="G1981" s="3">
        <f t="shared" si="2058"/>
        <v>67.3</v>
      </c>
      <c r="H1981" s="14" t="str">
        <f t="shared" ref="H1981" si="2119">IF(NOT(ISNUMBER(VALUE(G1981))), "NA",IF(VALUE(G1981)&gt;72,"HIGH",IF(VALUE(G1981)&lt;62,"LOW", "VALUE IN RANGE")))</f>
        <v>VALUE IN RANGE</v>
      </c>
    </row>
    <row r="1982" spans="3:8" x14ac:dyDescent="0.25">
      <c r="C1982" s="13"/>
      <c r="D1982" s="4" t="s">
        <v>1595</v>
      </c>
      <c r="E1982" s="4" t="s">
        <v>25</v>
      </c>
      <c r="F1982" s="3" t="s">
        <v>252</v>
      </c>
      <c r="G1982" s="3">
        <f t="shared" si="2058"/>
        <v>21.3</v>
      </c>
      <c r="H1982" s="14" t="str">
        <f t="shared" ref="H1982" si="2120">IF(NOT(ISNUMBER(VALUE(G1982))), "NA",IF(VALUE(G1982)&gt;25,"HIGH",IF(VALUE(G1982)&lt;20,"LOW", "VALUE IN RANGE")))</f>
        <v>VALUE IN RANGE</v>
      </c>
    </row>
    <row r="1983" spans="3:8" x14ac:dyDescent="0.25">
      <c r="C1983" s="13"/>
      <c r="D1983" s="4" t="s">
        <v>1595</v>
      </c>
      <c r="E1983" s="1" t="s">
        <v>27</v>
      </c>
      <c r="F1983" s="5">
        <v>317</v>
      </c>
      <c r="G1983" s="3">
        <f t="shared" si="2058"/>
        <v>317</v>
      </c>
      <c r="H1983" s="14" t="str">
        <f t="shared" ref="H1983" si="2121">IF(NOT(ISNUMBER(VALUE(G1983))), "NA",IF(VALUE(G1983)&gt;380,"HIGH",IF(VALUE(G1983)&lt;300,"LOW", "VALUE IN RANGE")))</f>
        <v>VALUE IN RANGE</v>
      </c>
    </row>
    <row r="1984" spans="3:8" x14ac:dyDescent="0.25">
      <c r="C1984" s="13"/>
      <c r="D1984" s="4" t="s">
        <v>1595</v>
      </c>
      <c r="E1984" s="4" t="s">
        <v>29</v>
      </c>
      <c r="F1984" s="3" t="s">
        <v>327</v>
      </c>
      <c r="G1984" s="3">
        <f t="shared" si="2058"/>
        <v>13.7</v>
      </c>
      <c r="H1984" s="14" t="str">
        <f t="shared" ref="H1984" si="2122">IF(NOT(ISNUMBER(VALUE(G1984))), "NA",IF(VALUE(G1984)&gt;15.5,"HIGH",IF(VALUE(G1984)&lt;11,"LOW", "VALUE IN RANGE")))</f>
        <v>VALUE IN RANGE</v>
      </c>
    </row>
    <row r="1985" spans="3:8" x14ac:dyDescent="0.25">
      <c r="C1985" s="13"/>
      <c r="D1985" s="4" t="s">
        <v>1595</v>
      </c>
      <c r="E1985" s="1" t="s">
        <v>31</v>
      </c>
      <c r="F1985" s="5">
        <v>394</v>
      </c>
      <c r="G1985" s="3">
        <f t="shared" si="2058"/>
        <v>394</v>
      </c>
      <c r="H1985" s="14" t="str">
        <f t="shared" ref="H1985" si="2123">IF(NOT(ISNUMBER(VALUE(G1985))), "NA",IF(VALUE(G1985)&gt;460,"HIGH",IF(VALUE(G1985)&lt;117,"LOW", "VALUE IN RANGE")))</f>
        <v>VALUE IN RANGE</v>
      </c>
    </row>
    <row r="1986" spans="3:8" x14ac:dyDescent="0.25">
      <c r="C1986" s="13"/>
      <c r="D1986" s="4" t="s">
        <v>1595</v>
      </c>
      <c r="E1986" s="4" t="s">
        <v>33</v>
      </c>
      <c r="F1986" s="3" t="s">
        <v>1059</v>
      </c>
      <c r="G1986" s="3">
        <f t="shared" si="2058"/>
        <v>6.6</v>
      </c>
      <c r="H1986" s="14" t="str">
        <f t="shared" ref="H1986" si="2124">IF(NOT(ISNUMBER(VALUE(G1986))), "NA",IF(VALUE(G1986)&gt;12,"HIGH",IF(VALUE(G1986)&lt;7,"LOW", "VALUE IN RANGE")))</f>
        <v>LOW</v>
      </c>
    </row>
    <row r="1987" spans="3:8" ht="15" customHeight="1" x14ac:dyDescent="0.25">
      <c r="C1987" s="13" t="str">
        <f t="shared" ref="C1987" si="2125">IF(D1987=D2002,D2001,"falso")</f>
        <v>PATIENT_0125</v>
      </c>
      <c r="D1987" s="4" t="s">
        <v>1596</v>
      </c>
      <c r="E1987" s="1" t="s">
        <v>134</v>
      </c>
      <c r="F1987" s="5" t="s">
        <v>527</v>
      </c>
      <c r="G1987" s="3">
        <f t="shared" si="2058"/>
        <v>14</v>
      </c>
      <c r="H1987" s="14" t="str">
        <f t="shared" ref="H1987" si="2126">IF(NOT(ISNUMBER(VALUE(G1987))), "NA",IF(VALUE(G1987)&gt;17,"HIGH",IF(VALUE(G1987)&lt;6,"LOW", "VALUE IN RANGE")))</f>
        <v>VALUE IN RANGE</v>
      </c>
    </row>
    <row r="1988" spans="3:8" x14ac:dyDescent="0.25">
      <c r="C1988" s="13"/>
      <c r="D1988" s="4" t="s">
        <v>1596</v>
      </c>
      <c r="E1988" s="4" t="s">
        <v>136</v>
      </c>
      <c r="F1988" s="3" t="s">
        <v>1060</v>
      </c>
      <c r="G1988" s="3">
        <f t="shared" ref="G1988:G2051" si="2127">IFERROR(
   VALUE(
      SUBSTITUTE(
         CLEAN(
            TRIM(F1988)
         ),
         ".",
         ","
      )
   ),
   ""
)</f>
        <v>20</v>
      </c>
      <c r="H1988" s="14" t="str">
        <f t="shared" ref="H1988" si="2128">IF(NOT(ISNUMBER(VALUE(G1988))), "NA",IF(VALUE(G1988)&gt;30,"HIGH",IF(VALUE(G1988)&lt;12,"LOW", "VALUE IN RANGE")))</f>
        <v>VALUE IN RANGE</v>
      </c>
    </row>
    <row r="1989" spans="3:8" x14ac:dyDescent="0.25">
      <c r="C1989" s="13"/>
      <c r="D1989" s="4" t="s">
        <v>1596</v>
      </c>
      <c r="E1989" s="1" t="s">
        <v>7</v>
      </c>
      <c r="F1989" s="5" t="s">
        <v>77</v>
      </c>
      <c r="G1989" s="3">
        <f t="shared" si="2127"/>
        <v>7.6</v>
      </c>
      <c r="H1989" s="14" t="str">
        <f t="shared" ref="H1989" si="2129">IF(NOT(ISNUMBER(VALUE(G1989))), "NA",IF(VALUE(G1989)&gt;9,"HIGH",IF(VALUE(G1989)&lt;2,"LOW", "VALUE IN RANGE")))</f>
        <v>VALUE IN RANGE</v>
      </c>
    </row>
    <row r="1990" spans="3:8" x14ac:dyDescent="0.25">
      <c r="C1990" s="13"/>
      <c r="D1990" s="4" t="s">
        <v>1596</v>
      </c>
      <c r="E1990" s="4" t="s">
        <v>139</v>
      </c>
      <c r="F1990" s="3" t="s">
        <v>1061</v>
      </c>
      <c r="G1990" s="3">
        <f t="shared" si="2127"/>
        <v>72.400000000000006</v>
      </c>
      <c r="H1990" s="14" t="str">
        <f t="shared" ref="H1990" si="2130">IF(NOT(ISNUMBER(VALUE(G1990))), "NA",IF(VALUE(G1990)&gt;83,"HIGH",IF(VALUE(G1990)&lt;60,"LOW", "VALUE IN RANGE")))</f>
        <v>VALUE IN RANGE</v>
      </c>
    </row>
    <row r="1991" spans="3:8" x14ac:dyDescent="0.25">
      <c r="C1991" s="13"/>
      <c r="D1991" s="4" t="s">
        <v>1596</v>
      </c>
      <c r="E1991" s="1" t="s">
        <v>141</v>
      </c>
      <c r="F1991" s="5">
        <v>2800</v>
      </c>
      <c r="G1991" s="3">
        <f t="shared" si="2127"/>
        <v>2800</v>
      </c>
      <c r="H1991" s="14" t="str">
        <f t="shared" ref="H1991" si="2131">IF(NOT(ISNUMBER(VALUE(G1991))), "NA",IF(VALUE(G1991)&gt;5.1,"HIGH",IF(VALUE(G1991)&lt;0.8,"LOW", "VALUE IN RANGE")))</f>
        <v>HIGH</v>
      </c>
    </row>
    <row r="1992" spans="3:8" x14ac:dyDescent="0.25">
      <c r="C1992" s="13"/>
      <c r="D1992" s="4" t="s">
        <v>1596</v>
      </c>
      <c r="E1992" s="4" t="s">
        <v>143</v>
      </c>
      <c r="F1992" s="3">
        <v>1000</v>
      </c>
      <c r="G1992" s="3">
        <f t="shared" si="2127"/>
        <v>1000</v>
      </c>
      <c r="H1992" s="14" t="str">
        <f t="shared" ref="H1992" si="2132">IF(NOT(ISNUMBER(VALUE(G1992))), "NA",IF(VALUE(G1992)&gt;1.8,"HIGH",IF(VALUE(G1992)&lt;0,"LOW", "VALUE IN RANGE")))</f>
        <v>HIGH</v>
      </c>
    </row>
    <row r="1993" spans="3:8" x14ac:dyDescent="0.25">
      <c r="C1993" s="13"/>
      <c r="D1993" s="4" t="s">
        <v>1596</v>
      </c>
      <c r="E1993" s="1" t="s">
        <v>144</v>
      </c>
      <c r="F1993" s="5">
        <v>10200</v>
      </c>
      <c r="G1993" s="3">
        <f t="shared" si="2127"/>
        <v>10200</v>
      </c>
      <c r="H1993" s="14" t="str">
        <f t="shared" ref="H1993" si="2133">IF(NOT(ISNUMBER(VALUE(G1993))), "NA",IF(VALUE(G1993)&gt;12.6,"HIGH",IF(VALUE(G1993)&lt;4,"LOW", "VALUE IN RANGE")))</f>
        <v>HIGH</v>
      </c>
    </row>
    <row r="1994" spans="3:8" x14ac:dyDescent="0.25">
      <c r="C1994" s="13"/>
      <c r="D1994" s="4" t="s">
        <v>1596</v>
      </c>
      <c r="E1994" s="4" t="s">
        <v>146</v>
      </c>
      <c r="F1994" s="3" t="s">
        <v>1062</v>
      </c>
      <c r="G1994" s="3">
        <f t="shared" si="2127"/>
        <v>7.97</v>
      </c>
      <c r="H1994" s="14" t="str">
        <f t="shared" ref="H1994" si="2134">IF(NOT(ISNUMBER(VALUE(G1994))), "NA",IF(VALUE(G1994)&gt;8.5,"HIGH",IF(VALUE(G1994)&lt;5.5,"LOW", "VALUE IN RANGE")))</f>
        <v>VALUE IN RANGE</v>
      </c>
    </row>
    <row r="1995" spans="3:8" x14ac:dyDescent="0.25">
      <c r="C1995" s="13"/>
      <c r="D1995" s="4" t="s">
        <v>1596</v>
      </c>
      <c r="E1995" s="1" t="s">
        <v>148</v>
      </c>
      <c r="F1995" s="5">
        <v>107</v>
      </c>
      <c r="G1995" s="3">
        <f t="shared" si="2127"/>
        <v>107</v>
      </c>
      <c r="H1995" s="14" t="str">
        <f t="shared" ref="H1995" si="2135">IF(NOT(ISNUMBER(VALUE(G1995))), "NA",IF(VALUE(G1995)&gt;190,"HIGH",IF(VALUE(G1995)&lt;110,"LOW", "VALUE IN RANGE")))</f>
        <v>LOW</v>
      </c>
    </row>
    <row r="1996" spans="3:8" x14ac:dyDescent="0.25">
      <c r="C1996" s="13"/>
      <c r="D1996" s="4" t="s">
        <v>1596</v>
      </c>
      <c r="E1996" s="4" t="s">
        <v>150</v>
      </c>
      <c r="F1996" s="3" t="s">
        <v>697</v>
      </c>
      <c r="G1996" s="3">
        <f t="shared" si="2127"/>
        <v>39.700000000000003</v>
      </c>
      <c r="H1996" s="14" t="str">
        <f t="shared" ref="H1996" si="2136">IF(NOT(ISNUMBER(VALUE(G1996))), "NA",IF(VALUE(G1996)&gt;56,"HIGH",IF(VALUE(G1996)&lt;39,"LOW", "VALUE IN RANGE")))</f>
        <v>VALUE IN RANGE</v>
      </c>
    </row>
    <row r="1997" spans="3:8" x14ac:dyDescent="0.25">
      <c r="C1997" s="13"/>
      <c r="D1997" s="4" t="s">
        <v>1596</v>
      </c>
      <c r="E1997" s="1" t="s">
        <v>152</v>
      </c>
      <c r="F1997" s="5" t="s">
        <v>1064</v>
      </c>
      <c r="G1997" s="3">
        <f t="shared" si="2127"/>
        <v>49.9</v>
      </c>
      <c r="H1997" s="14" t="str">
        <f t="shared" ref="H1997" si="2137">IF(NOT(ISNUMBER(VALUE(G1997))), "NA",IF(VALUE(G1997)&gt;72,"HIGH",IF(VALUE(G1997)&lt;62,"LOW", "VALUE IN RANGE")))</f>
        <v>LOW</v>
      </c>
    </row>
    <row r="1998" spans="3:8" x14ac:dyDescent="0.25">
      <c r="C1998" s="13"/>
      <c r="D1998" s="4" t="s">
        <v>1596</v>
      </c>
      <c r="E1998" s="4" t="s">
        <v>154</v>
      </c>
      <c r="F1998" s="3" t="s">
        <v>317</v>
      </c>
      <c r="G1998" s="3">
        <f t="shared" si="2127"/>
        <v>13.4</v>
      </c>
      <c r="H1998" s="14" t="str">
        <f t="shared" ref="H1998" si="2138">IF(NOT(ISNUMBER(VALUE(G1998))), "NA",IF(VALUE(G1998)&gt;25,"HIGH",IF(VALUE(G1998)&lt;20,"LOW", "VALUE IN RANGE")))</f>
        <v>LOW</v>
      </c>
    </row>
    <row r="1999" spans="3:8" x14ac:dyDescent="0.25">
      <c r="C1999" s="13"/>
      <c r="D1999" s="4" t="s">
        <v>1596</v>
      </c>
      <c r="E1999" s="1" t="s">
        <v>27</v>
      </c>
      <c r="F1999" s="5">
        <v>269</v>
      </c>
      <c r="G1999" s="3">
        <f t="shared" si="2127"/>
        <v>269</v>
      </c>
      <c r="H1999" s="14" t="str">
        <f t="shared" ref="H1999" si="2139">IF(NOT(ISNUMBER(VALUE(G1999))), "NA",IF(VALUE(G1999)&gt;380,"HIGH",IF(VALUE(G1999)&lt;300,"LOW", "VALUE IN RANGE")))</f>
        <v>LOW</v>
      </c>
    </row>
    <row r="2000" spans="3:8" x14ac:dyDescent="0.25">
      <c r="C2000" s="13"/>
      <c r="D2000" s="4" t="s">
        <v>1596</v>
      </c>
      <c r="E2000" s="4" t="s">
        <v>157</v>
      </c>
      <c r="F2000" s="3" t="s">
        <v>200</v>
      </c>
      <c r="G2000" s="3">
        <f t="shared" si="2127"/>
        <v>15</v>
      </c>
      <c r="H2000" s="14" t="str">
        <f t="shared" ref="H2000" si="2140">IF(NOT(ISNUMBER(VALUE(G2000))), "NA",IF(VALUE(G2000)&gt;15.5,"HIGH",IF(VALUE(G2000)&lt;11,"LOW", "VALUE IN RANGE")))</f>
        <v>VALUE IN RANGE</v>
      </c>
    </row>
    <row r="2001" spans="3:8" x14ac:dyDescent="0.25">
      <c r="C2001" s="13"/>
      <c r="D2001" s="4" t="s">
        <v>1596</v>
      </c>
      <c r="E2001" s="1" t="s">
        <v>159</v>
      </c>
      <c r="F2001" s="5">
        <v>108</v>
      </c>
      <c r="G2001" s="3">
        <f t="shared" si="2127"/>
        <v>108</v>
      </c>
      <c r="H2001" s="14" t="str">
        <f t="shared" ref="H2001" si="2141">IF(NOT(ISNUMBER(VALUE(G2001))), "NA",IF(VALUE(G2001)&gt;460,"HIGH",IF(VALUE(G2001)&lt;117,"LOW", "VALUE IN RANGE")))</f>
        <v>LOW</v>
      </c>
    </row>
    <row r="2002" spans="3:8" x14ac:dyDescent="0.25">
      <c r="C2002" s="13"/>
      <c r="D2002" s="4" t="s">
        <v>1596</v>
      </c>
      <c r="E2002" s="4" t="s">
        <v>161</v>
      </c>
      <c r="F2002" s="3" t="s">
        <v>330</v>
      </c>
      <c r="G2002" s="3">
        <f t="shared" si="2127"/>
        <v>10.5</v>
      </c>
      <c r="H2002" s="14" t="str">
        <f t="shared" ref="H2002" si="2142">IF(NOT(ISNUMBER(VALUE(G2002))), "NA",IF(VALUE(G2002)&gt;12,"HIGH",IF(VALUE(G2002)&lt;7,"LOW", "VALUE IN RANGE")))</f>
        <v>VALUE IN RANGE</v>
      </c>
    </row>
    <row r="2003" spans="3:8" ht="15" customHeight="1" x14ac:dyDescent="0.25">
      <c r="C2003" s="13" t="str">
        <f t="shared" ref="C2003" si="2143">IF(D2003=D2018,D2017,"falso")</f>
        <v>PATIENT_0126</v>
      </c>
      <c r="D2003" s="4" t="s">
        <v>1597</v>
      </c>
      <c r="E2003" s="1" t="s">
        <v>134</v>
      </c>
      <c r="F2003" s="5" t="s">
        <v>418</v>
      </c>
      <c r="G2003" s="3">
        <f t="shared" si="2127"/>
        <v>5.3</v>
      </c>
      <c r="H2003" s="14" t="str">
        <f t="shared" ref="H2003" si="2144">IF(NOT(ISNUMBER(VALUE(G2003))), "NA",IF(VALUE(G2003)&gt;17,"HIGH",IF(VALUE(G2003)&lt;6,"LOW", "VALUE IN RANGE")))</f>
        <v>LOW</v>
      </c>
    </row>
    <row r="2004" spans="3:8" x14ac:dyDescent="0.25">
      <c r="C2004" s="13"/>
      <c r="D2004" s="4" t="s">
        <v>1597</v>
      </c>
      <c r="E2004" s="4" t="s">
        <v>136</v>
      </c>
      <c r="F2004" s="3" t="s">
        <v>1066</v>
      </c>
      <c r="G2004" s="3">
        <f t="shared" si="2127"/>
        <v>30.2</v>
      </c>
      <c r="H2004" s="14" t="str">
        <f t="shared" ref="H2004" si="2145">IF(NOT(ISNUMBER(VALUE(G2004))), "NA",IF(VALUE(G2004)&gt;30,"HIGH",IF(VALUE(G2004)&lt;12,"LOW", "VALUE IN RANGE")))</f>
        <v>HIGH</v>
      </c>
    </row>
    <row r="2005" spans="3:8" x14ac:dyDescent="0.25">
      <c r="C2005" s="13"/>
      <c r="D2005" s="4" t="s">
        <v>1597</v>
      </c>
      <c r="E2005" s="1" t="s">
        <v>7</v>
      </c>
      <c r="F2005" s="5" t="s">
        <v>47</v>
      </c>
      <c r="G2005" s="3">
        <f t="shared" si="2127"/>
        <v>5.5</v>
      </c>
      <c r="H2005" s="14" t="str">
        <f t="shared" ref="H2005" si="2146">IF(NOT(ISNUMBER(VALUE(G2005))), "NA",IF(VALUE(G2005)&gt;9,"HIGH",IF(VALUE(G2005)&lt;2,"LOW", "VALUE IN RANGE")))</f>
        <v>VALUE IN RANGE</v>
      </c>
    </row>
    <row r="2006" spans="3:8" x14ac:dyDescent="0.25">
      <c r="C2006" s="13"/>
      <c r="D2006" s="4" t="s">
        <v>1597</v>
      </c>
      <c r="E2006" s="4" t="s">
        <v>139</v>
      </c>
      <c r="F2006" s="3" t="s">
        <v>1067</v>
      </c>
      <c r="G2006" s="3">
        <f t="shared" si="2127"/>
        <v>64.3</v>
      </c>
      <c r="H2006" s="14" t="str">
        <f t="shared" ref="H2006" si="2147">IF(NOT(ISNUMBER(VALUE(G2006))), "NA",IF(VALUE(G2006)&gt;83,"HIGH",IF(VALUE(G2006)&lt;60,"LOW", "VALUE IN RANGE")))</f>
        <v>VALUE IN RANGE</v>
      </c>
    </row>
    <row r="2007" spans="3:8" x14ac:dyDescent="0.25">
      <c r="C2007" s="13"/>
      <c r="D2007" s="4" t="s">
        <v>1597</v>
      </c>
      <c r="E2007" s="1" t="s">
        <v>141</v>
      </c>
      <c r="F2007" s="5">
        <v>1600</v>
      </c>
      <c r="G2007" s="3">
        <f t="shared" si="2127"/>
        <v>1600</v>
      </c>
      <c r="H2007" s="14" t="str">
        <f t="shared" ref="H2007" si="2148">IF(NOT(ISNUMBER(VALUE(G2007))), "NA",IF(VALUE(G2007)&gt;5.1,"HIGH",IF(VALUE(G2007)&lt;0.8,"LOW", "VALUE IN RANGE")))</f>
        <v>HIGH</v>
      </c>
    </row>
    <row r="2008" spans="3:8" x14ac:dyDescent="0.25">
      <c r="C2008" s="13"/>
      <c r="D2008" s="4" t="s">
        <v>1597</v>
      </c>
      <c r="E2008" s="4" t="s">
        <v>143</v>
      </c>
      <c r="F2008" s="3" t="s">
        <v>51</v>
      </c>
      <c r="G2008" s="3">
        <f t="shared" si="2127"/>
        <v>0.2</v>
      </c>
      <c r="H2008" s="14" t="str">
        <f t="shared" ref="H2008" si="2149">IF(NOT(ISNUMBER(VALUE(G2008))), "NA",IF(VALUE(G2008)&gt;1.8,"HIGH",IF(VALUE(G2008)&lt;0,"LOW", "VALUE IN RANGE")))</f>
        <v>VALUE IN RANGE</v>
      </c>
    </row>
    <row r="2009" spans="3:8" x14ac:dyDescent="0.25">
      <c r="C2009" s="13"/>
      <c r="D2009" s="4" t="s">
        <v>1597</v>
      </c>
      <c r="E2009" s="1" t="s">
        <v>144</v>
      </c>
      <c r="F2009" s="5">
        <v>3500</v>
      </c>
      <c r="G2009" s="3">
        <f t="shared" si="2127"/>
        <v>3500</v>
      </c>
      <c r="H2009" s="14" t="str">
        <f t="shared" ref="H2009" si="2150">IF(NOT(ISNUMBER(VALUE(G2009))), "NA",IF(VALUE(G2009)&gt;12.6,"HIGH",IF(VALUE(G2009)&lt;4,"LOW", "VALUE IN RANGE")))</f>
        <v>HIGH</v>
      </c>
    </row>
    <row r="2010" spans="3:8" x14ac:dyDescent="0.25">
      <c r="C2010" s="13"/>
      <c r="D2010" s="4" t="s">
        <v>1597</v>
      </c>
      <c r="E2010" s="4" t="s">
        <v>146</v>
      </c>
      <c r="F2010" s="3" t="s">
        <v>839</v>
      </c>
      <c r="G2010" s="3">
        <f t="shared" si="2127"/>
        <v>10.11</v>
      </c>
      <c r="H2010" s="14" t="str">
        <f t="shared" ref="H2010" si="2151">IF(NOT(ISNUMBER(VALUE(G2010))), "NA",IF(VALUE(G2010)&gt;8.5,"HIGH",IF(VALUE(G2010)&lt;5.5,"LOW", "VALUE IN RANGE")))</f>
        <v>HIGH</v>
      </c>
    </row>
    <row r="2011" spans="3:8" x14ac:dyDescent="0.25">
      <c r="C2011" s="13"/>
      <c r="D2011" s="4" t="s">
        <v>1597</v>
      </c>
      <c r="E2011" s="1" t="s">
        <v>148</v>
      </c>
      <c r="F2011" s="5">
        <v>133</v>
      </c>
      <c r="G2011" s="3">
        <f t="shared" si="2127"/>
        <v>133</v>
      </c>
      <c r="H2011" s="14" t="str">
        <f t="shared" ref="H2011" si="2152">IF(NOT(ISNUMBER(VALUE(G2011))), "NA",IF(VALUE(G2011)&gt;190,"HIGH",IF(VALUE(G2011)&lt;110,"LOW", "VALUE IN RANGE")))</f>
        <v>VALUE IN RANGE</v>
      </c>
    </row>
    <row r="2012" spans="3:8" x14ac:dyDescent="0.25">
      <c r="C2012" s="13"/>
      <c r="D2012" s="4" t="s">
        <v>1597</v>
      </c>
      <c r="E2012" s="4" t="s">
        <v>150</v>
      </c>
      <c r="F2012" s="3" t="s">
        <v>288</v>
      </c>
      <c r="G2012" s="3">
        <f t="shared" si="2127"/>
        <v>46.5</v>
      </c>
      <c r="H2012" s="14" t="str">
        <f t="shared" ref="H2012" si="2153">IF(NOT(ISNUMBER(VALUE(G2012))), "NA",IF(VALUE(G2012)&gt;56,"HIGH",IF(VALUE(G2012)&lt;39,"LOW", "VALUE IN RANGE")))</f>
        <v>VALUE IN RANGE</v>
      </c>
    </row>
    <row r="2013" spans="3:8" x14ac:dyDescent="0.25">
      <c r="C2013" s="13"/>
      <c r="D2013" s="4" t="s">
        <v>1597</v>
      </c>
      <c r="E2013" s="1" t="s">
        <v>152</v>
      </c>
      <c r="F2013" s="5" t="s">
        <v>1068</v>
      </c>
      <c r="G2013" s="3">
        <f t="shared" si="2127"/>
        <v>46</v>
      </c>
      <c r="H2013" s="14" t="str">
        <f t="shared" ref="H2013" si="2154">IF(NOT(ISNUMBER(VALUE(G2013))), "NA",IF(VALUE(G2013)&gt;72,"HIGH",IF(VALUE(G2013)&lt;62,"LOW", "VALUE IN RANGE")))</f>
        <v>LOW</v>
      </c>
    </row>
    <row r="2014" spans="3:8" x14ac:dyDescent="0.25">
      <c r="C2014" s="13"/>
      <c r="D2014" s="4" t="s">
        <v>1597</v>
      </c>
      <c r="E2014" s="4" t="s">
        <v>154</v>
      </c>
      <c r="F2014" s="3" t="s">
        <v>471</v>
      </c>
      <c r="G2014" s="3">
        <f t="shared" si="2127"/>
        <v>13.1</v>
      </c>
      <c r="H2014" s="14" t="str">
        <f t="shared" ref="H2014" si="2155">IF(NOT(ISNUMBER(VALUE(G2014))), "NA",IF(VALUE(G2014)&gt;25,"HIGH",IF(VALUE(G2014)&lt;20,"LOW", "VALUE IN RANGE")))</f>
        <v>LOW</v>
      </c>
    </row>
    <row r="2015" spans="3:8" x14ac:dyDescent="0.25">
      <c r="C2015" s="13"/>
      <c r="D2015" s="4" t="s">
        <v>1597</v>
      </c>
      <c r="E2015" s="1" t="s">
        <v>27</v>
      </c>
      <c r="F2015" s="5">
        <v>286</v>
      </c>
      <c r="G2015" s="3">
        <f t="shared" si="2127"/>
        <v>286</v>
      </c>
      <c r="H2015" s="14" t="str">
        <f t="shared" ref="H2015" si="2156">IF(NOT(ISNUMBER(VALUE(G2015))), "NA",IF(VALUE(G2015)&gt;380,"HIGH",IF(VALUE(G2015)&lt;300,"LOW", "VALUE IN RANGE")))</f>
        <v>LOW</v>
      </c>
    </row>
    <row r="2016" spans="3:8" x14ac:dyDescent="0.25">
      <c r="C2016" s="13"/>
      <c r="D2016" s="4" t="s">
        <v>1597</v>
      </c>
      <c r="E2016" s="4" t="s">
        <v>157</v>
      </c>
      <c r="F2016" s="3" t="s">
        <v>535</v>
      </c>
      <c r="G2016" s="3">
        <f t="shared" si="2127"/>
        <v>14.4</v>
      </c>
      <c r="H2016" s="14" t="str">
        <f t="shared" ref="H2016" si="2157">IF(NOT(ISNUMBER(VALUE(G2016))), "NA",IF(VALUE(G2016)&gt;15.5,"HIGH",IF(VALUE(G2016)&lt;11,"LOW", "VALUE IN RANGE")))</f>
        <v>VALUE IN RANGE</v>
      </c>
    </row>
    <row r="2017" spans="3:8" x14ac:dyDescent="0.25">
      <c r="C2017" s="13"/>
      <c r="D2017" s="4" t="s">
        <v>1597</v>
      </c>
      <c r="E2017" s="1" t="s">
        <v>159</v>
      </c>
      <c r="F2017" s="5">
        <v>166</v>
      </c>
      <c r="G2017" s="3">
        <f t="shared" si="2127"/>
        <v>166</v>
      </c>
      <c r="H2017" s="14" t="str">
        <f t="shared" ref="H2017" si="2158">IF(NOT(ISNUMBER(VALUE(G2017))), "NA",IF(VALUE(G2017)&gt;460,"HIGH",IF(VALUE(G2017)&lt;117,"LOW", "VALUE IN RANGE")))</f>
        <v>VALUE IN RANGE</v>
      </c>
    </row>
    <row r="2018" spans="3:8" x14ac:dyDescent="0.25">
      <c r="C2018" s="13"/>
      <c r="D2018" s="4" t="s">
        <v>1597</v>
      </c>
      <c r="E2018" s="4" t="s">
        <v>161</v>
      </c>
      <c r="F2018" s="3" t="s">
        <v>657</v>
      </c>
      <c r="G2018" s="3">
        <f t="shared" si="2127"/>
        <v>11.4</v>
      </c>
      <c r="H2018" s="14" t="str">
        <f t="shared" ref="H2018" si="2159">IF(NOT(ISNUMBER(VALUE(G2018))), "NA",IF(VALUE(G2018)&gt;12,"HIGH",IF(VALUE(G2018)&lt;7,"LOW", "VALUE IN RANGE")))</f>
        <v>VALUE IN RANGE</v>
      </c>
    </row>
    <row r="2019" spans="3:8" ht="15" customHeight="1" x14ac:dyDescent="0.25">
      <c r="C2019" s="13" t="str">
        <f t="shared" ref="C2019" si="2160">IF(D2019=D2034,D2033,"falso")</f>
        <v>PATIENT_0127</v>
      </c>
      <c r="D2019" s="4" t="s">
        <v>1598</v>
      </c>
      <c r="E2019" s="1" t="s">
        <v>3</v>
      </c>
      <c r="F2019" s="5" t="s">
        <v>36</v>
      </c>
      <c r="G2019" s="3">
        <f t="shared" si="2127"/>
        <v>9.8000000000000007</v>
      </c>
      <c r="H2019" s="14" t="str">
        <f t="shared" ref="H2019" si="2161">IF(NOT(ISNUMBER(VALUE(G2019))), "NA",IF(VALUE(G2019)&gt;17,"HIGH",IF(VALUE(G2019)&lt;6,"LOW", "VALUE IN RANGE")))</f>
        <v>VALUE IN RANGE</v>
      </c>
    </row>
    <row r="2020" spans="3:8" x14ac:dyDescent="0.25">
      <c r="C2020" s="13"/>
      <c r="D2020" s="4" t="s">
        <v>1598</v>
      </c>
      <c r="E2020" s="4" t="s">
        <v>5</v>
      </c>
      <c r="F2020" s="3" t="s">
        <v>342</v>
      </c>
      <c r="G2020" s="3">
        <f t="shared" si="2127"/>
        <v>15</v>
      </c>
      <c r="H2020" s="14" t="str">
        <f t="shared" ref="H2020" si="2162">IF(NOT(ISNUMBER(VALUE(G2020))), "NA",IF(VALUE(G2020)&gt;30,"HIGH",IF(VALUE(G2020)&lt;12,"LOW", "VALUE IN RANGE")))</f>
        <v>VALUE IN RANGE</v>
      </c>
    </row>
    <row r="2021" spans="3:8" x14ac:dyDescent="0.25">
      <c r="C2021" s="13"/>
      <c r="D2021" s="4" t="s">
        <v>1598</v>
      </c>
      <c r="E2021" s="1" t="s">
        <v>7</v>
      </c>
      <c r="F2021" s="5" t="s">
        <v>396</v>
      </c>
      <c r="G2021" s="3">
        <f t="shared" si="2127"/>
        <v>4.4000000000000004</v>
      </c>
      <c r="H2021" s="14" t="str">
        <f t="shared" ref="H2021" si="2163">IF(NOT(ISNUMBER(VALUE(G2021))), "NA",IF(VALUE(G2021)&gt;9,"HIGH",IF(VALUE(G2021)&lt;2,"LOW", "VALUE IN RANGE")))</f>
        <v>VALUE IN RANGE</v>
      </c>
    </row>
    <row r="2022" spans="3:8" x14ac:dyDescent="0.25">
      <c r="C2022" s="13"/>
      <c r="D2022" s="4" t="s">
        <v>1598</v>
      </c>
      <c r="E2022" s="4" t="s">
        <v>9</v>
      </c>
      <c r="F2022" s="3" t="s">
        <v>846</v>
      </c>
      <c r="G2022" s="3">
        <f t="shared" si="2127"/>
        <v>80.599999999999994</v>
      </c>
      <c r="H2022" s="14" t="str">
        <f t="shared" ref="H2022" si="2164">IF(NOT(ISNUMBER(VALUE(G2022))), "NA",IF(VALUE(G2022)&gt;83,"HIGH",IF(VALUE(G2022)&lt;60,"LOW", "VALUE IN RANGE")))</f>
        <v>VALUE IN RANGE</v>
      </c>
    </row>
    <row r="2023" spans="3:8" x14ac:dyDescent="0.25">
      <c r="C2023" s="13"/>
      <c r="D2023" s="4" t="s">
        <v>1598</v>
      </c>
      <c r="E2023" s="1" t="s">
        <v>11</v>
      </c>
      <c r="F2023" s="5">
        <v>1400</v>
      </c>
      <c r="G2023" s="3">
        <f t="shared" si="2127"/>
        <v>1400</v>
      </c>
      <c r="H2023" s="14" t="str">
        <f t="shared" ref="H2023" si="2165">IF(NOT(ISNUMBER(VALUE(G2023))), "NA",IF(VALUE(G2023)&gt;5.1,"HIGH",IF(VALUE(G2023)&lt;0.8,"LOW", "VALUE IN RANGE")))</f>
        <v>HIGH</v>
      </c>
    </row>
    <row r="2024" spans="3:8" x14ac:dyDescent="0.25">
      <c r="C2024" s="13"/>
      <c r="D2024" s="4" t="s">
        <v>1598</v>
      </c>
      <c r="E2024" s="4" t="s">
        <v>13</v>
      </c>
      <c r="F2024" s="3" t="s">
        <v>167</v>
      </c>
      <c r="G2024" s="3">
        <f t="shared" si="2127"/>
        <v>0.4</v>
      </c>
      <c r="H2024" s="14" t="str">
        <f t="shared" ref="H2024" si="2166">IF(NOT(ISNUMBER(VALUE(G2024))), "NA",IF(VALUE(G2024)&gt;1.8,"HIGH",IF(VALUE(G2024)&lt;0,"LOW", "VALUE IN RANGE")))</f>
        <v>VALUE IN RANGE</v>
      </c>
    </row>
    <row r="2025" spans="3:8" x14ac:dyDescent="0.25">
      <c r="C2025" s="13"/>
      <c r="D2025" s="4" t="s">
        <v>1598</v>
      </c>
      <c r="E2025" s="1" t="s">
        <v>15</v>
      </c>
      <c r="F2025" s="5">
        <v>8000</v>
      </c>
      <c r="G2025" s="3">
        <f t="shared" si="2127"/>
        <v>8000</v>
      </c>
      <c r="H2025" s="14" t="str">
        <f t="shared" ref="H2025" si="2167">IF(NOT(ISNUMBER(VALUE(G2025))), "NA",IF(VALUE(G2025)&gt;12.6,"HIGH",IF(VALUE(G2025)&lt;4,"LOW", "VALUE IN RANGE")))</f>
        <v>HIGH</v>
      </c>
    </row>
    <row r="2026" spans="3:8" x14ac:dyDescent="0.25">
      <c r="C2026" s="13"/>
      <c r="D2026" s="4" t="s">
        <v>1598</v>
      </c>
      <c r="E2026" s="4" t="s">
        <v>17</v>
      </c>
      <c r="F2026" s="3" t="s">
        <v>1071</v>
      </c>
      <c r="G2026" s="3">
        <f t="shared" si="2127"/>
        <v>6.21</v>
      </c>
      <c r="H2026" s="14" t="str">
        <f t="shared" ref="H2026" si="2168">IF(NOT(ISNUMBER(VALUE(G2026))), "NA",IF(VALUE(G2026)&gt;8.5,"HIGH",IF(VALUE(G2026)&lt;5.5,"LOW", "VALUE IN RANGE")))</f>
        <v>VALUE IN RANGE</v>
      </c>
    </row>
    <row r="2027" spans="3:8" x14ac:dyDescent="0.25">
      <c r="C2027" s="13"/>
      <c r="D2027" s="4" t="s">
        <v>1598</v>
      </c>
      <c r="E2027" s="1" t="s">
        <v>19</v>
      </c>
      <c r="F2027" s="5">
        <v>127</v>
      </c>
      <c r="G2027" s="3">
        <f t="shared" si="2127"/>
        <v>127</v>
      </c>
      <c r="H2027" s="14" t="str">
        <f t="shared" ref="H2027" si="2169">IF(NOT(ISNUMBER(VALUE(G2027))), "NA",IF(VALUE(G2027)&gt;190,"HIGH",IF(VALUE(G2027)&lt;110,"LOW", "VALUE IN RANGE")))</f>
        <v>VALUE IN RANGE</v>
      </c>
    </row>
    <row r="2028" spans="3:8" x14ac:dyDescent="0.25">
      <c r="C2028" s="13"/>
      <c r="D2028" s="4" t="s">
        <v>1598</v>
      </c>
      <c r="E2028" s="4" t="s">
        <v>21</v>
      </c>
      <c r="F2028" s="3" t="s">
        <v>1073</v>
      </c>
      <c r="G2028" s="3">
        <f t="shared" si="2127"/>
        <v>38.700000000000003</v>
      </c>
      <c r="H2028" s="14" t="str">
        <f t="shared" ref="H2028" si="2170">IF(NOT(ISNUMBER(VALUE(G2028))), "NA",IF(VALUE(G2028)&gt;56,"HIGH",IF(VALUE(G2028)&lt;39,"LOW", "VALUE IN RANGE")))</f>
        <v>LOW</v>
      </c>
    </row>
    <row r="2029" spans="3:8" x14ac:dyDescent="0.25">
      <c r="C2029" s="13"/>
      <c r="D2029" s="4" t="s">
        <v>1598</v>
      </c>
      <c r="E2029" s="1" t="s">
        <v>23</v>
      </c>
      <c r="F2029" s="5" t="s">
        <v>1074</v>
      </c>
      <c r="G2029" s="3">
        <f t="shared" si="2127"/>
        <v>62.4</v>
      </c>
      <c r="H2029" s="14" t="str">
        <f t="shared" ref="H2029" si="2171">IF(NOT(ISNUMBER(VALUE(G2029))), "NA",IF(VALUE(G2029)&gt;72,"HIGH",IF(VALUE(G2029)&lt;62,"LOW", "VALUE IN RANGE")))</f>
        <v>VALUE IN RANGE</v>
      </c>
    </row>
    <row r="2030" spans="3:8" x14ac:dyDescent="0.25">
      <c r="C2030" s="13"/>
      <c r="D2030" s="4" t="s">
        <v>1598</v>
      </c>
      <c r="E2030" s="4" t="s">
        <v>25</v>
      </c>
      <c r="F2030" s="3" t="s">
        <v>1053</v>
      </c>
      <c r="G2030" s="3">
        <f t="shared" si="2127"/>
        <v>20.399999999999999</v>
      </c>
      <c r="H2030" s="14" t="str">
        <f t="shared" ref="H2030" si="2172">IF(NOT(ISNUMBER(VALUE(G2030))), "NA",IF(VALUE(G2030)&gt;25,"HIGH",IF(VALUE(G2030)&lt;20,"LOW", "VALUE IN RANGE")))</f>
        <v>VALUE IN RANGE</v>
      </c>
    </row>
    <row r="2031" spans="3:8" x14ac:dyDescent="0.25">
      <c r="C2031" s="13"/>
      <c r="D2031" s="4" t="s">
        <v>1598</v>
      </c>
      <c r="E2031" s="1" t="s">
        <v>27</v>
      </c>
      <c r="F2031" s="5">
        <v>328</v>
      </c>
      <c r="G2031" s="3">
        <f t="shared" si="2127"/>
        <v>328</v>
      </c>
      <c r="H2031" s="14" t="str">
        <f t="shared" ref="H2031" si="2173">IF(NOT(ISNUMBER(VALUE(G2031))), "NA",IF(VALUE(G2031)&gt;380,"HIGH",IF(VALUE(G2031)&lt;300,"LOW", "VALUE IN RANGE")))</f>
        <v>VALUE IN RANGE</v>
      </c>
    </row>
    <row r="2032" spans="3:8" x14ac:dyDescent="0.25">
      <c r="C2032" s="13"/>
      <c r="D2032" s="4" t="s">
        <v>1598</v>
      </c>
      <c r="E2032" s="4" t="s">
        <v>29</v>
      </c>
      <c r="F2032" s="3" t="s">
        <v>103</v>
      </c>
      <c r="G2032" s="3">
        <f t="shared" si="2127"/>
        <v>12.9</v>
      </c>
      <c r="H2032" s="14" t="str">
        <f t="shared" ref="H2032" si="2174">IF(NOT(ISNUMBER(VALUE(G2032))), "NA",IF(VALUE(G2032)&gt;15.5,"HIGH",IF(VALUE(G2032)&lt;11,"LOW", "VALUE IN RANGE")))</f>
        <v>VALUE IN RANGE</v>
      </c>
    </row>
    <row r="2033" spans="3:8" x14ac:dyDescent="0.25">
      <c r="C2033" s="13"/>
      <c r="D2033" s="4" t="s">
        <v>1598</v>
      </c>
      <c r="E2033" s="1" t="s">
        <v>31</v>
      </c>
      <c r="F2033" s="5">
        <v>400</v>
      </c>
      <c r="G2033" s="3">
        <f t="shared" si="2127"/>
        <v>400</v>
      </c>
      <c r="H2033" s="14" t="str">
        <f t="shared" ref="H2033" si="2175">IF(NOT(ISNUMBER(VALUE(G2033))), "NA",IF(VALUE(G2033)&gt;460,"HIGH",IF(VALUE(G2033)&lt;117,"LOW", "VALUE IN RANGE")))</f>
        <v>VALUE IN RANGE</v>
      </c>
    </row>
    <row r="2034" spans="3:8" x14ac:dyDescent="0.25">
      <c r="C2034" s="13"/>
      <c r="D2034" s="4" t="s">
        <v>1598</v>
      </c>
      <c r="E2034" s="4" t="s">
        <v>33</v>
      </c>
      <c r="F2034" s="3" t="s">
        <v>996</v>
      </c>
      <c r="G2034" s="3">
        <f t="shared" si="2127"/>
        <v>7.8</v>
      </c>
      <c r="H2034" s="14" t="str">
        <f t="shared" ref="H2034" si="2176">IF(NOT(ISNUMBER(VALUE(G2034))), "NA",IF(VALUE(G2034)&gt;12,"HIGH",IF(VALUE(G2034)&lt;7,"LOW", "VALUE IN RANGE")))</f>
        <v>VALUE IN RANGE</v>
      </c>
    </row>
    <row r="2035" spans="3:8" ht="15" customHeight="1" x14ac:dyDescent="0.25">
      <c r="C2035" s="13" t="str">
        <f t="shared" ref="C2035" si="2177">IF(D2035=D2050,D2049,"falso")</f>
        <v>PATIENT_0128</v>
      </c>
      <c r="D2035" s="4" t="s">
        <v>1599</v>
      </c>
      <c r="E2035" s="1" t="s">
        <v>3</v>
      </c>
      <c r="F2035" s="5" t="s">
        <v>352</v>
      </c>
      <c r="G2035" s="3">
        <f t="shared" si="2127"/>
        <v>4.9000000000000004</v>
      </c>
      <c r="H2035" s="14" t="str">
        <f t="shared" ref="H2035" si="2178">IF(NOT(ISNUMBER(VALUE(G2035))), "NA",IF(VALUE(G2035)&gt;17,"HIGH",IF(VALUE(G2035)&lt;6,"LOW", "VALUE IN RANGE")))</f>
        <v>LOW</v>
      </c>
    </row>
    <row r="2036" spans="3:8" x14ac:dyDescent="0.25">
      <c r="C2036" s="13"/>
      <c r="D2036" s="4" t="s">
        <v>1599</v>
      </c>
      <c r="E2036" s="4" t="s">
        <v>5</v>
      </c>
      <c r="F2036" s="3" t="s">
        <v>363</v>
      </c>
      <c r="G2036" s="3">
        <f t="shared" si="2127"/>
        <v>13.6</v>
      </c>
      <c r="H2036" s="14" t="str">
        <f t="shared" ref="H2036" si="2179">IF(NOT(ISNUMBER(VALUE(G2036))), "NA",IF(VALUE(G2036)&gt;30,"HIGH",IF(VALUE(G2036)&lt;12,"LOW", "VALUE IN RANGE")))</f>
        <v>VALUE IN RANGE</v>
      </c>
    </row>
    <row r="2037" spans="3:8" x14ac:dyDescent="0.25">
      <c r="C2037" s="13"/>
      <c r="D2037" s="4" t="s">
        <v>1599</v>
      </c>
      <c r="E2037" s="1" t="s">
        <v>7</v>
      </c>
      <c r="F2037" s="5" t="s">
        <v>135</v>
      </c>
      <c r="G2037" s="3">
        <f t="shared" si="2127"/>
        <v>3.8</v>
      </c>
      <c r="H2037" s="14" t="str">
        <f t="shared" ref="H2037" si="2180">IF(NOT(ISNUMBER(VALUE(G2037))), "NA",IF(VALUE(G2037)&gt;9,"HIGH",IF(VALUE(G2037)&lt;2,"LOW", "VALUE IN RANGE")))</f>
        <v>VALUE IN RANGE</v>
      </c>
    </row>
    <row r="2038" spans="3:8" x14ac:dyDescent="0.25">
      <c r="C2038" s="13"/>
      <c r="D2038" s="4" t="s">
        <v>1599</v>
      </c>
      <c r="E2038" s="4" t="s">
        <v>9</v>
      </c>
      <c r="F2038" s="3" t="s">
        <v>588</v>
      </c>
      <c r="G2038" s="3">
        <f t="shared" si="2127"/>
        <v>82.6</v>
      </c>
      <c r="H2038" s="14" t="str">
        <f t="shared" ref="H2038" si="2181">IF(NOT(ISNUMBER(VALUE(G2038))), "NA",IF(VALUE(G2038)&gt;83,"HIGH",IF(VALUE(G2038)&lt;60,"LOW", "VALUE IN RANGE")))</f>
        <v>VALUE IN RANGE</v>
      </c>
    </row>
    <row r="2039" spans="3:8" x14ac:dyDescent="0.25">
      <c r="C2039" s="13"/>
      <c r="D2039" s="4" t="s">
        <v>1599</v>
      </c>
      <c r="E2039" s="1" t="s">
        <v>11</v>
      </c>
      <c r="F2039" s="5" t="s">
        <v>52</v>
      </c>
      <c r="G2039" s="3">
        <f t="shared" si="2127"/>
        <v>0.6</v>
      </c>
      <c r="H2039" s="14" t="str">
        <f t="shared" ref="H2039" si="2182">IF(NOT(ISNUMBER(VALUE(G2039))), "NA",IF(VALUE(G2039)&gt;5.1,"HIGH",IF(VALUE(G2039)&lt;0.8,"LOW", "VALUE IN RANGE")))</f>
        <v>LOW</v>
      </c>
    </row>
    <row r="2040" spans="3:8" x14ac:dyDescent="0.25">
      <c r="C2040" s="13"/>
      <c r="D2040" s="4" t="s">
        <v>1599</v>
      </c>
      <c r="E2040" s="4" t="s">
        <v>13</v>
      </c>
      <c r="F2040" s="3" t="s">
        <v>40</v>
      </c>
      <c r="G2040" s="3">
        <f t="shared" si="2127"/>
        <v>0.1</v>
      </c>
      <c r="H2040" s="14" t="str">
        <f t="shared" ref="H2040" si="2183">IF(NOT(ISNUMBER(VALUE(G2040))), "NA",IF(VALUE(G2040)&gt;1.8,"HIGH",IF(VALUE(G2040)&lt;0,"LOW", "VALUE IN RANGE")))</f>
        <v>VALUE IN RANGE</v>
      </c>
    </row>
    <row r="2041" spans="3:8" x14ac:dyDescent="0.25">
      <c r="C2041" s="13"/>
      <c r="D2041" s="4" t="s">
        <v>1599</v>
      </c>
      <c r="E2041" s="1" t="s">
        <v>15</v>
      </c>
      <c r="F2041" s="5">
        <v>4200</v>
      </c>
      <c r="G2041" s="3">
        <f t="shared" si="2127"/>
        <v>4200</v>
      </c>
      <c r="H2041" s="14" t="str">
        <f t="shared" ref="H2041" si="2184">IF(NOT(ISNUMBER(VALUE(G2041))), "NA",IF(VALUE(G2041)&gt;12.6,"HIGH",IF(VALUE(G2041)&lt;4,"LOW", "VALUE IN RANGE")))</f>
        <v>HIGH</v>
      </c>
    </row>
    <row r="2042" spans="3:8" x14ac:dyDescent="0.25">
      <c r="C2042" s="13"/>
      <c r="D2042" s="4" t="s">
        <v>1599</v>
      </c>
      <c r="E2042" s="4" t="s">
        <v>17</v>
      </c>
      <c r="F2042" s="3" t="s">
        <v>1075</v>
      </c>
      <c r="G2042" s="3">
        <f t="shared" si="2127"/>
        <v>7.64</v>
      </c>
      <c r="H2042" s="14" t="str">
        <f t="shared" ref="H2042" si="2185">IF(NOT(ISNUMBER(VALUE(G2042))), "NA",IF(VALUE(G2042)&gt;8.5,"HIGH",IF(VALUE(G2042)&lt;5.5,"LOW", "VALUE IN RANGE")))</f>
        <v>VALUE IN RANGE</v>
      </c>
    </row>
    <row r="2043" spans="3:8" x14ac:dyDescent="0.25">
      <c r="C2043" s="13"/>
      <c r="D2043" s="4" t="s">
        <v>1599</v>
      </c>
      <c r="E2043" s="1" t="s">
        <v>19</v>
      </c>
      <c r="F2043" s="5">
        <v>163</v>
      </c>
      <c r="G2043" s="3">
        <f t="shared" si="2127"/>
        <v>163</v>
      </c>
      <c r="H2043" s="14" t="str">
        <f t="shared" ref="H2043" si="2186">IF(NOT(ISNUMBER(VALUE(G2043))), "NA",IF(VALUE(G2043)&gt;190,"HIGH",IF(VALUE(G2043)&lt;110,"LOW", "VALUE IN RANGE")))</f>
        <v>VALUE IN RANGE</v>
      </c>
    </row>
    <row r="2044" spans="3:8" x14ac:dyDescent="0.25">
      <c r="C2044" s="13"/>
      <c r="D2044" s="4" t="s">
        <v>1599</v>
      </c>
      <c r="E2044" s="4" t="s">
        <v>21</v>
      </c>
      <c r="F2044" s="3" t="s">
        <v>153</v>
      </c>
      <c r="G2044" s="3">
        <f t="shared" si="2127"/>
        <v>50.9</v>
      </c>
      <c r="H2044" s="14" t="str">
        <f t="shared" ref="H2044" si="2187">IF(NOT(ISNUMBER(VALUE(G2044))), "NA",IF(VALUE(G2044)&gt;56,"HIGH",IF(VALUE(G2044)&lt;39,"LOW", "VALUE IN RANGE")))</f>
        <v>VALUE IN RANGE</v>
      </c>
    </row>
    <row r="2045" spans="3:8" x14ac:dyDescent="0.25">
      <c r="C2045" s="13"/>
      <c r="D2045" s="4" t="s">
        <v>1599</v>
      </c>
      <c r="E2045" s="1" t="s">
        <v>23</v>
      </c>
      <c r="F2045" s="5" t="s">
        <v>965</v>
      </c>
      <c r="G2045" s="3">
        <f t="shared" si="2127"/>
        <v>66.7</v>
      </c>
      <c r="H2045" s="14" t="str">
        <f t="shared" ref="H2045" si="2188">IF(NOT(ISNUMBER(VALUE(G2045))), "NA",IF(VALUE(G2045)&gt;72,"HIGH",IF(VALUE(G2045)&lt;62,"LOW", "VALUE IN RANGE")))</f>
        <v>VALUE IN RANGE</v>
      </c>
    </row>
    <row r="2046" spans="3:8" x14ac:dyDescent="0.25">
      <c r="C2046" s="13"/>
      <c r="D2046" s="4" t="s">
        <v>1599</v>
      </c>
      <c r="E2046" s="4" t="s">
        <v>25</v>
      </c>
      <c r="F2046" s="3" t="s">
        <v>252</v>
      </c>
      <c r="G2046" s="3">
        <f t="shared" si="2127"/>
        <v>21.3</v>
      </c>
      <c r="H2046" s="14" t="str">
        <f t="shared" ref="H2046" si="2189">IF(NOT(ISNUMBER(VALUE(G2046))), "NA",IF(VALUE(G2046)&gt;25,"HIGH",IF(VALUE(G2046)&lt;20,"LOW", "VALUE IN RANGE")))</f>
        <v>VALUE IN RANGE</v>
      </c>
    </row>
    <row r="2047" spans="3:8" x14ac:dyDescent="0.25">
      <c r="C2047" s="13"/>
      <c r="D2047" s="4" t="s">
        <v>1599</v>
      </c>
      <c r="E2047" s="1" t="s">
        <v>27</v>
      </c>
      <c r="F2047" s="5">
        <v>320</v>
      </c>
      <c r="G2047" s="3">
        <f t="shared" si="2127"/>
        <v>320</v>
      </c>
      <c r="H2047" s="14" t="str">
        <f t="shared" ref="H2047" si="2190">IF(NOT(ISNUMBER(VALUE(G2047))), "NA",IF(VALUE(G2047)&gt;380,"HIGH",IF(VALUE(G2047)&lt;300,"LOW", "VALUE IN RANGE")))</f>
        <v>VALUE IN RANGE</v>
      </c>
    </row>
    <row r="2048" spans="3:8" x14ac:dyDescent="0.25">
      <c r="C2048" s="13"/>
      <c r="D2048" s="4" t="s">
        <v>1599</v>
      </c>
      <c r="E2048" s="4" t="s">
        <v>29</v>
      </c>
      <c r="F2048" s="3" t="s">
        <v>371</v>
      </c>
      <c r="G2048" s="3">
        <f t="shared" si="2127"/>
        <v>13.2</v>
      </c>
      <c r="H2048" s="14" t="str">
        <f t="shared" ref="H2048" si="2191">IF(NOT(ISNUMBER(VALUE(G2048))), "NA",IF(VALUE(G2048)&gt;15.5,"HIGH",IF(VALUE(G2048)&lt;11,"LOW", "VALUE IN RANGE")))</f>
        <v>VALUE IN RANGE</v>
      </c>
    </row>
    <row r="2049" spans="3:8" x14ac:dyDescent="0.25">
      <c r="C2049" s="13"/>
      <c r="D2049" s="4" t="s">
        <v>1599</v>
      </c>
      <c r="E2049" s="1" t="s">
        <v>31</v>
      </c>
      <c r="F2049" s="5">
        <v>277</v>
      </c>
      <c r="G2049" s="3">
        <f t="shared" si="2127"/>
        <v>277</v>
      </c>
      <c r="H2049" s="14" t="str">
        <f t="shared" ref="H2049" si="2192">IF(NOT(ISNUMBER(VALUE(G2049))), "NA",IF(VALUE(G2049)&gt;460,"HIGH",IF(VALUE(G2049)&lt;117,"LOW", "VALUE IN RANGE")))</f>
        <v>VALUE IN RANGE</v>
      </c>
    </row>
    <row r="2050" spans="3:8" x14ac:dyDescent="0.25">
      <c r="C2050" s="13"/>
      <c r="D2050" s="4" t="s">
        <v>1599</v>
      </c>
      <c r="E2050" s="4" t="s">
        <v>33</v>
      </c>
      <c r="F2050" s="3" t="s">
        <v>428</v>
      </c>
      <c r="G2050" s="3">
        <f t="shared" si="2127"/>
        <v>8.3000000000000007</v>
      </c>
      <c r="H2050" s="14" t="str">
        <f t="shared" ref="H2050" si="2193">IF(NOT(ISNUMBER(VALUE(G2050))), "NA",IF(VALUE(G2050)&gt;12,"HIGH",IF(VALUE(G2050)&lt;7,"LOW", "VALUE IN RANGE")))</f>
        <v>VALUE IN RANGE</v>
      </c>
    </row>
    <row r="2051" spans="3:8" ht="15" customHeight="1" x14ac:dyDescent="0.25">
      <c r="C2051" s="13" t="str">
        <f t="shared" ref="C2051" si="2194">IF(D2051=D2066,D2065,"falso")</f>
        <v>PATIENT_0129</v>
      </c>
      <c r="D2051" s="4" t="s">
        <v>1600</v>
      </c>
      <c r="E2051" s="1" t="s">
        <v>3</v>
      </c>
      <c r="F2051" s="5" t="s">
        <v>179</v>
      </c>
      <c r="G2051" s="3">
        <f t="shared" si="2127"/>
        <v>8</v>
      </c>
      <c r="H2051" s="14" t="str">
        <f t="shared" ref="H2051" si="2195">IF(NOT(ISNUMBER(VALUE(G2051))), "NA",IF(VALUE(G2051)&gt;17,"HIGH",IF(VALUE(G2051)&lt;6,"LOW", "VALUE IN RANGE")))</f>
        <v>VALUE IN RANGE</v>
      </c>
    </row>
    <row r="2052" spans="3:8" x14ac:dyDescent="0.25">
      <c r="C2052" s="13"/>
      <c r="D2052" s="4" t="s">
        <v>1600</v>
      </c>
      <c r="E2052" s="4" t="s">
        <v>5</v>
      </c>
      <c r="F2052" s="3" t="s">
        <v>48</v>
      </c>
      <c r="G2052" s="3">
        <f t="shared" ref="G2052:G2115" si="2196">IFERROR(
   VALUE(
      SUBSTITUTE(
         CLEAN(
            TRIM(F2052)
         ),
         ".",
         ","
      )
   ),
   ""
)</f>
        <v>4.8</v>
      </c>
      <c r="H2052" s="14" t="str">
        <f t="shared" ref="H2052" si="2197">IF(NOT(ISNUMBER(VALUE(G2052))), "NA",IF(VALUE(G2052)&gt;30,"HIGH",IF(VALUE(G2052)&lt;12,"LOW", "VALUE IN RANGE")))</f>
        <v>LOW</v>
      </c>
    </row>
    <row r="2053" spans="3:8" x14ac:dyDescent="0.25">
      <c r="C2053" s="13"/>
      <c r="D2053" s="4" t="s">
        <v>1600</v>
      </c>
      <c r="E2053" s="1" t="s">
        <v>7</v>
      </c>
      <c r="F2053" s="5" t="s">
        <v>47</v>
      </c>
      <c r="G2053" s="3">
        <f t="shared" si="2196"/>
        <v>5.5</v>
      </c>
      <c r="H2053" s="14" t="str">
        <f t="shared" ref="H2053" si="2198">IF(NOT(ISNUMBER(VALUE(G2053))), "NA",IF(VALUE(G2053)&gt;9,"HIGH",IF(VALUE(G2053)&lt;2,"LOW", "VALUE IN RANGE")))</f>
        <v>VALUE IN RANGE</v>
      </c>
    </row>
    <row r="2054" spans="3:8" x14ac:dyDescent="0.25">
      <c r="C2054" s="13"/>
      <c r="D2054" s="4" t="s">
        <v>1600</v>
      </c>
      <c r="E2054" s="4" t="s">
        <v>9</v>
      </c>
      <c r="F2054" s="3" t="s">
        <v>1076</v>
      </c>
      <c r="G2054" s="3">
        <f t="shared" si="2196"/>
        <v>89.7</v>
      </c>
      <c r="H2054" s="14" t="str">
        <f t="shared" ref="H2054" si="2199">IF(NOT(ISNUMBER(VALUE(G2054))), "NA",IF(VALUE(G2054)&gt;83,"HIGH",IF(VALUE(G2054)&lt;60,"LOW", "VALUE IN RANGE")))</f>
        <v>HIGH</v>
      </c>
    </row>
    <row r="2055" spans="3:8" x14ac:dyDescent="0.25">
      <c r="C2055" s="13"/>
      <c r="D2055" s="4" t="s">
        <v>1600</v>
      </c>
      <c r="E2055" s="1" t="s">
        <v>11</v>
      </c>
      <c r="F2055" s="5" t="s">
        <v>14</v>
      </c>
      <c r="G2055" s="3">
        <f t="shared" si="2196"/>
        <v>0.3</v>
      </c>
      <c r="H2055" s="14" t="str">
        <f t="shared" ref="H2055" si="2200">IF(NOT(ISNUMBER(VALUE(G2055))), "NA",IF(VALUE(G2055)&gt;5.1,"HIGH",IF(VALUE(G2055)&lt;0.8,"LOW", "VALUE IN RANGE")))</f>
        <v>LOW</v>
      </c>
    </row>
    <row r="2056" spans="3:8" x14ac:dyDescent="0.25">
      <c r="C2056" s="13"/>
      <c r="D2056" s="4" t="s">
        <v>1600</v>
      </c>
      <c r="E2056" s="4" t="s">
        <v>13</v>
      </c>
      <c r="F2056" s="3" t="s">
        <v>167</v>
      </c>
      <c r="G2056" s="3">
        <f t="shared" si="2196"/>
        <v>0.4</v>
      </c>
      <c r="H2056" s="14" t="str">
        <f t="shared" ref="H2056" si="2201">IF(NOT(ISNUMBER(VALUE(G2056))), "NA",IF(VALUE(G2056)&gt;1.8,"HIGH",IF(VALUE(G2056)&lt;0,"LOW", "VALUE IN RANGE")))</f>
        <v>VALUE IN RANGE</v>
      </c>
    </row>
    <row r="2057" spans="3:8" x14ac:dyDescent="0.25">
      <c r="C2057" s="13"/>
      <c r="D2057" s="4" t="s">
        <v>1600</v>
      </c>
      <c r="E2057" s="1" t="s">
        <v>15</v>
      </c>
      <c r="F2057" s="5">
        <v>7300</v>
      </c>
      <c r="G2057" s="3">
        <f t="shared" si="2196"/>
        <v>7300</v>
      </c>
      <c r="H2057" s="14" t="str">
        <f t="shared" ref="H2057" si="2202">IF(NOT(ISNUMBER(VALUE(G2057))), "NA",IF(VALUE(G2057)&gt;12.6,"HIGH",IF(VALUE(G2057)&lt;4,"LOW", "VALUE IN RANGE")))</f>
        <v>HIGH</v>
      </c>
    </row>
    <row r="2058" spans="3:8" x14ac:dyDescent="0.25">
      <c r="C2058" s="13"/>
      <c r="D2058" s="4" t="s">
        <v>1600</v>
      </c>
      <c r="E2058" s="4" t="s">
        <v>17</v>
      </c>
      <c r="F2058" s="3" t="s">
        <v>1078</v>
      </c>
      <c r="G2058" s="3">
        <f t="shared" si="2196"/>
        <v>6.96</v>
      </c>
      <c r="H2058" s="14" t="str">
        <f t="shared" ref="H2058" si="2203">IF(NOT(ISNUMBER(VALUE(G2058))), "NA",IF(VALUE(G2058)&gt;8.5,"HIGH",IF(VALUE(G2058)&lt;5.5,"LOW", "VALUE IN RANGE")))</f>
        <v>VALUE IN RANGE</v>
      </c>
    </row>
    <row r="2059" spans="3:8" x14ac:dyDescent="0.25">
      <c r="C2059" s="13"/>
      <c r="D2059" s="4" t="s">
        <v>1600</v>
      </c>
      <c r="E2059" s="1" t="s">
        <v>19</v>
      </c>
      <c r="F2059" s="5">
        <v>150</v>
      </c>
      <c r="G2059" s="3">
        <f t="shared" si="2196"/>
        <v>150</v>
      </c>
      <c r="H2059" s="14" t="str">
        <f t="shared" ref="H2059" si="2204">IF(NOT(ISNUMBER(VALUE(G2059))), "NA",IF(VALUE(G2059)&gt;190,"HIGH",IF(VALUE(G2059)&lt;110,"LOW", "VALUE IN RANGE")))</f>
        <v>VALUE IN RANGE</v>
      </c>
    </row>
    <row r="2060" spans="3:8" x14ac:dyDescent="0.25">
      <c r="C2060" s="13"/>
      <c r="D2060" s="4" t="s">
        <v>1600</v>
      </c>
      <c r="E2060" s="4" t="s">
        <v>21</v>
      </c>
      <c r="F2060" s="3" t="s">
        <v>423</v>
      </c>
      <c r="G2060" s="3">
        <f t="shared" si="2196"/>
        <v>46.2</v>
      </c>
      <c r="H2060" s="14" t="str">
        <f t="shared" ref="H2060" si="2205">IF(NOT(ISNUMBER(VALUE(G2060))), "NA",IF(VALUE(G2060)&gt;56,"HIGH",IF(VALUE(G2060)&lt;39,"LOW", "VALUE IN RANGE")))</f>
        <v>VALUE IN RANGE</v>
      </c>
    </row>
    <row r="2061" spans="3:8" x14ac:dyDescent="0.25">
      <c r="C2061" s="13"/>
      <c r="D2061" s="4" t="s">
        <v>1600</v>
      </c>
      <c r="E2061" s="1" t="s">
        <v>23</v>
      </c>
      <c r="F2061" s="5" t="s">
        <v>1079</v>
      </c>
      <c r="G2061" s="3">
        <f t="shared" si="2196"/>
        <v>66.5</v>
      </c>
      <c r="H2061" s="14" t="str">
        <f t="shared" ref="H2061" si="2206">IF(NOT(ISNUMBER(VALUE(G2061))), "NA",IF(VALUE(G2061)&gt;72,"HIGH",IF(VALUE(G2061)&lt;62,"LOW", "VALUE IN RANGE")))</f>
        <v>VALUE IN RANGE</v>
      </c>
    </row>
    <row r="2062" spans="3:8" x14ac:dyDescent="0.25">
      <c r="C2062" s="13"/>
      <c r="D2062" s="4" t="s">
        <v>1600</v>
      </c>
      <c r="E2062" s="4" t="s">
        <v>25</v>
      </c>
      <c r="F2062" s="3" t="s">
        <v>493</v>
      </c>
      <c r="G2062" s="3">
        <f t="shared" si="2196"/>
        <v>21.5</v>
      </c>
      <c r="H2062" s="14" t="str">
        <f t="shared" ref="H2062" si="2207">IF(NOT(ISNUMBER(VALUE(G2062))), "NA",IF(VALUE(G2062)&gt;25,"HIGH",IF(VALUE(G2062)&lt;20,"LOW", "VALUE IN RANGE")))</f>
        <v>VALUE IN RANGE</v>
      </c>
    </row>
    <row r="2063" spans="3:8" x14ac:dyDescent="0.25">
      <c r="C2063" s="13"/>
      <c r="D2063" s="4" t="s">
        <v>1600</v>
      </c>
      <c r="E2063" s="1" t="s">
        <v>27</v>
      </c>
      <c r="F2063" s="5">
        <v>324</v>
      </c>
      <c r="G2063" s="3">
        <f t="shared" si="2196"/>
        <v>324</v>
      </c>
      <c r="H2063" s="14" t="str">
        <f t="shared" ref="H2063" si="2208">IF(NOT(ISNUMBER(VALUE(G2063))), "NA",IF(VALUE(G2063)&gt;380,"HIGH",IF(VALUE(G2063)&lt;300,"LOW", "VALUE IN RANGE")))</f>
        <v>VALUE IN RANGE</v>
      </c>
    </row>
    <row r="2064" spans="3:8" x14ac:dyDescent="0.25">
      <c r="C2064" s="13"/>
      <c r="D2064" s="4" t="s">
        <v>1600</v>
      </c>
      <c r="E2064" s="4" t="s">
        <v>29</v>
      </c>
      <c r="F2064" s="3" t="s">
        <v>58</v>
      </c>
      <c r="G2064" s="3">
        <f t="shared" si="2196"/>
        <v>12.7</v>
      </c>
      <c r="H2064" s="14" t="str">
        <f t="shared" ref="H2064" si="2209">IF(NOT(ISNUMBER(VALUE(G2064))), "NA",IF(VALUE(G2064)&gt;15.5,"HIGH",IF(VALUE(G2064)&lt;11,"LOW", "VALUE IN RANGE")))</f>
        <v>VALUE IN RANGE</v>
      </c>
    </row>
    <row r="2065" spans="3:8" x14ac:dyDescent="0.25">
      <c r="C2065" s="13"/>
      <c r="D2065" s="4" t="s">
        <v>1600</v>
      </c>
      <c r="E2065" s="1" t="s">
        <v>31</v>
      </c>
      <c r="F2065" s="5">
        <v>287</v>
      </c>
      <c r="G2065" s="3">
        <f t="shared" si="2196"/>
        <v>287</v>
      </c>
      <c r="H2065" s="14" t="str">
        <f t="shared" ref="H2065" si="2210">IF(NOT(ISNUMBER(VALUE(G2065))), "NA",IF(VALUE(G2065)&gt;460,"HIGH",IF(VALUE(G2065)&lt;117,"LOW", "VALUE IN RANGE")))</f>
        <v>VALUE IN RANGE</v>
      </c>
    </row>
    <row r="2066" spans="3:8" x14ac:dyDescent="0.25">
      <c r="C2066" s="13"/>
      <c r="D2066" s="4" t="s">
        <v>1600</v>
      </c>
      <c r="E2066" s="4" t="s">
        <v>33</v>
      </c>
      <c r="F2066" s="3" t="s">
        <v>119</v>
      </c>
      <c r="G2066" s="3">
        <f t="shared" si="2196"/>
        <v>8.6999999999999993</v>
      </c>
      <c r="H2066" s="14" t="str">
        <f t="shared" ref="H2066" si="2211">IF(NOT(ISNUMBER(VALUE(G2066))), "NA",IF(VALUE(G2066)&gt;12,"HIGH",IF(VALUE(G2066)&lt;7,"LOW", "VALUE IN RANGE")))</f>
        <v>VALUE IN RANGE</v>
      </c>
    </row>
    <row r="2067" spans="3:8" ht="15" customHeight="1" x14ac:dyDescent="0.25">
      <c r="C2067" s="13" t="str">
        <f t="shared" ref="C2067" si="2212">IF(D2067=D2082,D2081,"falso")</f>
        <v>PATIENT_0130</v>
      </c>
      <c r="D2067" s="4" t="s">
        <v>1601</v>
      </c>
      <c r="E2067" s="1" t="s">
        <v>134</v>
      </c>
      <c r="F2067" s="5" t="s">
        <v>452</v>
      </c>
      <c r="G2067" s="3">
        <f t="shared" si="2196"/>
        <v>4.5</v>
      </c>
      <c r="H2067" s="14" t="str">
        <f t="shared" ref="H2067" si="2213">IF(NOT(ISNUMBER(VALUE(G2067))), "NA",IF(VALUE(G2067)&gt;17,"HIGH",IF(VALUE(G2067)&lt;6,"LOW", "VALUE IN RANGE")))</f>
        <v>LOW</v>
      </c>
    </row>
    <row r="2068" spans="3:8" x14ac:dyDescent="0.25">
      <c r="C2068" s="13"/>
      <c r="D2068" s="4" t="s">
        <v>1601</v>
      </c>
      <c r="E2068" s="4" t="s">
        <v>136</v>
      </c>
      <c r="F2068" s="3" t="s">
        <v>8</v>
      </c>
      <c r="G2068" s="3">
        <f t="shared" si="2196"/>
        <v>4.0999999999999996</v>
      </c>
      <c r="H2068" s="14" t="str">
        <f t="shared" ref="H2068" si="2214">IF(NOT(ISNUMBER(VALUE(G2068))), "NA",IF(VALUE(G2068)&gt;30,"HIGH",IF(VALUE(G2068)&lt;12,"LOW", "VALUE IN RANGE")))</f>
        <v>LOW</v>
      </c>
    </row>
    <row r="2069" spans="3:8" x14ac:dyDescent="0.25">
      <c r="C2069" s="13"/>
      <c r="D2069" s="4" t="s">
        <v>1601</v>
      </c>
      <c r="E2069" s="1" t="s">
        <v>7</v>
      </c>
      <c r="F2069" s="5" t="s">
        <v>257</v>
      </c>
      <c r="G2069" s="3">
        <f t="shared" si="2196"/>
        <v>5.2</v>
      </c>
      <c r="H2069" s="14" t="str">
        <f t="shared" ref="H2069" si="2215">IF(NOT(ISNUMBER(VALUE(G2069))), "NA",IF(VALUE(G2069)&gt;9,"HIGH",IF(VALUE(G2069)&lt;2,"LOW", "VALUE IN RANGE")))</f>
        <v>VALUE IN RANGE</v>
      </c>
    </row>
    <row r="2070" spans="3:8" x14ac:dyDescent="0.25">
      <c r="C2070" s="13"/>
      <c r="D2070" s="4" t="s">
        <v>1601</v>
      </c>
      <c r="E2070" s="4" t="s">
        <v>139</v>
      </c>
      <c r="F2070" s="3" t="s">
        <v>1080</v>
      </c>
      <c r="G2070" s="3">
        <f t="shared" si="2196"/>
        <v>90.7</v>
      </c>
      <c r="H2070" s="14" t="str">
        <f t="shared" ref="H2070" si="2216">IF(NOT(ISNUMBER(VALUE(G2070))), "NA",IF(VALUE(G2070)&gt;83,"HIGH",IF(VALUE(G2070)&lt;60,"LOW", "VALUE IN RANGE")))</f>
        <v>HIGH</v>
      </c>
    </row>
    <row r="2071" spans="3:8" x14ac:dyDescent="0.25">
      <c r="C2071" s="13"/>
      <c r="D2071" s="4" t="s">
        <v>1601</v>
      </c>
      <c r="E2071" s="1" t="s">
        <v>141</v>
      </c>
      <c r="F2071" s="5" t="s">
        <v>40</v>
      </c>
      <c r="G2071" s="3">
        <f t="shared" si="2196"/>
        <v>0.1</v>
      </c>
      <c r="H2071" s="14" t="str">
        <f t="shared" ref="H2071" si="2217">IF(NOT(ISNUMBER(VALUE(G2071))), "NA",IF(VALUE(G2071)&gt;5.1,"HIGH",IF(VALUE(G2071)&lt;0.8,"LOW", "VALUE IN RANGE")))</f>
        <v>LOW</v>
      </c>
    </row>
    <row r="2072" spans="3:8" x14ac:dyDescent="0.25">
      <c r="C2072" s="13"/>
      <c r="D2072" s="4" t="s">
        <v>1601</v>
      </c>
      <c r="E2072" s="4" t="s">
        <v>143</v>
      </c>
      <c r="F2072" s="3" t="s">
        <v>51</v>
      </c>
      <c r="G2072" s="3">
        <f t="shared" si="2196"/>
        <v>0.2</v>
      </c>
      <c r="H2072" s="14" t="str">
        <f t="shared" ref="H2072" si="2218">IF(NOT(ISNUMBER(VALUE(G2072))), "NA",IF(VALUE(G2072)&gt;1.8,"HIGH",IF(VALUE(G2072)&lt;0,"LOW", "VALUE IN RANGE")))</f>
        <v>VALUE IN RANGE</v>
      </c>
    </row>
    <row r="2073" spans="3:8" x14ac:dyDescent="0.25">
      <c r="C2073" s="13"/>
      <c r="D2073" s="4" t="s">
        <v>1601</v>
      </c>
      <c r="E2073" s="1" t="s">
        <v>144</v>
      </c>
      <c r="F2073" s="5">
        <v>4200</v>
      </c>
      <c r="G2073" s="3">
        <f t="shared" si="2196"/>
        <v>4200</v>
      </c>
      <c r="H2073" s="14" t="str">
        <f t="shared" ref="H2073" si="2219">IF(NOT(ISNUMBER(VALUE(G2073))), "NA",IF(VALUE(G2073)&gt;12.6,"HIGH",IF(VALUE(G2073)&lt;4,"LOW", "VALUE IN RANGE")))</f>
        <v>HIGH</v>
      </c>
    </row>
    <row r="2074" spans="3:8" x14ac:dyDescent="0.25">
      <c r="C2074" s="13"/>
      <c r="D2074" s="4" t="s">
        <v>1601</v>
      </c>
      <c r="E2074" s="4" t="s">
        <v>146</v>
      </c>
      <c r="F2074" s="3" t="s">
        <v>1081</v>
      </c>
      <c r="G2074" s="3">
        <f t="shared" si="2196"/>
        <v>8.42</v>
      </c>
      <c r="H2074" s="14" t="str">
        <f t="shared" ref="H2074" si="2220">IF(NOT(ISNUMBER(VALUE(G2074))), "NA",IF(VALUE(G2074)&gt;8.5,"HIGH",IF(VALUE(G2074)&lt;5.5,"LOW", "VALUE IN RANGE")))</f>
        <v>VALUE IN RANGE</v>
      </c>
    </row>
    <row r="2075" spans="3:8" x14ac:dyDescent="0.25">
      <c r="C2075" s="13"/>
      <c r="D2075" s="4" t="s">
        <v>1601</v>
      </c>
      <c r="E2075" s="1" t="s">
        <v>148</v>
      </c>
      <c r="F2075" s="5">
        <v>114</v>
      </c>
      <c r="G2075" s="3">
        <f t="shared" si="2196"/>
        <v>114</v>
      </c>
      <c r="H2075" s="14" t="str">
        <f t="shared" ref="H2075" si="2221">IF(NOT(ISNUMBER(VALUE(G2075))), "NA",IF(VALUE(G2075)&gt;190,"HIGH",IF(VALUE(G2075)&lt;110,"LOW", "VALUE IN RANGE")))</f>
        <v>VALUE IN RANGE</v>
      </c>
    </row>
    <row r="2076" spans="3:8" x14ac:dyDescent="0.25">
      <c r="C2076" s="13"/>
      <c r="D2076" s="4" t="s">
        <v>1601</v>
      </c>
      <c r="E2076" s="4" t="s">
        <v>150</v>
      </c>
      <c r="F2076" s="3" t="s">
        <v>697</v>
      </c>
      <c r="G2076" s="3">
        <f t="shared" si="2196"/>
        <v>39.700000000000003</v>
      </c>
      <c r="H2076" s="14" t="str">
        <f t="shared" ref="H2076" si="2222">IF(NOT(ISNUMBER(VALUE(G2076))), "NA",IF(VALUE(G2076)&gt;56,"HIGH",IF(VALUE(G2076)&lt;39,"LOW", "VALUE IN RANGE")))</f>
        <v>VALUE IN RANGE</v>
      </c>
    </row>
    <row r="2077" spans="3:8" x14ac:dyDescent="0.25">
      <c r="C2077" s="13"/>
      <c r="D2077" s="4" t="s">
        <v>1601</v>
      </c>
      <c r="E2077" s="1" t="s">
        <v>152</v>
      </c>
      <c r="F2077" s="5" t="s">
        <v>717</v>
      </c>
      <c r="G2077" s="3">
        <f t="shared" si="2196"/>
        <v>47.2</v>
      </c>
      <c r="H2077" s="14" t="str">
        <f t="shared" ref="H2077" si="2223">IF(NOT(ISNUMBER(VALUE(G2077))), "NA",IF(VALUE(G2077)&gt;72,"HIGH",IF(VALUE(G2077)&lt;62,"LOW", "VALUE IN RANGE")))</f>
        <v>LOW</v>
      </c>
    </row>
    <row r="2078" spans="3:8" x14ac:dyDescent="0.25">
      <c r="C2078" s="13"/>
      <c r="D2078" s="4" t="s">
        <v>1601</v>
      </c>
      <c r="E2078" s="4" t="s">
        <v>154</v>
      </c>
      <c r="F2078" s="3" t="s">
        <v>671</v>
      </c>
      <c r="G2078" s="3">
        <f t="shared" si="2196"/>
        <v>13.5</v>
      </c>
      <c r="H2078" s="14" t="str">
        <f t="shared" ref="H2078" si="2224">IF(NOT(ISNUMBER(VALUE(G2078))), "NA",IF(VALUE(G2078)&gt;25,"HIGH",IF(VALUE(G2078)&lt;20,"LOW", "VALUE IN RANGE")))</f>
        <v>LOW</v>
      </c>
    </row>
    <row r="2079" spans="3:8" x14ac:dyDescent="0.25">
      <c r="C2079" s="13"/>
      <c r="D2079" s="4" t="s">
        <v>1601</v>
      </c>
      <c r="E2079" s="1" t="s">
        <v>27</v>
      </c>
      <c r="F2079" s="5">
        <v>287</v>
      </c>
      <c r="G2079" s="3">
        <f t="shared" si="2196"/>
        <v>287</v>
      </c>
      <c r="H2079" s="14" t="str">
        <f t="shared" ref="H2079" si="2225">IF(NOT(ISNUMBER(VALUE(G2079))), "NA",IF(VALUE(G2079)&gt;380,"HIGH",IF(VALUE(G2079)&lt;300,"LOW", "VALUE IN RANGE")))</f>
        <v>LOW</v>
      </c>
    </row>
    <row r="2080" spans="3:8" x14ac:dyDescent="0.25">
      <c r="C2080" s="13"/>
      <c r="D2080" s="4" t="s">
        <v>1601</v>
      </c>
      <c r="E2080" s="4" t="s">
        <v>157</v>
      </c>
      <c r="F2080" s="3" t="s">
        <v>200</v>
      </c>
      <c r="G2080" s="3">
        <f t="shared" si="2196"/>
        <v>15</v>
      </c>
      <c r="H2080" s="14" t="str">
        <f t="shared" ref="H2080" si="2226">IF(NOT(ISNUMBER(VALUE(G2080))), "NA",IF(VALUE(G2080)&gt;15.5,"HIGH",IF(VALUE(G2080)&lt;11,"LOW", "VALUE IN RANGE")))</f>
        <v>VALUE IN RANGE</v>
      </c>
    </row>
    <row r="2081" spans="3:8" x14ac:dyDescent="0.25">
      <c r="C2081" s="13"/>
      <c r="D2081" s="4" t="s">
        <v>1601</v>
      </c>
      <c r="E2081" s="1" t="s">
        <v>159</v>
      </c>
      <c r="F2081" s="5">
        <v>203</v>
      </c>
      <c r="G2081" s="3">
        <f t="shared" si="2196"/>
        <v>203</v>
      </c>
      <c r="H2081" s="14" t="str">
        <f t="shared" ref="H2081" si="2227">IF(NOT(ISNUMBER(VALUE(G2081))), "NA",IF(VALUE(G2081)&gt;460,"HIGH",IF(VALUE(G2081)&lt;117,"LOW", "VALUE IN RANGE")))</f>
        <v>VALUE IN RANGE</v>
      </c>
    </row>
    <row r="2082" spans="3:8" x14ac:dyDescent="0.25">
      <c r="C2082" s="13"/>
      <c r="D2082" s="4" t="s">
        <v>1601</v>
      </c>
      <c r="E2082" s="4" t="s">
        <v>161</v>
      </c>
      <c r="F2082" s="3" t="s">
        <v>292</v>
      </c>
      <c r="G2082" s="3">
        <f t="shared" si="2196"/>
        <v>11.7</v>
      </c>
      <c r="H2082" s="14" t="str">
        <f t="shared" ref="H2082" si="2228">IF(NOT(ISNUMBER(VALUE(G2082))), "NA",IF(VALUE(G2082)&gt;12,"HIGH",IF(VALUE(G2082)&lt;7,"LOW", "VALUE IN RANGE")))</f>
        <v>VALUE IN RANGE</v>
      </c>
    </row>
    <row r="2083" spans="3:8" ht="15" customHeight="1" x14ac:dyDescent="0.25">
      <c r="C2083" s="13" t="str">
        <f t="shared" ref="C2083" si="2229">IF(D2083=D2098,D2097,"falso")</f>
        <v>PATIENT_0131</v>
      </c>
      <c r="D2083" s="4" t="s">
        <v>1602</v>
      </c>
      <c r="E2083" s="1" t="s">
        <v>134</v>
      </c>
      <c r="F2083" s="5" t="s">
        <v>1083</v>
      </c>
      <c r="G2083" s="3">
        <f t="shared" si="2196"/>
        <v>11.9</v>
      </c>
      <c r="H2083" s="14" t="str">
        <f t="shared" ref="H2083" si="2230">IF(NOT(ISNUMBER(VALUE(G2083))), "NA",IF(VALUE(G2083)&gt;17,"HIGH",IF(VALUE(G2083)&lt;6,"LOW", "VALUE IN RANGE")))</f>
        <v>VALUE IN RANGE</v>
      </c>
    </row>
    <row r="2084" spans="3:8" x14ac:dyDescent="0.25">
      <c r="C2084" s="13"/>
      <c r="D2084" s="4" t="s">
        <v>1602</v>
      </c>
      <c r="E2084" s="4" t="s">
        <v>136</v>
      </c>
      <c r="F2084" s="3" t="s">
        <v>362</v>
      </c>
      <c r="G2084" s="3">
        <f t="shared" si="2196"/>
        <v>0.8</v>
      </c>
      <c r="H2084" s="14" t="str">
        <f t="shared" ref="H2084" si="2231">IF(NOT(ISNUMBER(VALUE(G2084))), "NA",IF(VALUE(G2084)&gt;30,"HIGH",IF(VALUE(G2084)&lt;12,"LOW", "VALUE IN RANGE")))</f>
        <v>LOW</v>
      </c>
    </row>
    <row r="2085" spans="3:8" x14ac:dyDescent="0.25">
      <c r="C2085" s="13"/>
      <c r="D2085" s="4" t="s">
        <v>1602</v>
      </c>
      <c r="E2085" s="1" t="s">
        <v>7</v>
      </c>
      <c r="F2085" s="5" t="s">
        <v>1084</v>
      </c>
      <c r="G2085" s="3">
        <f t="shared" si="2196"/>
        <v>1.9</v>
      </c>
      <c r="H2085" s="14" t="str">
        <f t="shared" ref="H2085" si="2232">IF(NOT(ISNUMBER(VALUE(G2085))), "NA",IF(VALUE(G2085)&gt;9,"HIGH",IF(VALUE(G2085)&lt;2,"LOW", "VALUE IN RANGE")))</f>
        <v>LOW</v>
      </c>
    </row>
    <row r="2086" spans="3:8" x14ac:dyDescent="0.25">
      <c r="C2086" s="13"/>
      <c r="D2086" s="4" t="s">
        <v>1602</v>
      </c>
      <c r="E2086" s="4" t="s">
        <v>139</v>
      </c>
      <c r="F2086" s="3" t="s">
        <v>1085</v>
      </c>
      <c r="G2086" s="3">
        <f t="shared" si="2196"/>
        <v>97.3</v>
      </c>
      <c r="H2086" s="14" t="str">
        <f t="shared" ref="H2086" si="2233">IF(NOT(ISNUMBER(VALUE(G2086))), "NA",IF(VALUE(G2086)&gt;83,"HIGH",IF(VALUE(G2086)&lt;60,"LOW", "VALUE IN RANGE")))</f>
        <v>HIGH</v>
      </c>
    </row>
    <row r="2087" spans="3:8" x14ac:dyDescent="0.25">
      <c r="C2087" s="13"/>
      <c r="D2087" s="4" t="s">
        <v>1602</v>
      </c>
      <c r="E2087" s="1" t="s">
        <v>141</v>
      </c>
      <c r="F2087" s="5" t="s">
        <v>39</v>
      </c>
      <c r="G2087" s="3">
        <f t="shared" si="2196"/>
        <v>0</v>
      </c>
      <c r="H2087" s="14" t="str">
        <f t="shared" ref="H2087" si="2234">IF(NOT(ISNUMBER(VALUE(G2087))), "NA",IF(VALUE(G2087)&gt;5.1,"HIGH",IF(VALUE(G2087)&lt;0.8,"LOW", "VALUE IN RANGE")))</f>
        <v>LOW</v>
      </c>
    </row>
    <row r="2088" spans="3:8" x14ac:dyDescent="0.25">
      <c r="C2088" s="13"/>
      <c r="D2088" s="4" t="s">
        <v>1602</v>
      </c>
      <c r="E2088" s="4" t="s">
        <v>143</v>
      </c>
      <c r="F2088" s="3" t="s">
        <v>51</v>
      </c>
      <c r="G2088" s="3">
        <f t="shared" si="2196"/>
        <v>0.2</v>
      </c>
      <c r="H2088" s="14" t="str">
        <f t="shared" ref="H2088" si="2235">IF(NOT(ISNUMBER(VALUE(G2088))), "NA",IF(VALUE(G2088)&gt;1.8,"HIGH",IF(VALUE(G2088)&lt;0,"LOW", "VALUE IN RANGE")))</f>
        <v>VALUE IN RANGE</v>
      </c>
    </row>
    <row r="2089" spans="3:8" x14ac:dyDescent="0.25">
      <c r="C2089" s="13"/>
      <c r="D2089" s="4" t="s">
        <v>1602</v>
      </c>
      <c r="E2089" s="1" t="s">
        <v>144</v>
      </c>
      <c r="F2089" s="5">
        <v>11700</v>
      </c>
      <c r="G2089" s="3">
        <f t="shared" si="2196"/>
        <v>11700</v>
      </c>
      <c r="H2089" s="14" t="str">
        <f t="shared" ref="H2089" si="2236">IF(NOT(ISNUMBER(VALUE(G2089))), "NA",IF(VALUE(G2089)&gt;12.6,"HIGH",IF(VALUE(G2089)&lt;4,"LOW", "VALUE IN RANGE")))</f>
        <v>HIGH</v>
      </c>
    </row>
    <row r="2090" spans="3:8" x14ac:dyDescent="0.25">
      <c r="C2090" s="13"/>
      <c r="D2090" s="4" t="s">
        <v>1602</v>
      </c>
      <c r="E2090" s="4" t="s">
        <v>146</v>
      </c>
      <c r="F2090" s="3" t="s">
        <v>1087</v>
      </c>
      <c r="G2090" s="3">
        <f t="shared" si="2196"/>
        <v>11.11</v>
      </c>
      <c r="H2090" s="14" t="str">
        <f t="shared" ref="H2090" si="2237">IF(NOT(ISNUMBER(VALUE(G2090))), "NA",IF(VALUE(G2090)&gt;8.5,"HIGH",IF(VALUE(G2090)&lt;5.5,"LOW", "VALUE IN RANGE")))</f>
        <v>HIGH</v>
      </c>
    </row>
    <row r="2091" spans="3:8" x14ac:dyDescent="0.25">
      <c r="C2091" s="13"/>
      <c r="D2091" s="4" t="s">
        <v>1602</v>
      </c>
      <c r="E2091" s="1" t="s">
        <v>148</v>
      </c>
      <c r="F2091" s="5">
        <v>165</v>
      </c>
      <c r="G2091" s="3">
        <f t="shared" si="2196"/>
        <v>165</v>
      </c>
      <c r="H2091" s="14" t="str">
        <f t="shared" ref="H2091" si="2238">IF(NOT(ISNUMBER(VALUE(G2091))), "NA",IF(VALUE(G2091)&gt;190,"HIGH",IF(VALUE(G2091)&lt;110,"LOW", "VALUE IN RANGE")))</f>
        <v>VALUE IN RANGE</v>
      </c>
    </row>
    <row r="2092" spans="3:8" x14ac:dyDescent="0.25">
      <c r="C2092" s="13"/>
      <c r="D2092" s="4" t="s">
        <v>1602</v>
      </c>
      <c r="E2092" s="4" t="s">
        <v>150</v>
      </c>
      <c r="F2092" s="3" t="s">
        <v>1088</v>
      </c>
      <c r="G2092" s="3">
        <f t="shared" si="2196"/>
        <v>57.6</v>
      </c>
      <c r="H2092" s="14" t="str">
        <f t="shared" ref="H2092" si="2239">IF(NOT(ISNUMBER(VALUE(G2092))), "NA",IF(VALUE(G2092)&gt;56,"HIGH",IF(VALUE(G2092)&lt;39,"LOW", "VALUE IN RANGE")))</f>
        <v>HIGH</v>
      </c>
    </row>
    <row r="2093" spans="3:8" x14ac:dyDescent="0.25">
      <c r="C2093" s="13"/>
      <c r="D2093" s="4" t="s">
        <v>1602</v>
      </c>
      <c r="E2093" s="1" t="s">
        <v>152</v>
      </c>
      <c r="F2093" s="5" t="s">
        <v>326</v>
      </c>
      <c r="G2093" s="3">
        <f t="shared" si="2196"/>
        <v>51.9</v>
      </c>
      <c r="H2093" s="14" t="str">
        <f t="shared" ref="H2093" si="2240">IF(NOT(ISNUMBER(VALUE(G2093))), "NA",IF(VALUE(G2093)&gt;72,"HIGH",IF(VALUE(G2093)&lt;62,"LOW", "VALUE IN RANGE")))</f>
        <v>LOW</v>
      </c>
    </row>
    <row r="2094" spans="3:8" x14ac:dyDescent="0.25">
      <c r="C2094" s="13"/>
      <c r="D2094" s="4" t="s">
        <v>1602</v>
      </c>
      <c r="E2094" s="4" t="s">
        <v>154</v>
      </c>
      <c r="F2094" s="3" t="s">
        <v>1089</v>
      </c>
      <c r="G2094" s="3">
        <f t="shared" si="2196"/>
        <v>14.8</v>
      </c>
      <c r="H2094" s="14" t="str">
        <f t="shared" ref="H2094" si="2241">IF(NOT(ISNUMBER(VALUE(G2094))), "NA",IF(VALUE(G2094)&gt;25,"HIGH",IF(VALUE(G2094)&lt;20,"LOW", "VALUE IN RANGE")))</f>
        <v>LOW</v>
      </c>
    </row>
    <row r="2095" spans="3:8" x14ac:dyDescent="0.25">
      <c r="C2095" s="13"/>
      <c r="D2095" s="4" t="s">
        <v>1602</v>
      </c>
      <c r="E2095" s="1" t="s">
        <v>27</v>
      </c>
      <c r="F2095" s="5">
        <v>286</v>
      </c>
      <c r="G2095" s="3">
        <f t="shared" si="2196"/>
        <v>286</v>
      </c>
      <c r="H2095" s="14" t="str">
        <f t="shared" ref="H2095" si="2242">IF(NOT(ISNUMBER(VALUE(G2095))), "NA",IF(VALUE(G2095)&gt;380,"HIGH",IF(VALUE(G2095)&lt;300,"LOW", "VALUE IN RANGE")))</f>
        <v>LOW</v>
      </c>
    </row>
    <row r="2096" spans="3:8" x14ac:dyDescent="0.25">
      <c r="C2096" s="13"/>
      <c r="D2096" s="4" t="s">
        <v>1602</v>
      </c>
      <c r="E2096" s="4" t="s">
        <v>157</v>
      </c>
      <c r="F2096" s="3" t="s">
        <v>392</v>
      </c>
      <c r="G2096" s="3">
        <f t="shared" si="2196"/>
        <v>15.2</v>
      </c>
      <c r="H2096" s="14" t="str">
        <f t="shared" ref="H2096" si="2243">IF(NOT(ISNUMBER(VALUE(G2096))), "NA",IF(VALUE(G2096)&gt;15.5,"HIGH",IF(VALUE(G2096)&lt;11,"LOW", "VALUE IN RANGE")))</f>
        <v>VALUE IN RANGE</v>
      </c>
    </row>
    <row r="2097" spans="3:8" x14ac:dyDescent="0.25">
      <c r="C2097" s="13"/>
      <c r="D2097" s="4" t="s">
        <v>1602</v>
      </c>
      <c r="E2097" s="1" t="s">
        <v>159</v>
      </c>
      <c r="F2097" s="5">
        <v>242</v>
      </c>
      <c r="G2097" s="3">
        <f t="shared" si="2196"/>
        <v>242</v>
      </c>
      <c r="H2097" s="14" t="str">
        <f t="shared" ref="H2097" si="2244">IF(NOT(ISNUMBER(VALUE(G2097))), "NA",IF(VALUE(G2097)&gt;460,"HIGH",IF(VALUE(G2097)&lt;117,"LOW", "VALUE IN RANGE")))</f>
        <v>VALUE IN RANGE</v>
      </c>
    </row>
    <row r="2098" spans="3:8" x14ac:dyDescent="0.25">
      <c r="C2098" s="13"/>
      <c r="D2098" s="4" t="s">
        <v>1602</v>
      </c>
      <c r="E2098" s="4" t="s">
        <v>161</v>
      </c>
      <c r="F2098" s="3" t="s">
        <v>1091</v>
      </c>
      <c r="G2098" s="3">
        <f t="shared" si="2196"/>
        <v>9.1</v>
      </c>
      <c r="H2098" s="14" t="str">
        <f t="shared" ref="H2098" si="2245">IF(NOT(ISNUMBER(VALUE(G2098))), "NA",IF(VALUE(G2098)&gt;12,"HIGH",IF(VALUE(G2098)&lt;7,"LOW", "VALUE IN RANGE")))</f>
        <v>VALUE IN RANGE</v>
      </c>
    </row>
    <row r="2099" spans="3:8" ht="15" customHeight="1" x14ac:dyDescent="0.25">
      <c r="C2099" s="13" t="str">
        <f t="shared" ref="C2099" si="2246">IF(D2099=D2114,D2113,"falso")</f>
        <v>PATIENT_0132</v>
      </c>
      <c r="D2099" s="4" t="s">
        <v>1603</v>
      </c>
      <c r="E2099" s="1" t="s">
        <v>134</v>
      </c>
      <c r="F2099" s="5" t="s">
        <v>546</v>
      </c>
      <c r="G2099" s="3">
        <f t="shared" si="2196"/>
        <v>9.3000000000000007</v>
      </c>
      <c r="H2099" s="14" t="str">
        <f t="shared" ref="H2099" si="2247">IF(NOT(ISNUMBER(VALUE(G2099))), "NA",IF(VALUE(G2099)&gt;17,"HIGH",IF(VALUE(G2099)&lt;6,"LOW", "VALUE IN RANGE")))</f>
        <v>VALUE IN RANGE</v>
      </c>
    </row>
    <row r="2100" spans="3:8" x14ac:dyDescent="0.25">
      <c r="C2100" s="13"/>
      <c r="D2100" s="4" t="s">
        <v>1603</v>
      </c>
      <c r="E2100" s="4" t="s">
        <v>136</v>
      </c>
      <c r="F2100" s="3" t="s">
        <v>1092</v>
      </c>
      <c r="G2100" s="3">
        <f t="shared" si="2196"/>
        <v>28.6</v>
      </c>
      <c r="H2100" s="14" t="str">
        <f t="shared" ref="H2100" si="2248">IF(NOT(ISNUMBER(VALUE(G2100))), "NA",IF(VALUE(G2100)&gt;30,"HIGH",IF(VALUE(G2100)&lt;12,"LOW", "VALUE IN RANGE")))</f>
        <v>VALUE IN RANGE</v>
      </c>
    </row>
    <row r="2101" spans="3:8" x14ac:dyDescent="0.25">
      <c r="C2101" s="13"/>
      <c r="D2101" s="4" t="s">
        <v>1603</v>
      </c>
      <c r="E2101" s="1" t="s">
        <v>7</v>
      </c>
      <c r="F2101" s="5" t="s">
        <v>517</v>
      </c>
      <c r="G2101" s="3">
        <f t="shared" si="2196"/>
        <v>5.8</v>
      </c>
      <c r="H2101" s="14" t="str">
        <f t="shared" ref="H2101" si="2249">IF(NOT(ISNUMBER(VALUE(G2101))), "NA",IF(VALUE(G2101)&gt;9,"HIGH",IF(VALUE(G2101)&lt;2,"LOW", "VALUE IN RANGE")))</f>
        <v>VALUE IN RANGE</v>
      </c>
    </row>
    <row r="2102" spans="3:8" x14ac:dyDescent="0.25">
      <c r="C2102" s="13"/>
      <c r="D2102" s="4" t="s">
        <v>1603</v>
      </c>
      <c r="E2102" s="4" t="s">
        <v>139</v>
      </c>
      <c r="F2102" s="3" t="s">
        <v>1093</v>
      </c>
      <c r="G2102" s="3">
        <f t="shared" si="2196"/>
        <v>65.599999999999994</v>
      </c>
      <c r="H2102" s="14" t="str">
        <f t="shared" ref="H2102" si="2250">IF(NOT(ISNUMBER(VALUE(G2102))), "NA",IF(VALUE(G2102)&gt;83,"HIGH",IF(VALUE(G2102)&lt;60,"LOW", "VALUE IN RANGE")))</f>
        <v>VALUE IN RANGE</v>
      </c>
    </row>
    <row r="2103" spans="3:8" x14ac:dyDescent="0.25">
      <c r="C2103" s="13"/>
      <c r="D2103" s="4" t="s">
        <v>1603</v>
      </c>
      <c r="E2103" s="1" t="s">
        <v>141</v>
      </c>
      <c r="F2103" s="5">
        <v>2600</v>
      </c>
      <c r="G2103" s="3">
        <f t="shared" si="2196"/>
        <v>2600</v>
      </c>
      <c r="H2103" s="14" t="str">
        <f t="shared" ref="H2103" si="2251">IF(NOT(ISNUMBER(VALUE(G2103))), "NA",IF(VALUE(G2103)&gt;5.1,"HIGH",IF(VALUE(G2103)&lt;0.8,"LOW", "VALUE IN RANGE")))</f>
        <v>HIGH</v>
      </c>
    </row>
    <row r="2104" spans="3:8" x14ac:dyDescent="0.25">
      <c r="C2104" s="13"/>
      <c r="D2104" s="4" t="s">
        <v>1603</v>
      </c>
      <c r="E2104" s="4" t="s">
        <v>143</v>
      </c>
      <c r="F2104" s="3" t="s">
        <v>109</v>
      </c>
      <c r="G2104" s="3">
        <f t="shared" si="2196"/>
        <v>0.5</v>
      </c>
      <c r="H2104" s="14" t="str">
        <f t="shared" ref="H2104" si="2252">IF(NOT(ISNUMBER(VALUE(G2104))), "NA",IF(VALUE(G2104)&gt;1.8,"HIGH",IF(VALUE(G2104)&lt;0,"LOW", "VALUE IN RANGE")))</f>
        <v>VALUE IN RANGE</v>
      </c>
    </row>
    <row r="2105" spans="3:8" x14ac:dyDescent="0.25">
      <c r="C2105" s="13"/>
      <c r="D2105" s="4" t="s">
        <v>1603</v>
      </c>
      <c r="E2105" s="1" t="s">
        <v>144</v>
      </c>
      <c r="F2105" s="5">
        <v>6200</v>
      </c>
      <c r="G2105" s="3">
        <f t="shared" si="2196"/>
        <v>6200</v>
      </c>
      <c r="H2105" s="14" t="str">
        <f t="shared" ref="H2105" si="2253">IF(NOT(ISNUMBER(VALUE(G2105))), "NA",IF(VALUE(G2105)&gt;12.6,"HIGH",IF(VALUE(G2105)&lt;4,"LOW", "VALUE IN RANGE")))</f>
        <v>HIGH</v>
      </c>
    </row>
    <row r="2106" spans="3:8" x14ac:dyDescent="0.25">
      <c r="C2106" s="13"/>
      <c r="D2106" s="4" t="s">
        <v>1603</v>
      </c>
      <c r="E2106" s="4" t="s">
        <v>146</v>
      </c>
      <c r="F2106" s="3" t="s">
        <v>1095</v>
      </c>
      <c r="G2106" s="3">
        <f t="shared" si="2196"/>
        <v>7.15</v>
      </c>
      <c r="H2106" s="14" t="str">
        <f t="shared" ref="H2106" si="2254">IF(NOT(ISNUMBER(VALUE(G2106))), "NA",IF(VALUE(G2106)&gt;8.5,"HIGH",IF(VALUE(G2106)&lt;5.5,"LOW", "VALUE IN RANGE")))</f>
        <v>VALUE IN RANGE</v>
      </c>
    </row>
    <row r="2107" spans="3:8" x14ac:dyDescent="0.25">
      <c r="C2107" s="13"/>
      <c r="D2107" s="4" t="s">
        <v>1603</v>
      </c>
      <c r="E2107" s="1" t="s">
        <v>148</v>
      </c>
      <c r="F2107" s="5">
        <v>101</v>
      </c>
      <c r="G2107" s="3">
        <f t="shared" si="2196"/>
        <v>101</v>
      </c>
      <c r="H2107" s="14" t="str">
        <f t="shared" ref="H2107" si="2255">IF(NOT(ISNUMBER(VALUE(G2107))), "NA",IF(VALUE(G2107)&gt;190,"HIGH",IF(VALUE(G2107)&lt;110,"LOW", "VALUE IN RANGE")))</f>
        <v>LOW</v>
      </c>
    </row>
    <row r="2108" spans="3:8" x14ac:dyDescent="0.25">
      <c r="C2108" s="13"/>
      <c r="D2108" s="4" t="s">
        <v>1603</v>
      </c>
      <c r="E2108" s="4" t="s">
        <v>150</v>
      </c>
      <c r="F2108" s="3" t="s">
        <v>1096</v>
      </c>
      <c r="G2108" s="3">
        <f t="shared" si="2196"/>
        <v>38</v>
      </c>
      <c r="H2108" s="14" t="str">
        <f t="shared" ref="H2108" si="2256">IF(NOT(ISNUMBER(VALUE(G2108))), "NA",IF(VALUE(G2108)&gt;56,"HIGH",IF(VALUE(G2108)&lt;39,"LOW", "VALUE IN RANGE")))</f>
        <v>LOW</v>
      </c>
    </row>
    <row r="2109" spans="3:8" x14ac:dyDescent="0.25">
      <c r="C2109" s="13"/>
      <c r="D2109" s="4" t="s">
        <v>1603</v>
      </c>
      <c r="E2109" s="1" t="s">
        <v>152</v>
      </c>
      <c r="F2109" s="5" t="s">
        <v>184</v>
      </c>
      <c r="G2109" s="3">
        <f t="shared" si="2196"/>
        <v>53.2</v>
      </c>
      <c r="H2109" s="14" t="str">
        <f t="shared" ref="H2109" si="2257">IF(NOT(ISNUMBER(VALUE(G2109))), "NA",IF(VALUE(G2109)&gt;72,"HIGH",IF(VALUE(G2109)&lt;62,"LOW", "VALUE IN RANGE")))</f>
        <v>LOW</v>
      </c>
    </row>
    <row r="2110" spans="3:8" x14ac:dyDescent="0.25">
      <c r="C2110" s="13"/>
      <c r="D2110" s="4" t="s">
        <v>1603</v>
      </c>
      <c r="E2110" s="4" t="s">
        <v>154</v>
      </c>
      <c r="F2110" s="3" t="s">
        <v>88</v>
      </c>
      <c r="G2110" s="3">
        <f t="shared" si="2196"/>
        <v>14.1</v>
      </c>
      <c r="H2110" s="14" t="str">
        <f t="shared" ref="H2110" si="2258">IF(NOT(ISNUMBER(VALUE(G2110))), "NA",IF(VALUE(G2110)&gt;25,"HIGH",IF(VALUE(G2110)&lt;20,"LOW", "VALUE IN RANGE")))</f>
        <v>LOW</v>
      </c>
    </row>
    <row r="2111" spans="3:8" x14ac:dyDescent="0.25">
      <c r="C2111" s="13"/>
      <c r="D2111" s="4" t="s">
        <v>1603</v>
      </c>
      <c r="E2111" s="1" t="s">
        <v>27</v>
      </c>
      <c r="F2111" s="5">
        <v>265</v>
      </c>
      <c r="G2111" s="3">
        <f t="shared" si="2196"/>
        <v>265</v>
      </c>
      <c r="H2111" s="14" t="str">
        <f t="shared" ref="H2111" si="2259">IF(NOT(ISNUMBER(VALUE(G2111))), "NA",IF(VALUE(G2111)&gt;380,"HIGH",IF(VALUE(G2111)&lt;300,"LOW", "VALUE IN RANGE")))</f>
        <v>LOW</v>
      </c>
    </row>
    <row r="2112" spans="3:8" x14ac:dyDescent="0.25">
      <c r="C2112" s="13"/>
      <c r="D2112" s="4" t="s">
        <v>1603</v>
      </c>
      <c r="E2112" s="4" t="s">
        <v>157</v>
      </c>
      <c r="F2112" s="3" t="s">
        <v>1032</v>
      </c>
      <c r="G2112" s="3">
        <f t="shared" si="2196"/>
        <v>15.6</v>
      </c>
      <c r="H2112" s="14" t="str">
        <f t="shared" ref="H2112" si="2260">IF(NOT(ISNUMBER(VALUE(G2112))), "NA",IF(VALUE(G2112)&gt;15.5,"HIGH",IF(VALUE(G2112)&lt;11,"LOW", "VALUE IN RANGE")))</f>
        <v>HIGH</v>
      </c>
    </row>
    <row r="2113" spans="3:8" x14ac:dyDescent="0.25">
      <c r="C2113" s="13"/>
      <c r="D2113" s="4" t="s">
        <v>1603</v>
      </c>
      <c r="E2113" s="1" t="s">
        <v>159</v>
      </c>
      <c r="F2113" s="5">
        <v>66</v>
      </c>
      <c r="G2113" s="3">
        <f t="shared" si="2196"/>
        <v>66</v>
      </c>
      <c r="H2113" s="14" t="str">
        <f t="shared" ref="H2113" si="2261">IF(NOT(ISNUMBER(VALUE(G2113))), "NA",IF(VALUE(G2113)&gt;460,"HIGH",IF(VALUE(G2113)&lt;117,"LOW", "VALUE IN RANGE")))</f>
        <v>LOW</v>
      </c>
    </row>
    <row r="2114" spans="3:8" x14ac:dyDescent="0.25">
      <c r="C2114" s="13"/>
      <c r="D2114" s="4" t="s">
        <v>1603</v>
      </c>
      <c r="E2114" s="4" t="s">
        <v>161</v>
      </c>
      <c r="F2114" s="3" t="s">
        <v>989</v>
      </c>
      <c r="G2114" s="3">
        <f t="shared" si="2196"/>
        <v>9.6999999999999993</v>
      </c>
      <c r="H2114" s="14" t="str">
        <f t="shared" ref="H2114" si="2262">IF(NOT(ISNUMBER(VALUE(G2114))), "NA",IF(VALUE(G2114)&gt;12,"HIGH",IF(VALUE(G2114)&lt;7,"LOW", "VALUE IN RANGE")))</f>
        <v>VALUE IN RANGE</v>
      </c>
    </row>
    <row r="2115" spans="3:8" ht="15" customHeight="1" x14ac:dyDescent="0.25">
      <c r="C2115" s="13" t="str">
        <f t="shared" ref="C2115" si="2263">IF(D2115=D2130,D2129,"falso")</f>
        <v>PATIENT_0133</v>
      </c>
      <c r="D2115" s="4" t="s">
        <v>1604</v>
      </c>
      <c r="E2115" s="1" t="s">
        <v>134</v>
      </c>
      <c r="F2115" s="5" t="s">
        <v>453</v>
      </c>
      <c r="G2115" s="3">
        <f t="shared" si="2196"/>
        <v>5</v>
      </c>
      <c r="H2115" s="14" t="str">
        <f t="shared" ref="H2115" si="2264">IF(NOT(ISNUMBER(VALUE(G2115))), "NA",IF(VALUE(G2115)&gt;17,"HIGH",IF(VALUE(G2115)&lt;6,"LOW", "VALUE IN RANGE")))</f>
        <v>LOW</v>
      </c>
    </row>
    <row r="2116" spans="3:8" x14ac:dyDescent="0.25">
      <c r="C2116" s="13"/>
      <c r="D2116" s="4" t="s">
        <v>1604</v>
      </c>
      <c r="E2116" s="4" t="s">
        <v>136</v>
      </c>
      <c r="F2116" s="3" t="s">
        <v>1099</v>
      </c>
      <c r="G2116" s="3">
        <f t="shared" ref="G2116:G2179" si="2265">IFERROR(
   VALUE(
      SUBSTITUTE(
         CLEAN(
            TRIM(F2116)
         ),
         ".",
         ","
      )
   ),
   ""
)</f>
        <v>22.6</v>
      </c>
      <c r="H2116" s="14" t="str">
        <f t="shared" ref="H2116" si="2266">IF(NOT(ISNUMBER(VALUE(G2116))), "NA",IF(VALUE(G2116)&gt;30,"HIGH",IF(VALUE(G2116)&lt;12,"LOW", "VALUE IN RANGE")))</f>
        <v>VALUE IN RANGE</v>
      </c>
    </row>
    <row r="2117" spans="3:8" x14ac:dyDescent="0.25">
      <c r="C2117" s="13"/>
      <c r="D2117" s="4" t="s">
        <v>1604</v>
      </c>
      <c r="E2117" s="1" t="s">
        <v>7</v>
      </c>
      <c r="F2117" s="5" t="s">
        <v>219</v>
      </c>
      <c r="G2117" s="3">
        <f t="shared" si="2265"/>
        <v>6.2</v>
      </c>
      <c r="H2117" s="14" t="str">
        <f t="shared" ref="H2117" si="2267">IF(NOT(ISNUMBER(VALUE(G2117))), "NA",IF(VALUE(G2117)&gt;9,"HIGH",IF(VALUE(G2117)&lt;2,"LOW", "VALUE IN RANGE")))</f>
        <v>VALUE IN RANGE</v>
      </c>
    </row>
    <row r="2118" spans="3:8" x14ac:dyDescent="0.25">
      <c r="C2118" s="13"/>
      <c r="D2118" s="4" t="s">
        <v>1604</v>
      </c>
      <c r="E2118" s="4" t="s">
        <v>139</v>
      </c>
      <c r="F2118" s="3" t="s">
        <v>1100</v>
      </c>
      <c r="G2118" s="3">
        <f t="shared" si="2265"/>
        <v>71.2</v>
      </c>
      <c r="H2118" s="14" t="str">
        <f t="shared" ref="H2118" si="2268">IF(NOT(ISNUMBER(VALUE(G2118))), "NA",IF(VALUE(G2118)&gt;83,"HIGH",IF(VALUE(G2118)&lt;60,"LOW", "VALUE IN RANGE")))</f>
        <v>VALUE IN RANGE</v>
      </c>
    </row>
    <row r="2119" spans="3:8" x14ac:dyDescent="0.25">
      <c r="C2119" s="13"/>
      <c r="D2119" s="4" t="s">
        <v>1604</v>
      </c>
      <c r="E2119" s="1" t="s">
        <v>141</v>
      </c>
      <c r="F2119" s="5">
        <v>1100</v>
      </c>
      <c r="G2119" s="3">
        <f t="shared" si="2265"/>
        <v>1100</v>
      </c>
      <c r="H2119" s="14" t="str">
        <f t="shared" ref="H2119" si="2269">IF(NOT(ISNUMBER(VALUE(G2119))), "NA",IF(VALUE(G2119)&gt;5.1,"HIGH",IF(VALUE(G2119)&lt;0.8,"LOW", "VALUE IN RANGE")))</f>
        <v>HIGH</v>
      </c>
    </row>
    <row r="2120" spans="3:8" x14ac:dyDescent="0.25">
      <c r="C2120" s="13"/>
      <c r="D2120" s="4" t="s">
        <v>1604</v>
      </c>
      <c r="E2120" s="4" t="s">
        <v>143</v>
      </c>
      <c r="F2120" s="3" t="s">
        <v>14</v>
      </c>
      <c r="G2120" s="3">
        <f t="shared" si="2265"/>
        <v>0.3</v>
      </c>
      <c r="H2120" s="14" t="str">
        <f t="shared" ref="H2120" si="2270">IF(NOT(ISNUMBER(VALUE(G2120))), "NA",IF(VALUE(G2120)&gt;1.8,"HIGH",IF(VALUE(G2120)&lt;0,"LOW", "VALUE IN RANGE")))</f>
        <v>VALUE IN RANGE</v>
      </c>
    </row>
    <row r="2121" spans="3:8" x14ac:dyDescent="0.25">
      <c r="C2121" s="13"/>
      <c r="D2121" s="4" t="s">
        <v>1604</v>
      </c>
      <c r="E2121" s="1" t="s">
        <v>144</v>
      </c>
      <c r="F2121" s="5">
        <v>3600</v>
      </c>
      <c r="G2121" s="3">
        <f t="shared" si="2265"/>
        <v>3600</v>
      </c>
      <c r="H2121" s="14" t="str">
        <f t="shared" ref="H2121" si="2271">IF(NOT(ISNUMBER(VALUE(G2121))), "NA",IF(VALUE(G2121)&gt;12.6,"HIGH",IF(VALUE(G2121)&lt;4,"LOW", "VALUE IN RANGE")))</f>
        <v>HIGH</v>
      </c>
    </row>
    <row r="2122" spans="3:8" x14ac:dyDescent="0.25">
      <c r="C2122" s="13"/>
      <c r="D2122" s="4" t="s">
        <v>1604</v>
      </c>
      <c r="E2122" s="4" t="s">
        <v>146</v>
      </c>
      <c r="F2122" s="3" t="s">
        <v>1102</v>
      </c>
      <c r="G2122" s="3">
        <f t="shared" si="2265"/>
        <v>9.58</v>
      </c>
      <c r="H2122" s="14" t="str">
        <f t="shared" ref="H2122" si="2272">IF(NOT(ISNUMBER(VALUE(G2122))), "NA",IF(VALUE(G2122)&gt;8.5,"HIGH",IF(VALUE(G2122)&lt;5.5,"LOW", "VALUE IN RANGE")))</f>
        <v>HIGH</v>
      </c>
    </row>
    <row r="2123" spans="3:8" x14ac:dyDescent="0.25">
      <c r="C2123" s="13"/>
      <c r="D2123" s="4" t="s">
        <v>1604</v>
      </c>
      <c r="E2123" s="1" t="s">
        <v>148</v>
      </c>
      <c r="F2123" s="5">
        <v>142</v>
      </c>
      <c r="G2123" s="3">
        <f t="shared" si="2265"/>
        <v>142</v>
      </c>
      <c r="H2123" s="14" t="str">
        <f t="shared" ref="H2123" si="2273">IF(NOT(ISNUMBER(VALUE(G2123))), "NA",IF(VALUE(G2123)&gt;190,"HIGH",IF(VALUE(G2123)&lt;110,"LOW", "VALUE IN RANGE")))</f>
        <v>VALUE IN RANGE</v>
      </c>
    </row>
    <row r="2124" spans="3:8" x14ac:dyDescent="0.25">
      <c r="C2124" s="13"/>
      <c r="D2124" s="4" t="s">
        <v>1604</v>
      </c>
      <c r="E2124" s="4" t="s">
        <v>150</v>
      </c>
      <c r="F2124" s="3" t="s">
        <v>1104</v>
      </c>
      <c r="G2124" s="3">
        <f t="shared" si="2265"/>
        <v>50.6</v>
      </c>
      <c r="H2124" s="14" t="str">
        <f t="shared" ref="H2124" si="2274">IF(NOT(ISNUMBER(VALUE(G2124))), "NA",IF(VALUE(G2124)&gt;56,"HIGH",IF(VALUE(G2124)&lt;39,"LOW", "VALUE IN RANGE")))</f>
        <v>VALUE IN RANGE</v>
      </c>
    </row>
    <row r="2125" spans="3:8" x14ac:dyDescent="0.25">
      <c r="C2125" s="13"/>
      <c r="D2125" s="4" t="s">
        <v>1604</v>
      </c>
      <c r="E2125" s="1" t="s">
        <v>152</v>
      </c>
      <c r="F2125" s="5" t="s">
        <v>1105</v>
      </c>
      <c r="G2125" s="3">
        <f t="shared" si="2265"/>
        <v>52.9</v>
      </c>
      <c r="H2125" s="14" t="str">
        <f t="shared" ref="H2125" si="2275">IF(NOT(ISNUMBER(VALUE(G2125))), "NA",IF(VALUE(G2125)&gt;72,"HIGH",IF(VALUE(G2125)&lt;62,"LOW", "VALUE IN RANGE")))</f>
        <v>LOW</v>
      </c>
    </row>
    <row r="2126" spans="3:8" x14ac:dyDescent="0.25">
      <c r="C2126" s="13"/>
      <c r="D2126" s="4" t="s">
        <v>1604</v>
      </c>
      <c r="E2126" s="4" t="s">
        <v>154</v>
      </c>
      <c r="F2126" s="3" t="s">
        <v>1089</v>
      </c>
      <c r="G2126" s="3">
        <f t="shared" si="2265"/>
        <v>14.8</v>
      </c>
      <c r="H2126" s="14" t="str">
        <f t="shared" ref="H2126" si="2276">IF(NOT(ISNUMBER(VALUE(G2126))), "NA",IF(VALUE(G2126)&gt;25,"HIGH",IF(VALUE(G2126)&lt;20,"LOW", "VALUE IN RANGE")))</f>
        <v>LOW</v>
      </c>
    </row>
    <row r="2127" spans="3:8" x14ac:dyDescent="0.25">
      <c r="C2127" s="13"/>
      <c r="D2127" s="4" t="s">
        <v>1604</v>
      </c>
      <c r="E2127" s="1" t="s">
        <v>27</v>
      </c>
      <c r="F2127" s="5">
        <v>280</v>
      </c>
      <c r="G2127" s="3">
        <f t="shared" si="2265"/>
        <v>280</v>
      </c>
      <c r="H2127" s="14" t="str">
        <f t="shared" ref="H2127" si="2277">IF(NOT(ISNUMBER(VALUE(G2127))), "NA",IF(VALUE(G2127)&gt;380,"HIGH",IF(VALUE(G2127)&lt;300,"LOW", "VALUE IN RANGE")))</f>
        <v>LOW</v>
      </c>
    </row>
    <row r="2128" spans="3:8" x14ac:dyDescent="0.25">
      <c r="C2128" s="13"/>
      <c r="D2128" s="4" t="s">
        <v>1604</v>
      </c>
      <c r="E2128" s="4" t="s">
        <v>157</v>
      </c>
      <c r="F2128" s="3" t="s">
        <v>1106</v>
      </c>
      <c r="G2128" s="3">
        <f t="shared" si="2265"/>
        <v>15.7</v>
      </c>
      <c r="H2128" s="14" t="str">
        <f t="shared" ref="H2128" si="2278">IF(NOT(ISNUMBER(VALUE(G2128))), "NA",IF(VALUE(G2128)&gt;15.5,"HIGH",IF(VALUE(G2128)&lt;11,"LOW", "VALUE IN RANGE")))</f>
        <v>HIGH</v>
      </c>
    </row>
    <row r="2129" spans="3:8" x14ac:dyDescent="0.25">
      <c r="C2129" s="13"/>
      <c r="D2129" s="4" t="s">
        <v>1604</v>
      </c>
      <c r="E2129" s="1" t="s">
        <v>159</v>
      </c>
      <c r="F2129" s="5">
        <v>69</v>
      </c>
      <c r="G2129" s="3">
        <f t="shared" si="2265"/>
        <v>69</v>
      </c>
      <c r="H2129" s="14" t="str">
        <f t="shared" ref="H2129" si="2279">IF(NOT(ISNUMBER(VALUE(G2129))), "NA",IF(VALUE(G2129)&gt;460,"HIGH",IF(VALUE(G2129)&lt;117,"LOW", "VALUE IN RANGE")))</f>
        <v>LOW</v>
      </c>
    </row>
    <row r="2130" spans="3:8" x14ac:dyDescent="0.25">
      <c r="C2130" s="13"/>
      <c r="D2130" s="4" t="s">
        <v>1604</v>
      </c>
      <c r="E2130" s="4" t="s">
        <v>161</v>
      </c>
      <c r="F2130" s="3" t="s">
        <v>1091</v>
      </c>
      <c r="G2130" s="3">
        <f t="shared" si="2265"/>
        <v>9.1</v>
      </c>
      <c r="H2130" s="14" t="str">
        <f t="shared" ref="H2130" si="2280">IF(NOT(ISNUMBER(VALUE(G2130))), "NA",IF(VALUE(G2130)&gt;12,"HIGH",IF(VALUE(G2130)&lt;7,"LOW", "VALUE IN RANGE")))</f>
        <v>VALUE IN RANGE</v>
      </c>
    </row>
    <row r="2131" spans="3:8" ht="15" customHeight="1" x14ac:dyDescent="0.25">
      <c r="C2131" s="13" t="str">
        <f t="shared" ref="C2131" si="2281">IF(D2131=D2146,D2145,"falso")</f>
        <v>PATIENT_0134</v>
      </c>
      <c r="D2131" s="4" t="s">
        <v>1605</v>
      </c>
      <c r="E2131" s="1" t="s">
        <v>3</v>
      </c>
      <c r="F2131" s="5" t="s">
        <v>1108</v>
      </c>
      <c r="G2131" s="3">
        <f t="shared" si="2265"/>
        <v>14.9</v>
      </c>
      <c r="H2131" s="14" t="str">
        <f t="shared" ref="H2131" si="2282">IF(NOT(ISNUMBER(VALUE(G2131))), "NA",IF(VALUE(G2131)&gt;17,"HIGH",IF(VALUE(G2131)&lt;6,"LOW", "VALUE IN RANGE")))</f>
        <v>VALUE IN RANGE</v>
      </c>
    </row>
    <row r="2132" spans="3:8" x14ac:dyDescent="0.25">
      <c r="C2132" s="13"/>
      <c r="D2132" s="4" t="s">
        <v>1605</v>
      </c>
      <c r="E2132" s="4" t="s">
        <v>5</v>
      </c>
      <c r="F2132" s="3" t="s">
        <v>1109</v>
      </c>
      <c r="G2132" s="3">
        <f t="shared" si="2265"/>
        <v>9</v>
      </c>
      <c r="H2132" s="14" t="str">
        <f t="shared" ref="H2132" si="2283">IF(NOT(ISNUMBER(VALUE(G2132))), "NA",IF(VALUE(G2132)&gt;30,"HIGH",IF(VALUE(G2132)&lt;12,"LOW", "VALUE IN RANGE")))</f>
        <v>LOW</v>
      </c>
    </row>
    <row r="2133" spans="3:8" x14ac:dyDescent="0.25">
      <c r="C2133" s="13"/>
      <c r="D2133" s="4" t="s">
        <v>1605</v>
      </c>
      <c r="E2133" s="1" t="s">
        <v>7</v>
      </c>
      <c r="F2133" s="5" t="s">
        <v>310</v>
      </c>
      <c r="G2133" s="3">
        <f t="shared" si="2265"/>
        <v>3.5</v>
      </c>
      <c r="H2133" s="14" t="str">
        <f t="shared" ref="H2133" si="2284">IF(NOT(ISNUMBER(VALUE(G2133))), "NA",IF(VALUE(G2133)&gt;9,"HIGH",IF(VALUE(G2133)&lt;2,"LOW", "VALUE IN RANGE")))</f>
        <v>VALUE IN RANGE</v>
      </c>
    </row>
    <row r="2134" spans="3:8" x14ac:dyDescent="0.25">
      <c r="C2134" s="13"/>
      <c r="D2134" s="4" t="s">
        <v>1605</v>
      </c>
      <c r="E2134" s="4" t="s">
        <v>9</v>
      </c>
      <c r="F2134" s="3" t="s">
        <v>1110</v>
      </c>
      <c r="G2134" s="3">
        <f t="shared" si="2265"/>
        <v>87.5</v>
      </c>
      <c r="H2134" s="14" t="str">
        <f t="shared" ref="H2134" si="2285">IF(NOT(ISNUMBER(VALUE(G2134))), "NA",IF(VALUE(G2134)&gt;83,"HIGH",IF(VALUE(G2134)&lt;60,"LOW", "VALUE IN RANGE")))</f>
        <v>HIGH</v>
      </c>
    </row>
    <row r="2135" spans="3:8" x14ac:dyDescent="0.25">
      <c r="C2135" s="13"/>
      <c r="D2135" s="4" t="s">
        <v>1605</v>
      </c>
      <c r="E2135" s="1" t="s">
        <v>11</v>
      </c>
      <c r="F2135" s="5">
        <v>1300</v>
      </c>
      <c r="G2135" s="3">
        <f t="shared" si="2265"/>
        <v>1300</v>
      </c>
      <c r="H2135" s="14" t="str">
        <f t="shared" ref="H2135" si="2286">IF(NOT(ISNUMBER(VALUE(G2135))), "NA",IF(VALUE(G2135)&gt;5.1,"HIGH",IF(VALUE(G2135)&lt;0.8,"LOW", "VALUE IN RANGE")))</f>
        <v>HIGH</v>
      </c>
    </row>
    <row r="2136" spans="3:8" x14ac:dyDescent="0.25">
      <c r="C2136" s="13"/>
      <c r="D2136" s="4" t="s">
        <v>1605</v>
      </c>
      <c r="E2136" s="4" t="s">
        <v>13</v>
      </c>
      <c r="F2136" s="3" t="s">
        <v>109</v>
      </c>
      <c r="G2136" s="3">
        <f t="shared" si="2265"/>
        <v>0.5</v>
      </c>
      <c r="H2136" s="14" t="str">
        <f t="shared" ref="H2136" si="2287">IF(NOT(ISNUMBER(VALUE(G2136))), "NA",IF(VALUE(G2136)&gt;1.8,"HIGH",IF(VALUE(G2136)&lt;0,"LOW", "VALUE IN RANGE")))</f>
        <v>VALUE IN RANGE</v>
      </c>
    </row>
    <row r="2137" spans="3:8" x14ac:dyDescent="0.25">
      <c r="C2137" s="13"/>
      <c r="D2137" s="4" t="s">
        <v>1605</v>
      </c>
      <c r="E2137" s="1" t="s">
        <v>15</v>
      </c>
      <c r="F2137" s="5">
        <v>13100</v>
      </c>
      <c r="G2137" s="3">
        <f t="shared" si="2265"/>
        <v>13100</v>
      </c>
      <c r="H2137" s="14" t="str">
        <f t="shared" ref="H2137" si="2288">IF(NOT(ISNUMBER(VALUE(G2137))), "NA",IF(VALUE(G2137)&gt;12.6,"HIGH",IF(VALUE(G2137)&lt;4,"LOW", "VALUE IN RANGE")))</f>
        <v>HIGH</v>
      </c>
    </row>
    <row r="2138" spans="3:8" x14ac:dyDescent="0.25">
      <c r="C2138" s="13"/>
      <c r="D2138" s="4" t="s">
        <v>1605</v>
      </c>
      <c r="E2138" s="4" t="s">
        <v>17</v>
      </c>
      <c r="F2138" s="3" t="s">
        <v>138</v>
      </c>
      <c r="G2138" s="3">
        <f t="shared" si="2265"/>
        <v>6</v>
      </c>
      <c r="H2138" s="14" t="str">
        <f t="shared" ref="H2138" si="2289">IF(NOT(ISNUMBER(VALUE(G2138))), "NA",IF(VALUE(G2138)&gt;8.5,"HIGH",IF(VALUE(G2138)&lt;5.5,"LOW", "VALUE IN RANGE")))</f>
        <v>VALUE IN RANGE</v>
      </c>
    </row>
    <row r="2139" spans="3:8" x14ac:dyDescent="0.25">
      <c r="C2139" s="13"/>
      <c r="D2139" s="4" t="s">
        <v>1605</v>
      </c>
      <c r="E2139" s="1" t="s">
        <v>19</v>
      </c>
      <c r="F2139" s="5">
        <v>139</v>
      </c>
      <c r="G2139" s="3">
        <f t="shared" si="2265"/>
        <v>139</v>
      </c>
      <c r="H2139" s="14" t="str">
        <f t="shared" ref="H2139" si="2290">IF(NOT(ISNUMBER(VALUE(G2139))), "NA",IF(VALUE(G2139)&gt;190,"HIGH",IF(VALUE(G2139)&lt;110,"LOW", "VALUE IN RANGE")))</f>
        <v>VALUE IN RANGE</v>
      </c>
    </row>
    <row r="2140" spans="3:8" x14ac:dyDescent="0.25">
      <c r="C2140" s="13"/>
      <c r="D2140" s="4" t="s">
        <v>1605</v>
      </c>
      <c r="E2140" s="4" t="s">
        <v>21</v>
      </c>
      <c r="F2140" s="3" t="s">
        <v>1113</v>
      </c>
      <c r="G2140" s="3">
        <f t="shared" si="2265"/>
        <v>42.9</v>
      </c>
      <c r="H2140" s="14" t="str">
        <f t="shared" ref="H2140" si="2291">IF(NOT(ISNUMBER(VALUE(G2140))), "NA",IF(VALUE(G2140)&gt;56,"HIGH",IF(VALUE(G2140)&lt;39,"LOW", "VALUE IN RANGE")))</f>
        <v>VALUE IN RANGE</v>
      </c>
    </row>
    <row r="2141" spans="3:8" x14ac:dyDescent="0.25">
      <c r="C2141" s="13"/>
      <c r="D2141" s="4" t="s">
        <v>1605</v>
      </c>
      <c r="E2141" s="1" t="s">
        <v>23</v>
      </c>
      <c r="F2141" s="5" t="s">
        <v>1114</v>
      </c>
      <c r="G2141" s="3">
        <f t="shared" si="2265"/>
        <v>71.599999999999994</v>
      </c>
      <c r="H2141" s="14" t="str">
        <f t="shared" ref="H2141" si="2292">IF(NOT(ISNUMBER(VALUE(G2141))), "NA",IF(VALUE(G2141)&gt;72,"HIGH",IF(VALUE(G2141)&lt;62,"LOW", "VALUE IN RANGE")))</f>
        <v>VALUE IN RANGE</v>
      </c>
    </row>
    <row r="2142" spans="3:8" x14ac:dyDescent="0.25">
      <c r="C2142" s="13"/>
      <c r="D2142" s="4" t="s">
        <v>1605</v>
      </c>
      <c r="E2142" s="4" t="s">
        <v>25</v>
      </c>
      <c r="F2142" s="3" t="s">
        <v>115</v>
      </c>
      <c r="G2142" s="3">
        <f t="shared" si="2265"/>
        <v>23.1</v>
      </c>
      <c r="H2142" s="14" t="str">
        <f t="shared" ref="H2142" si="2293">IF(NOT(ISNUMBER(VALUE(G2142))), "NA",IF(VALUE(G2142)&gt;25,"HIGH",IF(VALUE(G2142)&lt;20,"LOW", "VALUE IN RANGE")))</f>
        <v>VALUE IN RANGE</v>
      </c>
    </row>
    <row r="2143" spans="3:8" x14ac:dyDescent="0.25">
      <c r="C2143" s="13"/>
      <c r="D2143" s="4" t="s">
        <v>1605</v>
      </c>
      <c r="E2143" s="1" t="s">
        <v>27</v>
      </c>
      <c r="F2143" s="5">
        <v>324</v>
      </c>
      <c r="G2143" s="3">
        <f t="shared" si="2265"/>
        <v>324</v>
      </c>
      <c r="H2143" s="14" t="str">
        <f t="shared" ref="H2143" si="2294">IF(NOT(ISNUMBER(VALUE(G2143))), "NA",IF(VALUE(G2143)&gt;380,"HIGH",IF(VALUE(G2143)&lt;300,"LOW", "VALUE IN RANGE")))</f>
        <v>VALUE IN RANGE</v>
      </c>
    </row>
    <row r="2144" spans="3:8" x14ac:dyDescent="0.25">
      <c r="C2144" s="13"/>
      <c r="D2144" s="4" t="s">
        <v>1605</v>
      </c>
      <c r="E2144" s="4" t="s">
        <v>29</v>
      </c>
      <c r="F2144" s="3" t="s">
        <v>494</v>
      </c>
      <c r="G2144" s="3">
        <f t="shared" si="2265"/>
        <v>12.3</v>
      </c>
      <c r="H2144" s="14" t="str">
        <f t="shared" ref="H2144" si="2295">IF(NOT(ISNUMBER(VALUE(G2144))), "NA",IF(VALUE(G2144)&gt;15.5,"HIGH",IF(VALUE(G2144)&lt;11,"LOW", "VALUE IN RANGE")))</f>
        <v>VALUE IN RANGE</v>
      </c>
    </row>
    <row r="2145" spans="3:8" x14ac:dyDescent="0.25">
      <c r="C2145" s="13"/>
      <c r="D2145" s="4" t="s">
        <v>1605</v>
      </c>
      <c r="E2145" s="1" t="s">
        <v>31</v>
      </c>
      <c r="F2145" s="5">
        <v>229</v>
      </c>
      <c r="G2145" s="3">
        <f t="shared" si="2265"/>
        <v>229</v>
      </c>
      <c r="H2145" s="14" t="str">
        <f t="shared" ref="H2145" si="2296">IF(NOT(ISNUMBER(VALUE(G2145))), "NA",IF(VALUE(G2145)&gt;460,"HIGH",IF(VALUE(G2145)&lt;117,"LOW", "VALUE IN RANGE")))</f>
        <v>VALUE IN RANGE</v>
      </c>
    </row>
    <row r="2146" spans="3:8" x14ac:dyDescent="0.25">
      <c r="C2146" s="13"/>
      <c r="D2146" s="4" t="s">
        <v>1605</v>
      </c>
      <c r="E2146" s="4" t="s">
        <v>33</v>
      </c>
      <c r="F2146" s="3" t="s">
        <v>34</v>
      </c>
      <c r="G2146" s="3">
        <f t="shared" si="2265"/>
        <v>8.8000000000000007</v>
      </c>
      <c r="H2146" s="14" t="str">
        <f t="shared" ref="H2146" si="2297">IF(NOT(ISNUMBER(VALUE(G2146))), "NA",IF(VALUE(G2146)&gt;12,"HIGH",IF(VALUE(G2146)&lt;7,"LOW", "VALUE IN RANGE")))</f>
        <v>VALUE IN RANGE</v>
      </c>
    </row>
    <row r="2147" spans="3:8" ht="15" customHeight="1" x14ac:dyDescent="0.25">
      <c r="C2147" s="13" t="str">
        <f t="shared" ref="C2147" si="2298">IF(D2147=D2162,D2161,"falso")</f>
        <v>PATIENT_0135</v>
      </c>
      <c r="D2147" s="4" t="s">
        <v>1606</v>
      </c>
      <c r="E2147" s="1" t="s">
        <v>134</v>
      </c>
      <c r="F2147" s="5" t="s">
        <v>343</v>
      </c>
      <c r="G2147" s="3">
        <f t="shared" si="2265"/>
        <v>7.8</v>
      </c>
      <c r="H2147" s="14" t="str">
        <f t="shared" ref="H2147" si="2299">IF(NOT(ISNUMBER(VALUE(G2147))), "NA",IF(VALUE(G2147)&gt;17,"HIGH",IF(VALUE(G2147)&lt;6,"LOW", "VALUE IN RANGE")))</f>
        <v>VALUE IN RANGE</v>
      </c>
    </row>
    <row r="2148" spans="3:8" x14ac:dyDescent="0.25">
      <c r="C2148" s="13"/>
      <c r="D2148" s="4" t="s">
        <v>1606</v>
      </c>
      <c r="E2148" s="4" t="s">
        <v>136</v>
      </c>
      <c r="F2148" s="3" t="s">
        <v>1115</v>
      </c>
      <c r="G2148" s="3">
        <f t="shared" si="2265"/>
        <v>35.5</v>
      </c>
      <c r="H2148" s="14" t="str">
        <f t="shared" ref="H2148" si="2300">IF(NOT(ISNUMBER(VALUE(G2148))), "NA",IF(VALUE(G2148)&gt;30,"HIGH",IF(VALUE(G2148)&lt;12,"LOW", "VALUE IN RANGE")))</f>
        <v>HIGH</v>
      </c>
    </row>
    <row r="2149" spans="3:8" x14ac:dyDescent="0.25">
      <c r="C2149" s="13"/>
      <c r="D2149" s="4" t="s">
        <v>1606</v>
      </c>
      <c r="E2149" s="1" t="s">
        <v>7</v>
      </c>
      <c r="F2149" s="5" t="s">
        <v>106</v>
      </c>
      <c r="G2149" s="3">
        <f t="shared" si="2265"/>
        <v>6.5</v>
      </c>
      <c r="H2149" s="14" t="str">
        <f t="shared" ref="H2149" si="2301">IF(NOT(ISNUMBER(VALUE(G2149))), "NA",IF(VALUE(G2149)&gt;9,"HIGH",IF(VALUE(G2149)&lt;2,"LOW", "VALUE IN RANGE")))</f>
        <v>VALUE IN RANGE</v>
      </c>
    </row>
    <row r="2150" spans="3:8" x14ac:dyDescent="0.25">
      <c r="C2150" s="13"/>
      <c r="D2150" s="4" t="s">
        <v>1606</v>
      </c>
      <c r="E2150" s="4" t="s">
        <v>139</v>
      </c>
      <c r="F2150" s="3" t="s">
        <v>1116</v>
      </c>
      <c r="G2150" s="3">
        <f t="shared" si="2265"/>
        <v>58</v>
      </c>
      <c r="H2150" s="14" t="str">
        <f t="shared" ref="H2150" si="2302">IF(NOT(ISNUMBER(VALUE(G2150))), "NA",IF(VALUE(G2150)&gt;83,"HIGH",IF(VALUE(G2150)&lt;60,"LOW", "VALUE IN RANGE")))</f>
        <v>LOW</v>
      </c>
    </row>
    <row r="2151" spans="3:8" x14ac:dyDescent="0.25">
      <c r="C2151" s="13"/>
      <c r="D2151" s="4" t="s">
        <v>1606</v>
      </c>
      <c r="E2151" s="1" t="s">
        <v>141</v>
      </c>
      <c r="F2151" s="5">
        <v>2700</v>
      </c>
      <c r="G2151" s="3">
        <f t="shared" si="2265"/>
        <v>2700</v>
      </c>
      <c r="H2151" s="14" t="str">
        <f t="shared" ref="H2151" si="2303">IF(NOT(ISNUMBER(VALUE(G2151))), "NA",IF(VALUE(G2151)&gt;5.1,"HIGH",IF(VALUE(G2151)&lt;0.8,"LOW", "VALUE IN RANGE")))</f>
        <v>HIGH</v>
      </c>
    </row>
    <row r="2152" spans="3:8" x14ac:dyDescent="0.25">
      <c r="C2152" s="13"/>
      <c r="D2152" s="4" t="s">
        <v>1606</v>
      </c>
      <c r="E2152" s="4" t="s">
        <v>143</v>
      </c>
      <c r="F2152" s="3" t="s">
        <v>109</v>
      </c>
      <c r="G2152" s="3">
        <f t="shared" si="2265"/>
        <v>0.5</v>
      </c>
      <c r="H2152" s="14" t="str">
        <f t="shared" ref="H2152" si="2304">IF(NOT(ISNUMBER(VALUE(G2152))), "NA",IF(VALUE(G2152)&gt;1.8,"HIGH",IF(VALUE(G2152)&lt;0,"LOW", "VALUE IN RANGE")))</f>
        <v>VALUE IN RANGE</v>
      </c>
    </row>
    <row r="2153" spans="3:8" x14ac:dyDescent="0.25">
      <c r="C2153" s="13"/>
      <c r="D2153" s="4" t="s">
        <v>1606</v>
      </c>
      <c r="E2153" s="1" t="s">
        <v>144</v>
      </c>
      <c r="F2153" s="5">
        <v>4600</v>
      </c>
      <c r="G2153" s="3">
        <f t="shared" si="2265"/>
        <v>4600</v>
      </c>
      <c r="H2153" s="14" t="str">
        <f t="shared" ref="H2153" si="2305">IF(NOT(ISNUMBER(VALUE(G2153))), "NA",IF(VALUE(G2153)&gt;12.6,"HIGH",IF(VALUE(G2153)&lt;4,"LOW", "VALUE IN RANGE")))</f>
        <v>HIGH</v>
      </c>
    </row>
    <row r="2154" spans="3:8" x14ac:dyDescent="0.25">
      <c r="C2154" s="13"/>
      <c r="D2154" s="4" t="s">
        <v>1606</v>
      </c>
      <c r="E2154" s="4" t="s">
        <v>146</v>
      </c>
      <c r="F2154" s="3" t="s">
        <v>1117</v>
      </c>
      <c r="G2154" s="3">
        <f t="shared" si="2265"/>
        <v>9.25</v>
      </c>
      <c r="H2154" s="14" t="str">
        <f t="shared" ref="H2154" si="2306">IF(NOT(ISNUMBER(VALUE(G2154))), "NA",IF(VALUE(G2154)&gt;8.5,"HIGH",IF(VALUE(G2154)&lt;5.5,"LOW", "VALUE IN RANGE")))</f>
        <v>HIGH</v>
      </c>
    </row>
    <row r="2155" spans="3:8" x14ac:dyDescent="0.25">
      <c r="C2155" s="13"/>
      <c r="D2155" s="4" t="s">
        <v>1606</v>
      </c>
      <c r="E2155" s="1" t="s">
        <v>148</v>
      </c>
      <c r="F2155" s="5">
        <v>146</v>
      </c>
      <c r="G2155" s="3">
        <f t="shared" si="2265"/>
        <v>146</v>
      </c>
      <c r="H2155" s="14" t="str">
        <f t="shared" ref="H2155" si="2307">IF(NOT(ISNUMBER(VALUE(G2155))), "NA",IF(VALUE(G2155)&gt;190,"HIGH",IF(VALUE(G2155)&lt;110,"LOW", "VALUE IN RANGE")))</f>
        <v>VALUE IN RANGE</v>
      </c>
    </row>
    <row r="2156" spans="3:8" x14ac:dyDescent="0.25">
      <c r="C2156" s="13"/>
      <c r="D2156" s="4" t="s">
        <v>1606</v>
      </c>
      <c r="E2156" s="4" t="s">
        <v>150</v>
      </c>
      <c r="F2156" s="3" t="s">
        <v>1118</v>
      </c>
      <c r="G2156" s="3">
        <f t="shared" si="2265"/>
        <v>51.4</v>
      </c>
      <c r="H2156" s="14" t="str">
        <f t="shared" ref="H2156" si="2308">IF(NOT(ISNUMBER(VALUE(G2156))), "NA",IF(VALUE(G2156)&gt;56,"HIGH",IF(VALUE(G2156)&lt;39,"LOW", "VALUE IN RANGE")))</f>
        <v>VALUE IN RANGE</v>
      </c>
    </row>
    <row r="2157" spans="3:8" x14ac:dyDescent="0.25">
      <c r="C2157" s="13"/>
      <c r="D2157" s="4" t="s">
        <v>1606</v>
      </c>
      <c r="E2157" s="1" t="s">
        <v>152</v>
      </c>
      <c r="F2157" s="5" t="s">
        <v>1119</v>
      </c>
      <c r="G2157" s="3">
        <f t="shared" si="2265"/>
        <v>55.6</v>
      </c>
      <c r="H2157" s="14" t="str">
        <f t="shared" ref="H2157" si="2309">IF(NOT(ISNUMBER(VALUE(G2157))), "NA",IF(VALUE(G2157)&gt;72,"HIGH",IF(VALUE(G2157)&lt;62,"LOW", "VALUE IN RANGE")))</f>
        <v>LOW</v>
      </c>
    </row>
    <row r="2158" spans="3:8" x14ac:dyDescent="0.25">
      <c r="C2158" s="13"/>
      <c r="D2158" s="4" t="s">
        <v>1606</v>
      </c>
      <c r="E2158" s="4" t="s">
        <v>154</v>
      </c>
      <c r="F2158" s="3" t="s">
        <v>1106</v>
      </c>
      <c r="G2158" s="3">
        <f t="shared" si="2265"/>
        <v>15.7</v>
      </c>
      <c r="H2158" s="14" t="str">
        <f t="shared" ref="H2158" si="2310">IF(NOT(ISNUMBER(VALUE(G2158))), "NA",IF(VALUE(G2158)&gt;25,"HIGH",IF(VALUE(G2158)&lt;20,"LOW", "VALUE IN RANGE")))</f>
        <v>LOW</v>
      </c>
    </row>
    <row r="2159" spans="3:8" x14ac:dyDescent="0.25">
      <c r="C2159" s="13"/>
      <c r="D2159" s="4" t="s">
        <v>1606</v>
      </c>
      <c r="E2159" s="1" t="s">
        <v>27</v>
      </c>
      <c r="F2159" s="5">
        <v>284</v>
      </c>
      <c r="G2159" s="3">
        <f t="shared" si="2265"/>
        <v>284</v>
      </c>
      <c r="H2159" s="14" t="str">
        <f t="shared" ref="H2159" si="2311">IF(NOT(ISNUMBER(VALUE(G2159))), "NA",IF(VALUE(G2159)&gt;380,"HIGH",IF(VALUE(G2159)&lt;300,"LOW", "VALUE IN RANGE")))</f>
        <v>LOW</v>
      </c>
    </row>
    <row r="2160" spans="3:8" x14ac:dyDescent="0.25">
      <c r="C2160" s="13"/>
      <c r="D2160" s="4" t="s">
        <v>1606</v>
      </c>
      <c r="E2160" s="4" t="s">
        <v>157</v>
      </c>
      <c r="F2160" s="3" t="s">
        <v>200</v>
      </c>
      <c r="G2160" s="3">
        <f t="shared" si="2265"/>
        <v>15</v>
      </c>
      <c r="H2160" s="14" t="str">
        <f t="shared" ref="H2160" si="2312">IF(NOT(ISNUMBER(VALUE(G2160))), "NA",IF(VALUE(G2160)&gt;15.5,"HIGH",IF(VALUE(G2160)&lt;11,"LOW", "VALUE IN RANGE")))</f>
        <v>VALUE IN RANGE</v>
      </c>
    </row>
    <row r="2161" spans="3:8" x14ac:dyDescent="0.25">
      <c r="C2161" s="13"/>
      <c r="D2161" s="4" t="s">
        <v>1606</v>
      </c>
      <c r="E2161" s="1" t="s">
        <v>159</v>
      </c>
      <c r="F2161" s="5">
        <v>51</v>
      </c>
      <c r="G2161" s="3">
        <f t="shared" si="2265"/>
        <v>51</v>
      </c>
      <c r="H2161" s="14" t="str">
        <f t="shared" ref="H2161" si="2313">IF(NOT(ISNUMBER(VALUE(G2161))), "NA",IF(VALUE(G2161)&gt;460,"HIGH",IF(VALUE(G2161)&lt;117,"LOW", "VALUE IN RANGE")))</f>
        <v>LOW</v>
      </c>
    </row>
    <row r="2162" spans="3:8" x14ac:dyDescent="0.25">
      <c r="C2162" s="13"/>
      <c r="D2162" s="4" t="s">
        <v>1606</v>
      </c>
      <c r="E2162" s="4" t="s">
        <v>161</v>
      </c>
      <c r="F2162" s="3" t="s">
        <v>428</v>
      </c>
      <c r="G2162" s="3">
        <f t="shared" si="2265"/>
        <v>8.3000000000000007</v>
      </c>
      <c r="H2162" s="14" t="str">
        <f t="shared" ref="H2162" si="2314">IF(NOT(ISNUMBER(VALUE(G2162))), "NA",IF(VALUE(G2162)&gt;12,"HIGH",IF(VALUE(G2162)&lt;7,"LOW", "VALUE IN RANGE")))</f>
        <v>VALUE IN RANGE</v>
      </c>
    </row>
    <row r="2163" spans="3:8" ht="15" customHeight="1" x14ac:dyDescent="0.25">
      <c r="C2163" s="13" t="str">
        <f t="shared" ref="C2163" si="2315">IF(D2163=D2178,D2177,"falso")</f>
        <v>PATIENT_0136</v>
      </c>
      <c r="D2163" s="4" t="s">
        <v>1607</v>
      </c>
      <c r="E2163" s="1" t="s">
        <v>134</v>
      </c>
      <c r="F2163" s="5" t="s">
        <v>396</v>
      </c>
      <c r="G2163" s="3">
        <f t="shared" si="2265"/>
        <v>4.4000000000000004</v>
      </c>
      <c r="H2163" s="14" t="str">
        <f t="shared" ref="H2163" si="2316">IF(NOT(ISNUMBER(VALUE(G2163))), "NA",IF(VALUE(G2163)&gt;17,"HIGH",IF(VALUE(G2163)&lt;6,"LOW", "VALUE IN RANGE")))</f>
        <v>LOW</v>
      </c>
    </row>
    <row r="2164" spans="3:8" x14ac:dyDescent="0.25">
      <c r="C2164" s="13"/>
      <c r="D2164" s="4" t="s">
        <v>1607</v>
      </c>
      <c r="E2164" s="4" t="s">
        <v>136</v>
      </c>
      <c r="F2164" s="3" t="s">
        <v>1121</v>
      </c>
      <c r="G2164" s="3">
        <f t="shared" si="2265"/>
        <v>24</v>
      </c>
      <c r="H2164" s="14" t="str">
        <f t="shared" ref="H2164" si="2317">IF(NOT(ISNUMBER(VALUE(G2164))), "NA",IF(VALUE(G2164)&gt;30,"HIGH",IF(VALUE(G2164)&lt;12,"LOW", "VALUE IN RANGE")))</f>
        <v>VALUE IN RANGE</v>
      </c>
    </row>
    <row r="2165" spans="3:8" x14ac:dyDescent="0.25">
      <c r="C2165" s="13"/>
      <c r="D2165" s="4" t="s">
        <v>1607</v>
      </c>
      <c r="E2165" s="1" t="s">
        <v>7</v>
      </c>
      <c r="F2165" s="5" t="s">
        <v>517</v>
      </c>
      <c r="G2165" s="3">
        <f t="shared" si="2265"/>
        <v>5.8</v>
      </c>
      <c r="H2165" s="14" t="str">
        <f t="shared" ref="H2165" si="2318">IF(NOT(ISNUMBER(VALUE(G2165))), "NA",IF(VALUE(G2165)&gt;9,"HIGH",IF(VALUE(G2165)&lt;2,"LOW", "VALUE IN RANGE")))</f>
        <v>VALUE IN RANGE</v>
      </c>
    </row>
    <row r="2166" spans="3:8" x14ac:dyDescent="0.25">
      <c r="C2166" s="13"/>
      <c r="D2166" s="4" t="s">
        <v>1607</v>
      </c>
      <c r="E2166" s="4" t="s">
        <v>139</v>
      </c>
      <c r="F2166" s="3" t="s">
        <v>1007</v>
      </c>
      <c r="G2166" s="3">
        <f t="shared" si="2265"/>
        <v>70.2</v>
      </c>
      <c r="H2166" s="14" t="str">
        <f t="shared" ref="H2166" si="2319">IF(NOT(ISNUMBER(VALUE(G2166))), "NA",IF(VALUE(G2166)&gt;83,"HIGH",IF(VALUE(G2166)&lt;60,"LOW", "VALUE IN RANGE")))</f>
        <v>VALUE IN RANGE</v>
      </c>
    </row>
    <row r="2167" spans="3:8" x14ac:dyDescent="0.25">
      <c r="C2167" s="13"/>
      <c r="D2167" s="4" t="s">
        <v>1607</v>
      </c>
      <c r="E2167" s="1" t="s">
        <v>141</v>
      </c>
      <c r="F2167" s="5">
        <v>1000</v>
      </c>
      <c r="G2167" s="3">
        <f t="shared" si="2265"/>
        <v>1000</v>
      </c>
      <c r="H2167" s="14" t="str">
        <f t="shared" ref="H2167" si="2320">IF(NOT(ISNUMBER(VALUE(G2167))), "NA",IF(VALUE(G2167)&gt;5.1,"HIGH",IF(VALUE(G2167)&lt;0.8,"LOW", "VALUE IN RANGE")))</f>
        <v>HIGH</v>
      </c>
    </row>
    <row r="2168" spans="3:8" x14ac:dyDescent="0.25">
      <c r="C2168" s="13"/>
      <c r="D2168" s="4" t="s">
        <v>1607</v>
      </c>
      <c r="E2168" s="4" t="s">
        <v>143</v>
      </c>
      <c r="F2168" s="3" t="s">
        <v>51</v>
      </c>
      <c r="G2168" s="3">
        <f t="shared" si="2265"/>
        <v>0.2</v>
      </c>
      <c r="H2168" s="14" t="str">
        <f t="shared" ref="H2168" si="2321">IF(NOT(ISNUMBER(VALUE(G2168))), "NA",IF(VALUE(G2168)&gt;1.8,"HIGH",IF(VALUE(G2168)&lt;0,"LOW", "VALUE IN RANGE")))</f>
        <v>VALUE IN RANGE</v>
      </c>
    </row>
    <row r="2169" spans="3:8" x14ac:dyDescent="0.25">
      <c r="C2169" s="13"/>
      <c r="D2169" s="4" t="s">
        <v>1607</v>
      </c>
      <c r="E2169" s="1" t="s">
        <v>144</v>
      </c>
      <c r="F2169" s="5">
        <v>3200</v>
      </c>
      <c r="G2169" s="3">
        <f t="shared" si="2265"/>
        <v>3200</v>
      </c>
      <c r="H2169" s="14" t="str">
        <f t="shared" ref="H2169" si="2322">IF(NOT(ISNUMBER(VALUE(G2169))), "NA",IF(VALUE(G2169)&gt;12.6,"HIGH",IF(VALUE(G2169)&lt;4,"LOW", "VALUE IN RANGE")))</f>
        <v>HIGH</v>
      </c>
    </row>
    <row r="2170" spans="3:8" x14ac:dyDescent="0.25">
      <c r="C2170" s="13"/>
      <c r="D2170" s="4" t="s">
        <v>1607</v>
      </c>
      <c r="E2170" s="4" t="s">
        <v>146</v>
      </c>
      <c r="F2170" s="3" t="s">
        <v>1122</v>
      </c>
      <c r="G2170" s="3">
        <f t="shared" si="2265"/>
        <v>11.67</v>
      </c>
      <c r="H2170" s="14" t="str">
        <f t="shared" ref="H2170" si="2323">IF(NOT(ISNUMBER(VALUE(G2170))), "NA",IF(VALUE(G2170)&gt;8.5,"HIGH",IF(VALUE(G2170)&lt;5.5,"LOW", "VALUE IN RANGE")))</f>
        <v>HIGH</v>
      </c>
    </row>
    <row r="2171" spans="3:8" x14ac:dyDescent="0.25">
      <c r="C2171" s="13"/>
      <c r="D2171" s="4" t="s">
        <v>1607</v>
      </c>
      <c r="E2171" s="1" t="s">
        <v>148</v>
      </c>
      <c r="F2171" s="5">
        <v>173</v>
      </c>
      <c r="G2171" s="3">
        <f t="shared" si="2265"/>
        <v>173</v>
      </c>
      <c r="H2171" s="14" t="str">
        <f t="shared" ref="H2171" si="2324">IF(NOT(ISNUMBER(VALUE(G2171))), "NA",IF(VALUE(G2171)&gt;190,"HIGH",IF(VALUE(G2171)&lt;110,"LOW", "VALUE IN RANGE")))</f>
        <v>VALUE IN RANGE</v>
      </c>
    </row>
    <row r="2172" spans="3:8" x14ac:dyDescent="0.25">
      <c r="C2172" s="13"/>
      <c r="D2172" s="4" t="s">
        <v>1607</v>
      </c>
      <c r="E2172" s="4" t="s">
        <v>150</v>
      </c>
      <c r="F2172" s="3" t="s">
        <v>1124</v>
      </c>
      <c r="G2172" s="3">
        <f t="shared" si="2265"/>
        <v>61.5</v>
      </c>
      <c r="H2172" s="14" t="str">
        <f t="shared" ref="H2172" si="2325">IF(NOT(ISNUMBER(VALUE(G2172))), "NA",IF(VALUE(G2172)&gt;56,"HIGH",IF(VALUE(G2172)&lt;39,"LOW", "VALUE IN RANGE")))</f>
        <v>HIGH</v>
      </c>
    </row>
    <row r="2173" spans="3:8" x14ac:dyDescent="0.25">
      <c r="C2173" s="13"/>
      <c r="D2173" s="4" t="s">
        <v>1607</v>
      </c>
      <c r="E2173" s="1" t="s">
        <v>152</v>
      </c>
      <c r="F2173" s="5" t="s">
        <v>956</v>
      </c>
      <c r="G2173" s="3">
        <f t="shared" si="2265"/>
        <v>52.7</v>
      </c>
      <c r="H2173" s="14" t="str">
        <f t="shared" ref="H2173" si="2326">IF(NOT(ISNUMBER(VALUE(G2173))), "NA",IF(VALUE(G2173)&gt;72,"HIGH",IF(VALUE(G2173)&lt;62,"LOW", "VALUE IN RANGE")))</f>
        <v>LOW</v>
      </c>
    </row>
    <row r="2174" spans="3:8" x14ac:dyDescent="0.25">
      <c r="C2174" s="13"/>
      <c r="D2174" s="4" t="s">
        <v>1607</v>
      </c>
      <c r="E2174" s="4" t="s">
        <v>154</v>
      </c>
      <c r="F2174" s="3" t="s">
        <v>1089</v>
      </c>
      <c r="G2174" s="3">
        <f t="shared" si="2265"/>
        <v>14.8</v>
      </c>
      <c r="H2174" s="14" t="str">
        <f t="shared" ref="H2174" si="2327">IF(NOT(ISNUMBER(VALUE(G2174))), "NA",IF(VALUE(G2174)&gt;25,"HIGH",IF(VALUE(G2174)&lt;20,"LOW", "VALUE IN RANGE")))</f>
        <v>LOW</v>
      </c>
    </row>
    <row r="2175" spans="3:8" x14ac:dyDescent="0.25">
      <c r="C2175" s="13"/>
      <c r="D2175" s="4" t="s">
        <v>1607</v>
      </c>
      <c r="E2175" s="1" t="s">
        <v>27</v>
      </c>
      <c r="F2175" s="5">
        <v>281</v>
      </c>
      <c r="G2175" s="3">
        <f t="shared" si="2265"/>
        <v>281</v>
      </c>
      <c r="H2175" s="14" t="str">
        <f t="shared" ref="H2175" si="2328">IF(NOT(ISNUMBER(VALUE(G2175))), "NA",IF(VALUE(G2175)&gt;380,"HIGH",IF(VALUE(G2175)&lt;300,"LOW", "VALUE IN RANGE")))</f>
        <v>LOW</v>
      </c>
    </row>
    <row r="2176" spans="3:8" x14ac:dyDescent="0.25">
      <c r="C2176" s="13"/>
      <c r="D2176" s="4" t="s">
        <v>1607</v>
      </c>
      <c r="E2176" s="4" t="s">
        <v>157</v>
      </c>
      <c r="F2176" s="3" t="s">
        <v>155</v>
      </c>
      <c r="G2176" s="3">
        <f t="shared" si="2265"/>
        <v>14.2</v>
      </c>
      <c r="H2176" s="14" t="str">
        <f t="shared" ref="H2176" si="2329">IF(NOT(ISNUMBER(VALUE(G2176))), "NA",IF(VALUE(G2176)&gt;15.5,"HIGH",IF(VALUE(G2176)&lt;11,"LOW", "VALUE IN RANGE")))</f>
        <v>VALUE IN RANGE</v>
      </c>
    </row>
    <row r="2177" spans="3:8" x14ac:dyDescent="0.25">
      <c r="C2177" s="13"/>
      <c r="D2177" s="4" t="s">
        <v>1607</v>
      </c>
      <c r="E2177" s="1" t="s">
        <v>159</v>
      </c>
      <c r="F2177" s="5">
        <v>228</v>
      </c>
      <c r="G2177" s="3">
        <f t="shared" si="2265"/>
        <v>228</v>
      </c>
      <c r="H2177" s="14" t="str">
        <f t="shared" ref="H2177" si="2330">IF(NOT(ISNUMBER(VALUE(G2177))), "NA",IF(VALUE(G2177)&gt;460,"HIGH",IF(VALUE(G2177)&lt;117,"LOW", "VALUE IN RANGE")))</f>
        <v>VALUE IN RANGE</v>
      </c>
    </row>
    <row r="2178" spans="3:8" x14ac:dyDescent="0.25">
      <c r="C2178" s="13"/>
      <c r="D2178" s="4" t="s">
        <v>1607</v>
      </c>
      <c r="E2178" s="4" t="s">
        <v>161</v>
      </c>
      <c r="F2178" s="3" t="s">
        <v>1091</v>
      </c>
      <c r="G2178" s="3">
        <f t="shared" si="2265"/>
        <v>9.1</v>
      </c>
      <c r="H2178" s="14" t="str">
        <f t="shared" ref="H2178" si="2331">IF(NOT(ISNUMBER(VALUE(G2178))), "NA",IF(VALUE(G2178)&gt;12,"HIGH",IF(VALUE(G2178)&lt;7,"LOW", "VALUE IN RANGE")))</f>
        <v>VALUE IN RANGE</v>
      </c>
    </row>
    <row r="2179" spans="3:8" ht="15" customHeight="1" x14ac:dyDescent="0.25">
      <c r="C2179" s="13" t="str">
        <f t="shared" ref="C2179" si="2332">IF(D2179=D2194,D2193,"falso")</f>
        <v>PATIENT_0137</v>
      </c>
      <c r="D2179" s="4" t="s">
        <v>1608</v>
      </c>
      <c r="E2179" s="1" t="s">
        <v>134</v>
      </c>
      <c r="F2179" s="5" t="s">
        <v>1126</v>
      </c>
      <c r="G2179" s="3">
        <f t="shared" si="2265"/>
        <v>16.600000000000001</v>
      </c>
      <c r="H2179" s="14" t="str">
        <f t="shared" ref="H2179" si="2333">IF(NOT(ISNUMBER(VALUE(G2179))), "NA",IF(VALUE(G2179)&gt;17,"HIGH",IF(VALUE(G2179)&lt;6,"LOW", "VALUE IN RANGE")))</f>
        <v>VALUE IN RANGE</v>
      </c>
    </row>
    <row r="2180" spans="3:8" x14ac:dyDescent="0.25">
      <c r="C2180" s="13"/>
      <c r="D2180" s="4" t="s">
        <v>1608</v>
      </c>
      <c r="E2180" s="4" t="s">
        <v>136</v>
      </c>
      <c r="F2180" s="3" t="s">
        <v>1127</v>
      </c>
      <c r="G2180" s="3">
        <f t="shared" ref="G2180:G2243" si="2334">IFERROR(
   VALUE(
      SUBSTITUTE(
         CLEAN(
            TRIM(F2180)
         ),
         ".",
         ","
      )
   ),
   ""
)</f>
        <v>16.7</v>
      </c>
      <c r="H2180" s="14" t="str">
        <f t="shared" ref="H2180" si="2335">IF(NOT(ISNUMBER(VALUE(G2180))), "NA",IF(VALUE(G2180)&gt;30,"HIGH",IF(VALUE(G2180)&lt;12,"LOW", "VALUE IN RANGE")))</f>
        <v>VALUE IN RANGE</v>
      </c>
    </row>
    <row r="2181" spans="3:8" x14ac:dyDescent="0.25">
      <c r="C2181" s="13"/>
      <c r="D2181" s="4" t="s">
        <v>1608</v>
      </c>
      <c r="E2181" s="1" t="s">
        <v>7</v>
      </c>
      <c r="F2181" s="5" t="s">
        <v>1127</v>
      </c>
      <c r="G2181" s="3">
        <f t="shared" si="2334"/>
        <v>16.7</v>
      </c>
      <c r="H2181" s="14" t="str">
        <f t="shared" ref="H2181" si="2336">IF(NOT(ISNUMBER(VALUE(G2181))), "NA",IF(VALUE(G2181)&gt;9,"HIGH",IF(VALUE(G2181)&lt;2,"LOW", "VALUE IN RANGE")))</f>
        <v>HIGH</v>
      </c>
    </row>
    <row r="2182" spans="3:8" x14ac:dyDescent="0.25">
      <c r="C2182" s="13"/>
      <c r="D2182" s="4" t="s">
        <v>1608</v>
      </c>
      <c r="E2182" s="4" t="s">
        <v>139</v>
      </c>
      <c r="F2182" s="3" t="s">
        <v>1128</v>
      </c>
      <c r="G2182" s="3">
        <f t="shared" si="2334"/>
        <v>66.599999999999994</v>
      </c>
      <c r="H2182" s="14" t="str">
        <f t="shared" ref="H2182" si="2337">IF(NOT(ISNUMBER(VALUE(G2182))), "NA",IF(VALUE(G2182)&gt;83,"HIGH",IF(VALUE(G2182)&lt;60,"LOW", "VALUE IN RANGE")))</f>
        <v>VALUE IN RANGE</v>
      </c>
    </row>
    <row r="2183" spans="3:8" x14ac:dyDescent="0.25">
      <c r="C2183" s="13"/>
      <c r="D2183" s="4" t="s">
        <v>1608</v>
      </c>
      <c r="E2183" s="1" t="s">
        <v>141</v>
      </c>
      <c r="F2183" s="5">
        <v>2700</v>
      </c>
      <c r="G2183" s="3">
        <f t="shared" si="2334"/>
        <v>2700</v>
      </c>
      <c r="H2183" s="14" t="str">
        <f t="shared" ref="H2183" si="2338">IF(NOT(ISNUMBER(VALUE(G2183))), "NA",IF(VALUE(G2183)&gt;5.1,"HIGH",IF(VALUE(G2183)&lt;0.8,"LOW", "VALUE IN RANGE")))</f>
        <v>HIGH</v>
      </c>
    </row>
    <row r="2184" spans="3:8" x14ac:dyDescent="0.25">
      <c r="C2184" s="13"/>
      <c r="D2184" s="4" t="s">
        <v>1608</v>
      </c>
      <c r="E2184" s="4" t="s">
        <v>143</v>
      </c>
      <c r="F2184" s="3">
        <v>2700</v>
      </c>
      <c r="G2184" s="3">
        <f t="shared" si="2334"/>
        <v>2700</v>
      </c>
      <c r="H2184" s="14" t="str">
        <f t="shared" ref="H2184" si="2339">IF(NOT(ISNUMBER(VALUE(G2184))), "NA",IF(VALUE(G2184)&gt;1.8,"HIGH",IF(VALUE(G2184)&lt;0,"LOW", "VALUE IN RANGE")))</f>
        <v>HIGH</v>
      </c>
    </row>
    <row r="2185" spans="3:8" x14ac:dyDescent="0.25">
      <c r="C2185" s="13"/>
      <c r="D2185" s="4" t="s">
        <v>1608</v>
      </c>
      <c r="E2185" s="1" t="s">
        <v>144</v>
      </c>
      <c r="F2185" s="5">
        <v>11200</v>
      </c>
      <c r="G2185" s="3">
        <f t="shared" si="2334"/>
        <v>11200</v>
      </c>
      <c r="H2185" s="14" t="str">
        <f t="shared" ref="H2185" si="2340">IF(NOT(ISNUMBER(VALUE(G2185))), "NA",IF(VALUE(G2185)&gt;12.6,"HIGH",IF(VALUE(G2185)&lt;4,"LOW", "VALUE IN RANGE")))</f>
        <v>HIGH</v>
      </c>
    </row>
    <row r="2186" spans="3:8" x14ac:dyDescent="0.25">
      <c r="C2186" s="13"/>
      <c r="D2186" s="4" t="s">
        <v>1608</v>
      </c>
      <c r="E2186" s="4" t="s">
        <v>146</v>
      </c>
      <c r="F2186" s="3" t="s">
        <v>1130</v>
      </c>
      <c r="G2186" s="3">
        <f t="shared" si="2334"/>
        <v>11.35</v>
      </c>
      <c r="H2186" s="14" t="str">
        <f t="shared" ref="H2186" si="2341">IF(NOT(ISNUMBER(VALUE(G2186))), "NA",IF(VALUE(G2186)&gt;8.5,"HIGH",IF(VALUE(G2186)&lt;5.5,"LOW", "VALUE IN RANGE")))</f>
        <v>HIGH</v>
      </c>
    </row>
    <row r="2187" spans="3:8" x14ac:dyDescent="0.25">
      <c r="C2187" s="13"/>
      <c r="D2187" s="4" t="s">
        <v>1608</v>
      </c>
      <c r="E2187" s="1" t="s">
        <v>148</v>
      </c>
      <c r="F2187" s="5">
        <v>130</v>
      </c>
      <c r="G2187" s="3">
        <f t="shared" si="2334"/>
        <v>130</v>
      </c>
      <c r="H2187" s="14" t="str">
        <f t="shared" ref="H2187" si="2342">IF(NOT(ISNUMBER(VALUE(G2187))), "NA",IF(VALUE(G2187)&gt;190,"HIGH",IF(VALUE(G2187)&lt;110,"LOW", "VALUE IN RANGE")))</f>
        <v>VALUE IN RANGE</v>
      </c>
    </row>
    <row r="2188" spans="3:8" x14ac:dyDescent="0.25">
      <c r="C2188" s="13"/>
      <c r="D2188" s="4" t="s">
        <v>1608</v>
      </c>
      <c r="E2188" s="4" t="s">
        <v>150</v>
      </c>
      <c r="F2188" s="3" t="s">
        <v>1131</v>
      </c>
      <c r="G2188" s="3">
        <f t="shared" si="2334"/>
        <v>46.9</v>
      </c>
      <c r="H2188" s="14" t="str">
        <f t="shared" ref="H2188" si="2343">IF(NOT(ISNUMBER(VALUE(G2188))), "NA",IF(VALUE(G2188)&gt;56,"HIGH",IF(VALUE(G2188)&lt;39,"LOW", "VALUE IN RANGE")))</f>
        <v>VALUE IN RANGE</v>
      </c>
    </row>
    <row r="2189" spans="3:8" x14ac:dyDescent="0.25">
      <c r="C2189" s="13"/>
      <c r="D2189" s="4" t="s">
        <v>1608</v>
      </c>
      <c r="E2189" s="1" t="s">
        <v>152</v>
      </c>
      <c r="F2189" s="5" t="s">
        <v>1132</v>
      </c>
      <c r="G2189" s="3">
        <f t="shared" si="2334"/>
        <v>41.4</v>
      </c>
      <c r="H2189" s="14" t="str">
        <f t="shared" ref="H2189" si="2344">IF(NOT(ISNUMBER(VALUE(G2189))), "NA",IF(VALUE(G2189)&gt;72,"HIGH",IF(VALUE(G2189)&lt;62,"LOW", "VALUE IN RANGE")))</f>
        <v>LOW</v>
      </c>
    </row>
    <row r="2190" spans="3:8" x14ac:dyDescent="0.25">
      <c r="C2190" s="13"/>
      <c r="D2190" s="4" t="s">
        <v>1608</v>
      </c>
      <c r="E2190" s="4" t="s">
        <v>154</v>
      </c>
      <c r="F2190" s="3" t="s">
        <v>657</v>
      </c>
      <c r="G2190" s="3">
        <f t="shared" si="2334"/>
        <v>11.4</v>
      </c>
      <c r="H2190" s="14" t="str">
        <f t="shared" ref="H2190" si="2345">IF(NOT(ISNUMBER(VALUE(G2190))), "NA",IF(VALUE(G2190)&gt;25,"HIGH",IF(VALUE(G2190)&lt;20,"LOW", "VALUE IN RANGE")))</f>
        <v>LOW</v>
      </c>
    </row>
    <row r="2191" spans="3:8" x14ac:dyDescent="0.25">
      <c r="C2191" s="13"/>
      <c r="D2191" s="4" t="s">
        <v>1608</v>
      </c>
      <c r="E2191" s="1" t="s">
        <v>27</v>
      </c>
      <c r="F2191" s="5">
        <v>277</v>
      </c>
      <c r="G2191" s="3">
        <f t="shared" si="2334"/>
        <v>277</v>
      </c>
      <c r="H2191" s="14" t="str">
        <f t="shared" ref="H2191" si="2346">IF(NOT(ISNUMBER(VALUE(G2191))), "NA",IF(VALUE(G2191)&gt;380,"HIGH",IF(VALUE(G2191)&lt;300,"LOW", "VALUE IN RANGE")))</f>
        <v>LOW</v>
      </c>
    </row>
    <row r="2192" spans="3:8" x14ac:dyDescent="0.25">
      <c r="C2192" s="13"/>
      <c r="D2192" s="4" t="s">
        <v>1608</v>
      </c>
      <c r="E2192" s="4" t="s">
        <v>157</v>
      </c>
      <c r="F2192" s="3" t="s">
        <v>277</v>
      </c>
      <c r="G2192" s="3">
        <f t="shared" si="2334"/>
        <v>15.1</v>
      </c>
      <c r="H2192" s="14" t="str">
        <f t="shared" ref="H2192" si="2347">IF(NOT(ISNUMBER(VALUE(G2192))), "NA",IF(VALUE(G2192)&gt;15.5,"HIGH",IF(VALUE(G2192)&lt;11,"LOW", "VALUE IN RANGE")))</f>
        <v>VALUE IN RANGE</v>
      </c>
    </row>
    <row r="2193" spans="3:8" x14ac:dyDescent="0.25">
      <c r="C2193" s="13"/>
      <c r="D2193" s="4" t="s">
        <v>1608</v>
      </c>
      <c r="E2193" s="1" t="s">
        <v>159</v>
      </c>
      <c r="F2193" s="5">
        <v>352</v>
      </c>
      <c r="G2193" s="3">
        <f t="shared" si="2334"/>
        <v>352</v>
      </c>
      <c r="H2193" s="14" t="str">
        <f t="shared" ref="H2193" si="2348">IF(NOT(ISNUMBER(VALUE(G2193))), "NA",IF(VALUE(G2193)&gt;460,"HIGH",IF(VALUE(G2193)&lt;117,"LOW", "VALUE IN RANGE")))</f>
        <v>VALUE IN RANGE</v>
      </c>
    </row>
    <row r="2194" spans="3:8" x14ac:dyDescent="0.25">
      <c r="C2194" s="13"/>
      <c r="D2194" s="4" t="s">
        <v>1608</v>
      </c>
      <c r="E2194" s="4" t="s">
        <v>161</v>
      </c>
      <c r="F2194" s="3" t="s">
        <v>217</v>
      </c>
      <c r="G2194" s="3">
        <f t="shared" si="2334"/>
        <v>12.6</v>
      </c>
      <c r="H2194" s="14" t="str">
        <f t="shared" ref="H2194" si="2349">IF(NOT(ISNUMBER(VALUE(G2194))), "NA",IF(VALUE(G2194)&gt;12,"HIGH",IF(VALUE(G2194)&lt;7,"LOW", "VALUE IN RANGE")))</f>
        <v>HIGH</v>
      </c>
    </row>
    <row r="2195" spans="3:8" ht="15" customHeight="1" x14ac:dyDescent="0.25">
      <c r="C2195" s="13" t="str">
        <f t="shared" ref="C2195" si="2350">IF(D2195=D2210,D2209,"falso")</f>
        <v>PATIENT_0138</v>
      </c>
      <c r="D2195" s="4" t="s">
        <v>1609</v>
      </c>
      <c r="E2195" s="1" t="s">
        <v>3</v>
      </c>
      <c r="F2195" s="5" t="s">
        <v>64</v>
      </c>
      <c r="G2195" s="3">
        <f t="shared" si="2334"/>
        <v>10</v>
      </c>
      <c r="H2195" s="14" t="str">
        <f t="shared" ref="H2195" si="2351">IF(NOT(ISNUMBER(VALUE(G2195))), "NA",IF(VALUE(G2195)&gt;17,"HIGH",IF(VALUE(G2195)&lt;6,"LOW", "VALUE IN RANGE")))</f>
        <v>VALUE IN RANGE</v>
      </c>
    </row>
    <row r="2196" spans="3:8" x14ac:dyDescent="0.25">
      <c r="C2196" s="13"/>
      <c r="D2196" s="4" t="s">
        <v>1609</v>
      </c>
      <c r="E2196" s="4" t="s">
        <v>5</v>
      </c>
      <c r="F2196" s="3" t="s">
        <v>35</v>
      </c>
      <c r="G2196" s="3">
        <f t="shared" si="2334"/>
        <v>1</v>
      </c>
      <c r="H2196" s="14" t="str">
        <f t="shared" ref="H2196" si="2352">IF(NOT(ISNUMBER(VALUE(G2196))), "NA",IF(VALUE(G2196)&gt;30,"HIGH",IF(VALUE(G2196)&lt;12,"LOW", "VALUE IN RANGE")))</f>
        <v>LOW</v>
      </c>
    </row>
    <row r="2197" spans="3:8" x14ac:dyDescent="0.25">
      <c r="C2197" s="13"/>
      <c r="D2197" s="4" t="s">
        <v>1609</v>
      </c>
      <c r="E2197" s="1" t="s">
        <v>7</v>
      </c>
      <c r="F2197" s="5" t="s">
        <v>1134</v>
      </c>
      <c r="G2197" s="3">
        <f t="shared" si="2334"/>
        <v>2.4</v>
      </c>
      <c r="H2197" s="14" t="str">
        <f t="shared" ref="H2197" si="2353">IF(NOT(ISNUMBER(VALUE(G2197))), "NA",IF(VALUE(G2197)&gt;9,"HIGH",IF(VALUE(G2197)&lt;2,"LOW", "VALUE IN RANGE")))</f>
        <v>VALUE IN RANGE</v>
      </c>
    </row>
    <row r="2198" spans="3:8" x14ac:dyDescent="0.25">
      <c r="C2198" s="13"/>
      <c r="D2198" s="4" t="s">
        <v>1609</v>
      </c>
      <c r="E2198" s="4" t="s">
        <v>9</v>
      </c>
      <c r="F2198" s="3" t="s">
        <v>1135</v>
      </c>
      <c r="G2198" s="3">
        <f t="shared" si="2334"/>
        <v>96.6</v>
      </c>
      <c r="H2198" s="14" t="str">
        <f t="shared" ref="H2198" si="2354">IF(NOT(ISNUMBER(VALUE(G2198))), "NA",IF(VALUE(G2198)&gt;83,"HIGH",IF(VALUE(G2198)&lt;60,"LOW", "VALUE IN RANGE")))</f>
        <v>HIGH</v>
      </c>
    </row>
    <row r="2199" spans="3:8" x14ac:dyDescent="0.25">
      <c r="C2199" s="13"/>
      <c r="D2199" s="4" t="s">
        <v>1609</v>
      </c>
      <c r="E2199" s="1" t="s">
        <v>11</v>
      </c>
      <c r="F2199" s="5" t="s">
        <v>40</v>
      </c>
      <c r="G2199" s="3">
        <f t="shared" si="2334"/>
        <v>0.1</v>
      </c>
      <c r="H2199" s="14" t="str">
        <f t="shared" ref="H2199" si="2355">IF(NOT(ISNUMBER(VALUE(G2199))), "NA",IF(VALUE(G2199)&gt;5.1,"HIGH",IF(VALUE(G2199)&lt;0.8,"LOW", "VALUE IN RANGE")))</f>
        <v>LOW</v>
      </c>
    </row>
    <row r="2200" spans="3:8" x14ac:dyDescent="0.25">
      <c r="C2200" s="13"/>
      <c r="D2200" s="4" t="s">
        <v>1609</v>
      </c>
      <c r="E2200" s="4" t="s">
        <v>13</v>
      </c>
      <c r="F2200" s="3" t="s">
        <v>51</v>
      </c>
      <c r="G2200" s="3">
        <f t="shared" si="2334"/>
        <v>0.2</v>
      </c>
      <c r="H2200" s="14" t="str">
        <f t="shared" ref="H2200" si="2356">IF(NOT(ISNUMBER(VALUE(G2200))), "NA",IF(VALUE(G2200)&gt;1.8,"HIGH",IF(VALUE(G2200)&lt;0,"LOW", "VALUE IN RANGE")))</f>
        <v>VALUE IN RANGE</v>
      </c>
    </row>
    <row r="2201" spans="3:8" x14ac:dyDescent="0.25">
      <c r="C2201" s="13"/>
      <c r="D2201" s="4" t="s">
        <v>1609</v>
      </c>
      <c r="E2201" s="1" t="s">
        <v>15</v>
      </c>
      <c r="F2201" s="5">
        <v>9700</v>
      </c>
      <c r="G2201" s="3">
        <f t="shared" si="2334"/>
        <v>9700</v>
      </c>
      <c r="H2201" s="14" t="str">
        <f t="shared" ref="H2201" si="2357">IF(NOT(ISNUMBER(VALUE(G2201))), "NA",IF(VALUE(G2201)&gt;12.6,"HIGH",IF(VALUE(G2201)&lt;4,"LOW", "VALUE IN RANGE")))</f>
        <v>HIGH</v>
      </c>
    </row>
    <row r="2202" spans="3:8" x14ac:dyDescent="0.25">
      <c r="C2202" s="13"/>
      <c r="D2202" s="4" t="s">
        <v>1609</v>
      </c>
      <c r="E2202" s="4" t="s">
        <v>17</v>
      </c>
      <c r="F2202" s="3" t="s">
        <v>1137</v>
      </c>
      <c r="G2202" s="3">
        <f t="shared" si="2334"/>
        <v>7.99</v>
      </c>
      <c r="H2202" s="14" t="str">
        <f t="shared" ref="H2202" si="2358">IF(NOT(ISNUMBER(VALUE(G2202))), "NA",IF(VALUE(G2202)&gt;8.5,"HIGH",IF(VALUE(G2202)&lt;5.5,"LOW", "VALUE IN RANGE")))</f>
        <v>VALUE IN RANGE</v>
      </c>
    </row>
    <row r="2203" spans="3:8" x14ac:dyDescent="0.25">
      <c r="C2203" s="13"/>
      <c r="D2203" s="4" t="s">
        <v>1609</v>
      </c>
      <c r="E2203" s="1" t="s">
        <v>19</v>
      </c>
      <c r="F2203" s="5">
        <v>193</v>
      </c>
      <c r="G2203" s="3">
        <f t="shared" si="2334"/>
        <v>193</v>
      </c>
      <c r="H2203" s="14" t="str">
        <f t="shared" ref="H2203" si="2359">IF(NOT(ISNUMBER(VALUE(G2203))), "NA",IF(VALUE(G2203)&gt;190,"HIGH",IF(VALUE(G2203)&lt;110,"LOW", "VALUE IN RANGE")))</f>
        <v>HIGH</v>
      </c>
    </row>
    <row r="2204" spans="3:8" x14ac:dyDescent="0.25">
      <c r="C2204" s="13"/>
      <c r="D2204" s="4" t="s">
        <v>1609</v>
      </c>
      <c r="E2204" s="4" t="s">
        <v>21</v>
      </c>
      <c r="F2204" s="3" t="s">
        <v>1138</v>
      </c>
      <c r="G2204" s="3">
        <f t="shared" si="2334"/>
        <v>59.6</v>
      </c>
      <c r="H2204" s="14" t="str">
        <f t="shared" ref="H2204" si="2360">IF(NOT(ISNUMBER(VALUE(G2204))), "NA",IF(VALUE(G2204)&gt;56,"HIGH",IF(VALUE(G2204)&lt;39,"LOW", "VALUE IN RANGE")))</f>
        <v>HIGH</v>
      </c>
    </row>
    <row r="2205" spans="3:8" x14ac:dyDescent="0.25">
      <c r="C2205" s="13"/>
      <c r="D2205" s="4" t="s">
        <v>1609</v>
      </c>
      <c r="E2205" s="1" t="s">
        <v>23</v>
      </c>
      <c r="F2205" s="5" t="s">
        <v>1139</v>
      </c>
      <c r="G2205" s="3">
        <f t="shared" si="2334"/>
        <v>74.7</v>
      </c>
      <c r="H2205" s="14" t="str">
        <f t="shared" ref="H2205" si="2361">IF(NOT(ISNUMBER(VALUE(G2205))), "NA",IF(VALUE(G2205)&gt;72,"HIGH",IF(VALUE(G2205)&lt;62,"LOW", "VALUE IN RANGE")))</f>
        <v>HIGH</v>
      </c>
    </row>
    <row r="2206" spans="3:8" x14ac:dyDescent="0.25">
      <c r="C2206" s="13"/>
      <c r="D2206" s="4" t="s">
        <v>1609</v>
      </c>
      <c r="E2206" s="4" t="s">
        <v>25</v>
      </c>
      <c r="F2206" s="3" t="s">
        <v>736</v>
      </c>
      <c r="G2206" s="3">
        <f t="shared" si="2334"/>
        <v>24.1</v>
      </c>
      <c r="H2206" s="14" t="str">
        <f t="shared" ref="H2206" si="2362">IF(NOT(ISNUMBER(VALUE(G2206))), "NA",IF(VALUE(G2206)&gt;25,"HIGH",IF(VALUE(G2206)&lt;20,"LOW", "VALUE IN RANGE")))</f>
        <v>VALUE IN RANGE</v>
      </c>
    </row>
    <row r="2207" spans="3:8" x14ac:dyDescent="0.25">
      <c r="C2207" s="13"/>
      <c r="D2207" s="4" t="s">
        <v>1609</v>
      </c>
      <c r="E2207" s="1" t="s">
        <v>27</v>
      </c>
      <c r="F2207" s="5">
        <v>323</v>
      </c>
      <c r="G2207" s="3">
        <f t="shared" si="2334"/>
        <v>323</v>
      </c>
      <c r="H2207" s="14" t="str">
        <f t="shared" ref="H2207" si="2363">IF(NOT(ISNUMBER(VALUE(G2207))), "NA",IF(VALUE(G2207)&gt;380,"HIGH",IF(VALUE(G2207)&lt;300,"LOW", "VALUE IN RANGE")))</f>
        <v>VALUE IN RANGE</v>
      </c>
    </row>
    <row r="2208" spans="3:8" x14ac:dyDescent="0.25">
      <c r="C2208" s="13"/>
      <c r="D2208" s="4" t="s">
        <v>1609</v>
      </c>
      <c r="E2208" s="4" t="s">
        <v>29</v>
      </c>
      <c r="F2208" s="3" t="s">
        <v>494</v>
      </c>
      <c r="G2208" s="3">
        <f t="shared" si="2334"/>
        <v>12.3</v>
      </c>
      <c r="H2208" s="14" t="str">
        <f t="shared" ref="H2208" si="2364">IF(NOT(ISNUMBER(VALUE(G2208))), "NA",IF(VALUE(G2208)&gt;15.5,"HIGH",IF(VALUE(G2208)&lt;11,"LOW", "VALUE IN RANGE")))</f>
        <v>VALUE IN RANGE</v>
      </c>
    </row>
    <row r="2209" spans="3:8" x14ac:dyDescent="0.25">
      <c r="C2209" s="13"/>
      <c r="D2209" s="4" t="s">
        <v>1609</v>
      </c>
      <c r="E2209" s="1" t="s">
        <v>31</v>
      </c>
      <c r="F2209" s="5">
        <v>333</v>
      </c>
      <c r="G2209" s="3">
        <f t="shared" si="2334"/>
        <v>333</v>
      </c>
      <c r="H2209" s="14" t="str">
        <f t="shared" ref="H2209" si="2365">IF(NOT(ISNUMBER(VALUE(G2209))), "NA",IF(VALUE(G2209)&gt;460,"HIGH",IF(VALUE(G2209)&lt;117,"LOW", "VALUE IN RANGE")))</f>
        <v>VALUE IN RANGE</v>
      </c>
    </row>
    <row r="2210" spans="3:8" x14ac:dyDescent="0.25">
      <c r="C2210" s="13"/>
      <c r="D2210" s="4" t="s">
        <v>1609</v>
      </c>
      <c r="E2210" s="4" t="s">
        <v>33</v>
      </c>
      <c r="F2210" s="3" t="s">
        <v>202</v>
      </c>
      <c r="G2210" s="3">
        <f t="shared" si="2334"/>
        <v>7.3</v>
      </c>
      <c r="H2210" s="14" t="str">
        <f t="shared" ref="H2210" si="2366">IF(NOT(ISNUMBER(VALUE(G2210))), "NA",IF(VALUE(G2210)&gt;12,"HIGH",IF(VALUE(G2210)&lt;7,"LOW", "VALUE IN RANGE")))</f>
        <v>VALUE IN RANGE</v>
      </c>
    </row>
    <row r="2211" spans="3:8" ht="15" customHeight="1" x14ac:dyDescent="0.25">
      <c r="C2211" s="13" t="str">
        <f t="shared" ref="C2211" si="2367">IF(D2211=D2226,D2225,"falso")</f>
        <v>PATIENT_0139</v>
      </c>
      <c r="D2211" s="4" t="s">
        <v>1610</v>
      </c>
      <c r="E2211" s="1" t="s">
        <v>3</v>
      </c>
      <c r="F2211" s="5" t="s">
        <v>719</v>
      </c>
      <c r="G2211" s="3">
        <f t="shared" si="2334"/>
        <v>8.1999999999999993</v>
      </c>
      <c r="H2211" s="14" t="str">
        <f t="shared" ref="H2211" si="2368">IF(NOT(ISNUMBER(VALUE(G2211))), "NA",IF(VALUE(G2211)&gt;17,"HIGH",IF(VALUE(G2211)&lt;6,"LOW", "VALUE IN RANGE")))</f>
        <v>VALUE IN RANGE</v>
      </c>
    </row>
    <row r="2212" spans="3:8" x14ac:dyDescent="0.25">
      <c r="C2212" s="13"/>
      <c r="D2212" s="4" t="s">
        <v>1610</v>
      </c>
      <c r="E2212" s="4" t="s">
        <v>5</v>
      </c>
      <c r="F2212" s="3" t="s">
        <v>363</v>
      </c>
      <c r="G2212" s="3">
        <f t="shared" si="2334"/>
        <v>13.6</v>
      </c>
      <c r="H2212" s="14" t="str">
        <f t="shared" ref="H2212" si="2369">IF(NOT(ISNUMBER(VALUE(G2212))), "NA",IF(VALUE(G2212)&gt;30,"HIGH",IF(VALUE(G2212)&lt;12,"LOW", "VALUE IN RANGE")))</f>
        <v>VALUE IN RANGE</v>
      </c>
    </row>
    <row r="2213" spans="3:8" x14ac:dyDescent="0.25">
      <c r="C2213" s="13"/>
      <c r="D2213" s="4" t="s">
        <v>1610</v>
      </c>
      <c r="E2213" s="1" t="s">
        <v>7</v>
      </c>
      <c r="F2213" s="5" t="s">
        <v>648</v>
      </c>
      <c r="G2213" s="3">
        <f t="shared" si="2334"/>
        <v>6.3</v>
      </c>
      <c r="H2213" s="14" t="str">
        <f t="shared" ref="H2213" si="2370">IF(NOT(ISNUMBER(VALUE(G2213))), "NA",IF(VALUE(G2213)&gt;9,"HIGH",IF(VALUE(G2213)&lt;2,"LOW", "VALUE IN RANGE")))</f>
        <v>VALUE IN RANGE</v>
      </c>
    </row>
    <row r="2214" spans="3:8" x14ac:dyDescent="0.25">
      <c r="C2214" s="13"/>
      <c r="D2214" s="4" t="s">
        <v>1610</v>
      </c>
      <c r="E2214" s="4" t="s">
        <v>9</v>
      </c>
      <c r="F2214" s="3" t="s">
        <v>1140</v>
      </c>
      <c r="G2214" s="3">
        <f t="shared" si="2334"/>
        <v>80.099999999999994</v>
      </c>
      <c r="H2214" s="14" t="str">
        <f t="shared" ref="H2214" si="2371">IF(NOT(ISNUMBER(VALUE(G2214))), "NA",IF(VALUE(G2214)&gt;83,"HIGH",IF(VALUE(G2214)&lt;60,"LOW", "VALUE IN RANGE")))</f>
        <v>VALUE IN RANGE</v>
      </c>
    </row>
    <row r="2215" spans="3:8" x14ac:dyDescent="0.25">
      <c r="C2215" s="13"/>
      <c r="D2215" s="4" t="s">
        <v>1610</v>
      </c>
      <c r="E2215" s="1" t="s">
        <v>11</v>
      </c>
      <c r="F2215" s="5">
        <v>1100</v>
      </c>
      <c r="G2215" s="3">
        <f t="shared" si="2334"/>
        <v>1100</v>
      </c>
      <c r="H2215" s="14" t="str">
        <f t="shared" ref="H2215" si="2372">IF(NOT(ISNUMBER(VALUE(G2215))), "NA",IF(VALUE(G2215)&gt;5.1,"HIGH",IF(VALUE(G2215)&lt;0.8,"LOW", "VALUE IN RANGE")))</f>
        <v>HIGH</v>
      </c>
    </row>
    <row r="2216" spans="3:8" x14ac:dyDescent="0.25">
      <c r="C2216" s="13"/>
      <c r="D2216" s="4" t="s">
        <v>1610</v>
      </c>
      <c r="E2216" s="4" t="s">
        <v>13</v>
      </c>
      <c r="F2216" s="3" t="s">
        <v>109</v>
      </c>
      <c r="G2216" s="3">
        <f t="shared" si="2334"/>
        <v>0.5</v>
      </c>
      <c r="H2216" s="14" t="str">
        <f t="shared" ref="H2216" si="2373">IF(NOT(ISNUMBER(VALUE(G2216))), "NA",IF(VALUE(G2216)&gt;1.8,"HIGH",IF(VALUE(G2216)&lt;0,"LOW", "VALUE IN RANGE")))</f>
        <v>VALUE IN RANGE</v>
      </c>
    </row>
    <row r="2217" spans="3:8" x14ac:dyDescent="0.25">
      <c r="C2217" s="13"/>
      <c r="D2217" s="4" t="s">
        <v>1610</v>
      </c>
      <c r="E2217" s="1" t="s">
        <v>15</v>
      </c>
      <c r="F2217" s="5">
        <v>6600</v>
      </c>
      <c r="G2217" s="3">
        <f t="shared" si="2334"/>
        <v>6600</v>
      </c>
      <c r="H2217" s="14" t="str">
        <f t="shared" ref="H2217" si="2374">IF(NOT(ISNUMBER(VALUE(G2217))), "NA",IF(VALUE(G2217)&gt;12.6,"HIGH",IF(VALUE(G2217)&lt;4,"LOW", "VALUE IN RANGE")))</f>
        <v>HIGH</v>
      </c>
    </row>
    <row r="2218" spans="3:8" x14ac:dyDescent="0.25">
      <c r="C2218" s="13"/>
      <c r="D2218" s="4" t="s">
        <v>1610</v>
      </c>
      <c r="E2218" s="4" t="s">
        <v>17</v>
      </c>
      <c r="F2218" s="3" t="s">
        <v>179</v>
      </c>
      <c r="G2218" s="3">
        <f t="shared" si="2334"/>
        <v>8</v>
      </c>
      <c r="H2218" s="14" t="str">
        <f t="shared" ref="H2218" si="2375">IF(NOT(ISNUMBER(VALUE(G2218))), "NA",IF(VALUE(G2218)&gt;8.5,"HIGH",IF(VALUE(G2218)&lt;5.5,"LOW", "VALUE IN RANGE")))</f>
        <v>VALUE IN RANGE</v>
      </c>
    </row>
    <row r="2219" spans="3:8" x14ac:dyDescent="0.25">
      <c r="C2219" s="13"/>
      <c r="D2219" s="4" t="s">
        <v>1610</v>
      </c>
      <c r="E2219" s="1" t="s">
        <v>19</v>
      </c>
      <c r="F2219" s="5">
        <v>171</v>
      </c>
      <c r="G2219" s="3">
        <f t="shared" si="2334"/>
        <v>171</v>
      </c>
      <c r="H2219" s="14" t="str">
        <f t="shared" ref="H2219" si="2376">IF(NOT(ISNUMBER(VALUE(G2219))), "NA",IF(VALUE(G2219)&gt;190,"HIGH",IF(VALUE(G2219)&lt;110,"LOW", "VALUE IN RANGE")))</f>
        <v>VALUE IN RANGE</v>
      </c>
    </row>
    <row r="2220" spans="3:8" x14ac:dyDescent="0.25">
      <c r="C2220" s="13"/>
      <c r="D2220" s="4" t="s">
        <v>1610</v>
      </c>
      <c r="E2220" s="4" t="s">
        <v>21</v>
      </c>
      <c r="F2220" s="3" t="s">
        <v>480</v>
      </c>
      <c r="G2220" s="3">
        <f t="shared" si="2334"/>
        <v>54.2</v>
      </c>
      <c r="H2220" s="14" t="str">
        <f t="shared" ref="H2220" si="2377">IF(NOT(ISNUMBER(VALUE(G2220))), "NA",IF(VALUE(G2220)&gt;56,"HIGH",IF(VALUE(G2220)&lt;39,"LOW", "VALUE IN RANGE")))</f>
        <v>VALUE IN RANGE</v>
      </c>
    </row>
    <row r="2221" spans="3:8" x14ac:dyDescent="0.25">
      <c r="C2221" s="13"/>
      <c r="D2221" s="4" t="s">
        <v>1610</v>
      </c>
      <c r="E2221" s="1" t="s">
        <v>23</v>
      </c>
      <c r="F2221" s="5" t="s">
        <v>689</v>
      </c>
      <c r="G2221" s="3">
        <f t="shared" si="2334"/>
        <v>67.8</v>
      </c>
      <c r="H2221" s="14" t="str">
        <f t="shared" ref="H2221" si="2378">IF(NOT(ISNUMBER(VALUE(G2221))), "NA",IF(VALUE(G2221)&gt;72,"HIGH",IF(VALUE(G2221)&lt;62,"LOW", "VALUE IN RANGE")))</f>
        <v>VALUE IN RANGE</v>
      </c>
    </row>
    <row r="2222" spans="3:8" x14ac:dyDescent="0.25">
      <c r="C2222" s="13"/>
      <c r="D2222" s="4" t="s">
        <v>1610</v>
      </c>
      <c r="E2222" s="4" t="s">
        <v>25</v>
      </c>
      <c r="F2222" s="3" t="s">
        <v>252</v>
      </c>
      <c r="G2222" s="3">
        <f t="shared" si="2334"/>
        <v>21.3</v>
      </c>
      <c r="H2222" s="14" t="str">
        <f t="shared" ref="H2222" si="2379">IF(NOT(ISNUMBER(VALUE(G2222))), "NA",IF(VALUE(G2222)&gt;25,"HIGH",IF(VALUE(G2222)&lt;20,"LOW", "VALUE IN RANGE")))</f>
        <v>VALUE IN RANGE</v>
      </c>
    </row>
    <row r="2223" spans="3:8" x14ac:dyDescent="0.25">
      <c r="C2223" s="13"/>
      <c r="D2223" s="4" t="s">
        <v>1610</v>
      </c>
      <c r="E2223" s="1" t="s">
        <v>27</v>
      </c>
      <c r="F2223" s="5">
        <v>315</v>
      </c>
      <c r="G2223" s="3">
        <f t="shared" si="2334"/>
        <v>315</v>
      </c>
      <c r="H2223" s="14" t="str">
        <f t="shared" ref="H2223" si="2380">IF(NOT(ISNUMBER(VALUE(G2223))), "NA",IF(VALUE(G2223)&gt;380,"HIGH",IF(VALUE(G2223)&lt;300,"LOW", "VALUE IN RANGE")))</f>
        <v>VALUE IN RANGE</v>
      </c>
    </row>
    <row r="2224" spans="3:8" x14ac:dyDescent="0.25">
      <c r="C2224" s="13"/>
      <c r="D2224" s="4" t="s">
        <v>1610</v>
      </c>
      <c r="E2224" s="4" t="s">
        <v>29</v>
      </c>
      <c r="F2224" s="3" t="s">
        <v>525</v>
      </c>
      <c r="G2224" s="3">
        <f t="shared" si="2334"/>
        <v>13.6</v>
      </c>
      <c r="H2224" s="14" t="str">
        <f t="shared" ref="H2224" si="2381">IF(NOT(ISNUMBER(VALUE(G2224))), "NA",IF(VALUE(G2224)&gt;15.5,"HIGH",IF(VALUE(G2224)&lt;11,"LOW", "VALUE IN RANGE")))</f>
        <v>VALUE IN RANGE</v>
      </c>
    </row>
    <row r="2225" spans="3:8" x14ac:dyDescent="0.25">
      <c r="C2225" s="13"/>
      <c r="D2225" s="4" t="s">
        <v>1610</v>
      </c>
      <c r="E2225" s="1" t="s">
        <v>31</v>
      </c>
      <c r="F2225" s="5">
        <v>417</v>
      </c>
      <c r="G2225" s="3">
        <f t="shared" si="2334"/>
        <v>417</v>
      </c>
      <c r="H2225" s="14" t="str">
        <f t="shared" ref="H2225" si="2382">IF(NOT(ISNUMBER(VALUE(G2225))), "NA",IF(VALUE(G2225)&gt;460,"HIGH",IF(VALUE(G2225)&lt;117,"LOW", "VALUE IN RANGE")))</f>
        <v>VALUE IN RANGE</v>
      </c>
    </row>
    <row r="2226" spans="3:8" x14ac:dyDescent="0.25">
      <c r="C2226" s="13"/>
      <c r="D2226" s="4" t="s">
        <v>1610</v>
      </c>
      <c r="E2226" s="4" t="s">
        <v>33</v>
      </c>
      <c r="F2226" s="3" t="s">
        <v>90</v>
      </c>
      <c r="G2226" s="3">
        <f t="shared" si="2334"/>
        <v>7.9</v>
      </c>
      <c r="H2226" s="14" t="str">
        <f t="shared" ref="H2226" si="2383">IF(NOT(ISNUMBER(VALUE(G2226))), "NA",IF(VALUE(G2226)&gt;12,"HIGH",IF(VALUE(G2226)&lt;7,"LOW", "VALUE IN RANGE")))</f>
        <v>VALUE IN RANGE</v>
      </c>
    </row>
    <row r="2227" spans="3:8" ht="15" customHeight="1" x14ac:dyDescent="0.25">
      <c r="C2227" s="13" t="str">
        <f t="shared" ref="C2227" si="2384">IF(D2227=D2242,D2241,"falso")</f>
        <v>PATIENT_0140</v>
      </c>
      <c r="D2227" s="4" t="s">
        <v>1611</v>
      </c>
      <c r="E2227" s="1" t="s">
        <v>3</v>
      </c>
      <c r="F2227" s="5" t="s">
        <v>465</v>
      </c>
      <c r="G2227" s="3">
        <f t="shared" si="2334"/>
        <v>5.9</v>
      </c>
      <c r="H2227" s="14" t="str">
        <f t="shared" ref="H2227" si="2385">IF(NOT(ISNUMBER(VALUE(G2227))), "NA",IF(VALUE(G2227)&gt;17,"HIGH",IF(VALUE(G2227)&lt;6,"LOW", "VALUE IN RANGE")))</f>
        <v>LOW</v>
      </c>
    </row>
    <row r="2228" spans="3:8" x14ac:dyDescent="0.25">
      <c r="C2228" s="13"/>
      <c r="D2228" s="4" t="s">
        <v>1611</v>
      </c>
      <c r="E2228" s="4" t="s">
        <v>5</v>
      </c>
      <c r="F2228" s="3" t="s">
        <v>47</v>
      </c>
      <c r="G2228" s="3">
        <f t="shared" si="2334"/>
        <v>5.5</v>
      </c>
      <c r="H2228" s="14" t="str">
        <f t="shared" ref="H2228" si="2386">IF(NOT(ISNUMBER(VALUE(G2228))), "NA",IF(VALUE(G2228)&gt;30,"HIGH",IF(VALUE(G2228)&lt;12,"LOW", "VALUE IN RANGE")))</f>
        <v>LOW</v>
      </c>
    </row>
    <row r="2229" spans="3:8" x14ac:dyDescent="0.25">
      <c r="C2229" s="13"/>
      <c r="D2229" s="4" t="s">
        <v>1611</v>
      </c>
      <c r="E2229" s="1" t="s">
        <v>7</v>
      </c>
      <c r="F2229" s="5" t="s">
        <v>453</v>
      </c>
      <c r="G2229" s="3">
        <f t="shared" si="2334"/>
        <v>5</v>
      </c>
      <c r="H2229" s="14" t="str">
        <f t="shared" ref="H2229" si="2387">IF(NOT(ISNUMBER(VALUE(G2229))), "NA",IF(VALUE(G2229)&gt;9,"HIGH",IF(VALUE(G2229)&lt;2,"LOW", "VALUE IN RANGE")))</f>
        <v>VALUE IN RANGE</v>
      </c>
    </row>
    <row r="2230" spans="3:8" x14ac:dyDescent="0.25">
      <c r="C2230" s="13"/>
      <c r="D2230" s="4" t="s">
        <v>1611</v>
      </c>
      <c r="E2230" s="4" t="s">
        <v>9</v>
      </c>
      <c r="F2230" s="3" t="s">
        <v>79</v>
      </c>
      <c r="G2230" s="3">
        <f t="shared" si="2334"/>
        <v>89.5</v>
      </c>
      <c r="H2230" s="14" t="str">
        <f t="shared" ref="H2230" si="2388">IF(NOT(ISNUMBER(VALUE(G2230))), "NA",IF(VALUE(G2230)&gt;83,"HIGH",IF(VALUE(G2230)&lt;60,"LOW", "VALUE IN RANGE")))</f>
        <v>HIGH</v>
      </c>
    </row>
    <row r="2231" spans="3:8" x14ac:dyDescent="0.25">
      <c r="C2231" s="13"/>
      <c r="D2231" s="4" t="s">
        <v>1611</v>
      </c>
      <c r="E2231" s="1" t="s">
        <v>11</v>
      </c>
      <c r="F2231" s="5" t="s">
        <v>14</v>
      </c>
      <c r="G2231" s="3">
        <f t="shared" si="2334"/>
        <v>0.3</v>
      </c>
      <c r="H2231" s="14" t="str">
        <f t="shared" ref="H2231" si="2389">IF(NOT(ISNUMBER(VALUE(G2231))), "NA",IF(VALUE(G2231)&gt;5.1,"HIGH",IF(VALUE(G2231)&lt;0.8,"LOW", "VALUE IN RANGE")))</f>
        <v>LOW</v>
      </c>
    </row>
    <row r="2232" spans="3:8" x14ac:dyDescent="0.25">
      <c r="C2232" s="13"/>
      <c r="D2232" s="4" t="s">
        <v>1611</v>
      </c>
      <c r="E2232" s="4" t="s">
        <v>13</v>
      </c>
      <c r="F2232" s="3" t="s">
        <v>51</v>
      </c>
      <c r="G2232" s="3">
        <f t="shared" si="2334"/>
        <v>0.2</v>
      </c>
      <c r="H2232" s="14" t="str">
        <f t="shared" ref="H2232" si="2390">IF(NOT(ISNUMBER(VALUE(G2232))), "NA",IF(VALUE(G2232)&gt;1.8,"HIGH",IF(VALUE(G2232)&lt;0,"LOW", "VALUE IN RANGE")))</f>
        <v>VALUE IN RANGE</v>
      </c>
    </row>
    <row r="2233" spans="3:8" x14ac:dyDescent="0.25">
      <c r="C2233" s="13"/>
      <c r="D2233" s="4" t="s">
        <v>1611</v>
      </c>
      <c r="E2233" s="1" t="s">
        <v>15</v>
      </c>
      <c r="F2233" s="5">
        <v>5400</v>
      </c>
      <c r="G2233" s="3">
        <f t="shared" si="2334"/>
        <v>5400</v>
      </c>
      <c r="H2233" s="14" t="str">
        <f t="shared" ref="H2233" si="2391">IF(NOT(ISNUMBER(VALUE(G2233))), "NA",IF(VALUE(G2233)&gt;12.6,"HIGH",IF(VALUE(G2233)&lt;4,"LOW", "VALUE IN RANGE")))</f>
        <v>HIGH</v>
      </c>
    </row>
    <row r="2234" spans="3:8" x14ac:dyDescent="0.25">
      <c r="C2234" s="13"/>
      <c r="D2234" s="4" t="s">
        <v>1611</v>
      </c>
      <c r="E2234" s="4" t="s">
        <v>17</v>
      </c>
      <c r="F2234" s="3" t="s">
        <v>1143</v>
      </c>
      <c r="G2234" s="3">
        <f t="shared" si="2334"/>
        <v>6.92</v>
      </c>
      <c r="H2234" s="14" t="str">
        <f t="shared" ref="H2234" si="2392">IF(NOT(ISNUMBER(VALUE(G2234))), "NA",IF(VALUE(G2234)&gt;8.5,"HIGH",IF(VALUE(G2234)&lt;5.5,"LOW", "VALUE IN RANGE")))</f>
        <v>VALUE IN RANGE</v>
      </c>
    </row>
    <row r="2235" spans="3:8" x14ac:dyDescent="0.25">
      <c r="C2235" s="13"/>
      <c r="D2235" s="4" t="s">
        <v>1611</v>
      </c>
      <c r="E2235" s="1" t="s">
        <v>19</v>
      </c>
      <c r="F2235" s="5">
        <v>161</v>
      </c>
      <c r="G2235" s="3">
        <f t="shared" si="2334"/>
        <v>161</v>
      </c>
      <c r="H2235" s="14" t="str">
        <f t="shared" ref="H2235" si="2393">IF(NOT(ISNUMBER(VALUE(G2235))), "NA",IF(VALUE(G2235)&gt;190,"HIGH",IF(VALUE(G2235)&lt;110,"LOW", "VALUE IN RANGE")))</f>
        <v>VALUE IN RANGE</v>
      </c>
    </row>
    <row r="2236" spans="3:8" x14ac:dyDescent="0.25">
      <c r="C2236" s="13"/>
      <c r="D2236" s="4" t="s">
        <v>1611</v>
      </c>
      <c r="E2236" s="4" t="s">
        <v>21</v>
      </c>
      <c r="F2236" s="3" t="s">
        <v>442</v>
      </c>
      <c r="G2236" s="3">
        <f t="shared" si="2334"/>
        <v>51.7</v>
      </c>
      <c r="H2236" s="14" t="str">
        <f t="shared" ref="H2236" si="2394">IF(NOT(ISNUMBER(VALUE(G2236))), "NA",IF(VALUE(G2236)&gt;56,"HIGH",IF(VALUE(G2236)&lt;39,"LOW", "VALUE IN RANGE")))</f>
        <v>VALUE IN RANGE</v>
      </c>
    </row>
    <row r="2237" spans="3:8" x14ac:dyDescent="0.25">
      <c r="C2237" s="13"/>
      <c r="D2237" s="4" t="s">
        <v>1611</v>
      </c>
      <c r="E2237" s="1" t="s">
        <v>23</v>
      </c>
      <c r="F2237" s="5" t="s">
        <v>1145</v>
      </c>
      <c r="G2237" s="3">
        <f t="shared" si="2334"/>
        <v>74.8</v>
      </c>
      <c r="H2237" s="14" t="str">
        <f t="shared" ref="H2237" si="2395">IF(NOT(ISNUMBER(VALUE(G2237))), "NA",IF(VALUE(G2237)&gt;72,"HIGH",IF(VALUE(G2237)&lt;62,"LOW", "VALUE IN RANGE")))</f>
        <v>HIGH</v>
      </c>
    </row>
    <row r="2238" spans="3:8" x14ac:dyDescent="0.25">
      <c r="C2238" s="13"/>
      <c r="D2238" s="4" t="s">
        <v>1611</v>
      </c>
      <c r="E2238" s="4" t="s">
        <v>25</v>
      </c>
      <c r="F2238" s="3" t="s">
        <v>359</v>
      </c>
      <c r="G2238" s="3">
        <f t="shared" si="2334"/>
        <v>23.2</v>
      </c>
      <c r="H2238" s="14" t="str">
        <f t="shared" ref="H2238" si="2396">IF(NOT(ISNUMBER(VALUE(G2238))), "NA",IF(VALUE(G2238)&gt;25,"HIGH",IF(VALUE(G2238)&lt;20,"LOW", "VALUE IN RANGE")))</f>
        <v>VALUE IN RANGE</v>
      </c>
    </row>
    <row r="2239" spans="3:8" x14ac:dyDescent="0.25">
      <c r="C2239" s="13"/>
      <c r="D2239" s="4" t="s">
        <v>1611</v>
      </c>
      <c r="E2239" s="1" t="s">
        <v>27</v>
      </c>
      <c r="F2239" s="5">
        <v>311</v>
      </c>
      <c r="G2239" s="3">
        <f t="shared" si="2334"/>
        <v>311</v>
      </c>
      <c r="H2239" s="14" t="str">
        <f t="shared" ref="H2239" si="2397">IF(NOT(ISNUMBER(VALUE(G2239))), "NA",IF(VALUE(G2239)&gt;380,"HIGH",IF(VALUE(G2239)&lt;300,"LOW", "VALUE IN RANGE")))</f>
        <v>VALUE IN RANGE</v>
      </c>
    </row>
    <row r="2240" spans="3:8" x14ac:dyDescent="0.25">
      <c r="C2240" s="13"/>
      <c r="D2240" s="4" t="s">
        <v>1611</v>
      </c>
      <c r="E2240" s="4" t="s">
        <v>29</v>
      </c>
      <c r="F2240" s="3" t="s">
        <v>341</v>
      </c>
      <c r="G2240" s="3">
        <f t="shared" si="2334"/>
        <v>11.8</v>
      </c>
      <c r="H2240" s="14" t="str">
        <f t="shared" ref="H2240" si="2398">IF(NOT(ISNUMBER(VALUE(G2240))), "NA",IF(VALUE(G2240)&gt;15.5,"HIGH",IF(VALUE(G2240)&lt;11,"LOW", "VALUE IN RANGE")))</f>
        <v>VALUE IN RANGE</v>
      </c>
    </row>
    <row r="2241" spans="3:8" x14ac:dyDescent="0.25">
      <c r="C2241" s="13"/>
      <c r="D2241" s="4" t="s">
        <v>1611</v>
      </c>
      <c r="E2241" s="1" t="s">
        <v>31</v>
      </c>
      <c r="F2241" s="5">
        <v>392</v>
      </c>
      <c r="G2241" s="3">
        <f t="shared" si="2334"/>
        <v>392</v>
      </c>
      <c r="H2241" s="14" t="str">
        <f t="shared" ref="H2241" si="2399">IF(NOT(ISNUMBER(VALUE(G2241))), "NA",IF(VALUE(G2241)&gt;460,"HIGH",IF(VALUE(G2241)&lt;117,"LOW", "VALUE IN RANGE")))</f>
        <v>VALUE IN RANGE</v>
      </c>
    </row>
    <row r="2242" spans="3:8" x14ac:dyDescent="0.25">
      <c r="C2242" s="13"/>
      <c r="D2242" s="4" t="s">
        <v>1611</v>
      </c>
      <c r="E2242" s="4" t="s">
        <v>33</v>
      </c>
      <c r="F2242" s="3" t="s">
        <v>416</v>
      </c>
      <c r="G2242" s="3">
        <f t="shared" si="2334"/>
        <v>8.1999999999999993</v>
      </c>
      <c r="H2242" s="14" t="str">
        <f t="shared" ref="H2242" si="2400">IF(NOT(ISNUMBER(VALUE(G2242))), "NA",IF(VALUE(G2242)&gt;12,"HIGH",IF(VALUE(G2242)&lt;7,"LOW", "VALUE IN RANGE")))</f>
        <v>VALUE IN RANGE</v>
      </c>
    </row>
    <row r="2243" spans="3:8" ht="15" customHeight="1" x14ac:dyDescent="0.25">
      <c r="C2243" s="13" t="str">
        <f t="shared" ref="C2243" si="2401">IF(D2243=D2258,D2257,"falso")</f>
        <v>PATIENT_0141</v>
      </c>
      <c r="D2243" s="4" t="s">
        <v>1612</v>
      </c>
      <c r="E2243" s="1" t="s">
        <v>3</v>
      </c>
      <c r="F2243" s="5" t="s">
        <v>1147</v>
      </c>
      <c r="G2243" s="3">
        <f t="shared" si="2334"/>
        <v>8.3000000000000007</v>
      </c>
      <c r="H2243" s="14" t="str">
        <f t="shared" ref="H2243" si="2402">IF(NOT(ISNUMBER(VALUE(G2243))), "NA",IF(VALUE(G2243)&gt;17,"HIGH",IF(VALUE(G2243)&lt;6,"LOW", "VALUE IN RANGE")))</f>
        <v>VALUE IN RANGE</v>
      </c>
    </row>
    <row r="2244" spans="3:8" x14ac:dyDescent="0.25">
      <c r="C2244" s="13"/>
      <c r="D2244" s="4" t="s">
        <v>1612</v>
      </c>
      <c r="E2244" s="4" t="s">
        <v>5</v>
      </c>
      <c r="F2244" s="3" t="s">
        <v>757</v>
      </c>
      <c r="G2244" s="3">
        <f t="shared" ref="G2244:G2307" si="2403">IFERROR(
   VALUE(
      SUBSTITUTE(
         CLEAN(
            TRIM(F2244)
         ),
         ".",
         ","
      )
   ),
   ""
)</f>
        <v>6.7</v>
      </c>
      <c r="H2244" s="14" t="str">
        <f t="shared" ref="H2244" si="2404">IF(NOT(ISNUMBER(VALUE(G2244))), "NA",IF(VALUE(G2244)&gt;30,"HIGH",IF(VALUE(G2244)&lt;12,"LOW", "VALUE IN RANGE")))</f>
        <v>LOW</v>
      </c>
    </row>
    <row r="2245" spans="3:8" x14ac:dyDescent="0.25">
      <c r="C2245" s="13"/>
      <c r="D2245" s="4" t="s">
        <v>1612</v>
      </c>
      <c r="E2245" s="1" t="s">
        <v>7</v>
      </c>
      <c r="F2245" s="5" t="s">
        <v>407</v>
      </c>
      <c r="G2245" s="3">
        <f t="shared" si="2403"/>
        <v>3.7</v>
      </c>
      <c r="H2245" s="14" t="str">
        <f t="shared" ref="H2245" si="2405">IF(NOT(ISNUMBER(VALUE(G2245))), "NA",IF(VALUE(G2245)&gt;9,"HIGH",IF(VALUE(G2245)&lt;2,"LOW", "VALUE IN RANGE")))</f>
        <v>VALUE IN RANGE</v>
      </c>
    </row>
    <row r="2246" spans="3:8" x14ac:dyDescent="0.25">
      <c r="C2246" s="13"/>
      <c r="D2246" s="4" t="s">
        <v>1612</v>
      </c>
      <c r="E2246" s="4" t="s">
        <v>9</v>
      </c>
      <c r="F2246" s="3" t="s">
        <v>797</v>
      </c>
      <c r="G2246" s="3">
        <f t="shared" si="2403"/>
        <v>89.6</v>
      </c>
      <c r="H2246" s="14" t="str">
        <f t="shared" ref="H2246" si="2406">IF(NOT(ISNUMBER(VALUE(G2246))), "NA",IF(VALUE(G2246)&gt;83,"HIGH",IF(VALUE(G2246)&lt;60,"LOW", "VALUE IN RANGE")))</f>
        <v>HIGH</v>
      </c>
    </row>
    <row r="2247" spans="3:8" x14ac:dyDescent="0.25">
      <c r="C2247" s="13"/>
      <c r="D2247" s="4" t="s">
        <v>1612</v>
      </c>
      <c r="E2247" s="1" t="s">
        <v>11</v>
      </c>
      <c r="F2247" s="5" t="s">
        <v>109</v>
      </c>
      <c r="G2247" s="3">
        <f t="shared" si="2403"/>
        <v>0.5</v>
      </c>
      <c r="H2247" s="14" t="str">
        <f t="shared" ref="H2247" si="2407">IF(NOT(ISNUMBER(VALUE(G2247))), "NA",IF(VALUE(G2247)&gt;5.1,"HIGH",IF(VALUE(G2247)&lt;0.8,"LOW", "VALUE IN RANGE")))</f>
        <v>LOW</v>
      </c>
    </row>
    <row r="2248" spans="3:8" x14ac:dyDescent="0.25">
      <c r="C2248" s="13"/>
      <c r="D2248" s="4" t="s">
        <v>1612</v>
      </c>
      <c r="E2248" s="4" t="s">
        <v>13</v>
      </c>
      <c r="F2248" s="3" t="s">
        <v>14</v>
      </c>
      <c r="G2248" s="3">
        <f t="shared" si="2403"/>
        <v>0.3</v>
      </c>
      <c r="H2248" s="14" t="str">
        <f t="shared" ref="H2248" si="2408">IF(NOT(ISNUMBER(VALUE(G2248))), "NA",IF(VALUE(G2248)&gt;1.8,"HIGH",IF(VALUE(G2248)&lt;0,"LOW", "VALUE IN RANGE")))</f>
        <v>VALUE IN RANGE</v>
      </c>
    </row>
    <row r="2249" spans="3:8" x14ac:dyDescent="0.25">
      <c r="C2249" s="13"/>
      <c r="D2249" s="4" t="s">
        <v>1612</v>
      </c>
      <c r="E2249" s="1" t="s">
        <v>15</v>
      </c>
      <c r="F2249" s="5">
        <v>7500</v>
      </c>
      <c r="G2249" s="3">
        <f t="shared" si="2403"/>
        <v>7500</v>
      </c>
      <c r="H2249" s="14" t="str">
        <f t="shared" ref="H2249" si="2409">IF(NOT(ISNUMBER(VALUE(G2249))), "NA",IF(VALUE(G2249)&gt;12.6,"HIGH",IF(VALUE(G2249)&lt;4,"LOW", "VALUE IN RANGE")))</f>
        <v>HIGH</v>
      </c>
    </row>
    <row r="2250" spans="3:8" x14ac:dyDescent="0.25">
      <c r="C2250" s="13"/>
      <c r="D2250" s="4" t="s">
        <v>1612</v>
      </c>
      <c r="E2250" s="4" t="s">
        <v>17</v>
      </c>
      <c r="F2250" s="3" t="s">
        <v>1148</v>
      </c>
      <c r="G2250" s="3">
        <f t="shared" si="2403"/>
        <v>7.33</v>
      </c>
      <c r="H2250" s="14" t="str">
        <f t="shared" ref="H2250" si="2410">IF(NOT(ISNUMBER(VALUE(G2250))), "NA",IF(VALUE(G2250)&gt;8.5,"HIGH",IF(VALUE(G2250)&lt;5.5,"LOW", "VALUE IN RANGE")))</f>
        <v>VALUE IN RANGE</v>
      </c>
    </row>
    <row r="2251" spans="3:8" x14ac:dyDescent="0.25">
      <c r="C2251" s="13"/>
      <c r="D2251" s="4" t="s">
        <v>1612</v>
      </c>
      <c r="E2251" s="1" t="s">
        <v>19</v>
      </c>
      <c r="F2251" s="5">
        <v>163</v>
      </c>
      <c r="G2251" s="3">
        <f t="shared" si="2403"/>
        <v>163</v>
      </c>
      <c r="H2251" s="14" t="str">
        <f t="shared" ref="H2251" si="2411">IF(NOT(ISNUMBER(VALUE(G2251))), "NA",IF(VALUE(G2251)&gt;190,"HIGH",IF(VALUE(G2251)&lt;110,"LOW", "VALUE IN RANGE")))</f>
        <v>VALUE IN RANGE</v>
      </c>
    </row>
    <row r="2252" spans="3:8" x14ac:dyDescent="0.25">
      <c r="C2252" s="13"/>
      <c r="D2252" s="4" t="s">
        <v>1612</v>
      </c>
      <c r="E2252" s="4" t="s">
        <v>21</v>
      </c>
      <c r="F2252" s="3" t="s">
        <v>709</v>
      </c>
      <c r="G2252" s="3">
        <f t="shared" si="2403"/>
        <v>48.3</v>
      </c>
      <c r="H2252" s="14" t="str">
        <f t="shared" ref="H2252" si="2412">IF(NOT(ISNUMBER(VALUE(G2252))), "NA",IF(VALUE(G2252)&gt;56,"HIGH",IF(VALUE(G2252)&lt;39,"LOW", "VALUE IN RANGE")))</f>
        <v>VALUE IN RANGE</v>
      </c>
    </row>
    <row r="2253" spans="3:8" x14ac:dyDescent="0.25">
      <c r="C2253" s="13"/>
      <c r="D2253" s="4" t="s">
        <v>1612</v>
      </c>
      <c r="E2253" s="1" t="s">
        <v>23</v>
      </c>
      <c r="F2253" s="5" t="s">
        <v>1149</v>
      </c>
      <c r="G2253" s="3">
        <f t="shared" si="2403"/>
        <v>66</v>
      </c>
      <c r="H2253" s="14" t="str">
        <f t="shared" ref="H2253" si="2413">IF(NOT(ISNUMBER(VALUE(G2253))), "NA",IF(VALUE(G2253)&gt;72,"HIGH",IF(VALUE(G2253)&lt;62,"LOW", "VALUE IN RANGE")))</f>
        <v>VALUE IN RANGE</v>
      </c>
    </row>
    <row r="2254" spans="3:8" x14ac:dyDescent="0.25">
      <c r="C2254" s="13"/>
      <c r="D2254" s="4" t="s">
        <v>1612</v>
      </c>
      <c r="E2254" s="4" t="s">
        <v>25</v>
      </c>
      <c r="F2254" s="3" t="s">
        <v>450</v>
      </c>
      <c r="G2254" s="3">
        <f t="shared" si="2403"/>
        <v>22.2</v>
      </c>
      <c r="H2254" s="14" t="str">
        <f t="shared" ref="H2254" si="2414">IF(NOT(ISNUMBER(VALUE(G2254))), "NA",IF(VALUE(G2254)&gt;25,"HIGH",IF(VALUE(G2254)&lt;20,"LOW", "VALUE IN RANGE")))</f>
        <v>VALUE IN RANGE</v>
      </c>
    </row>
    <row r="2255" spans="3:8" x14ac:dyDescent="0.25">
      <c r="C2255" s="13"/>
      <c r="D2255" s="4" t="s">
        <v>1612</v>
      </c>
      <c r="E2255" s="1" t="s">
        <v>27</v>
      </c>
      <c r="F2255" s="5">
        <v>337</v>
      </c>
      <c r="G2255" s="3">
        <f t="shared" si="2403"/>
        <v>337</v>
      </c>
      <c r="H2255" s="14" t="str">
        <f t="shared" ref="H2255" si="2415">IF(NOT(ISNUMBER(VALUE(G2255))), "NA",IF(VALUE(G2255)&gt;380,"HIGH",IF(VALUE(G2255)&lt;300,"LOW", "VALUE IN RANGE")))</f>
        <v>VALUE IN RANGE</v>
      </c>
    </row>
    <row r="2256" spans="3:8" x14ac:dyDescent="0.25">
      <c r="C2256" s="13"/>
      <c r="D2256" s="4" t="s">
        <v>1612</v>
      </c>
      <c r="E2256" s="4" t="s">
        <v>29</v>
      </c>
      <c r="F2256" s="3" t="s">
        <v>822</v>
      </c>
      <c r="G2256" s="3">
        <f t="shared" si="2403"/>
        <v>12.8</v>
      </c>
      <c r="H2256" s="14" t="str">
        <f t="shared" ref="H2256" si="2416">IF(NOT(ISNUMBER(VALUE(G2256))), "NA",IF(VALUE(G2256)&gt;15.5,"HIGH",IF(VALUE(G2256)&lt;11,"LOW", "VALUE IN RANGE")))</f>
        <v>VALUE IN RANGE</v>
      </c>
    </row>
    <row r="2257" spans="3:8" x14ac:dyDescent="0.25">
      <c r="C2257" s="13"/>
      <c r="D2257" s="4" t="s">
        <v>1612</v>
      </c>
      <c r="E2257" s="1" t="s">
        <v>31</v>
      </c>
      <c r="F2257" s="5">
        <v>468</v>
      </c>
      <c r="G2257" s="3">
        <f t="shared" si="2403"/>
        <v>468</v>
      </c>
      <c r="H2257" s="14" t="str">
        <f t="shared" ref="H2257" si="2417">IF(NOT(ISNUMBER(VALUE(G2257))), "NA",IF(VALUE(G2257)&gt;460,"HIGH",IF(VALUE(G2257)&lt;117,"LOW", "VALUE IN RANGE")))</f>
        <v>HIGH</v>
      </c>
    </row>
    <row r="2258" spans="3:8" x14ac:dyDescent="0.25">
      <c r="C2258" s="13"/>
      <c r="D2258" s="4" t="s">
        <v>1612</v>
      </c>
      <c r="E2258" s="4" t="s">
        <v>33</v>
      </c>
      <c r="F2258" s="3" t="s">
        <v>315</v>
      </c>
      <c r="G2258" s="3">
        <f t="shared" si="2403"/>
        <v>6.4</v>
      </c>
      <c r="H2258" s="14" t="str">
        <f t="shared" ref="H2258" si="2418">IF(NOT(ISNUMBER(VALUE(G2258))), "NA",IF(VALUE(G2258)&gt;12,"HIGH",IF(VALUE(G2258)&lt;7,"LOW", "VALUE IN RANGE")))</f>
        <v>LOW</v>
      </c>
    </row>
    <row r="2259" spans="3:8" ht="15" customHeight="1" x14ac:dyDescent="0.25">
      <c r="C2259" s="13" t="str">
        <f t="shared" ref="C2259" si="2419">IF(D2259=D2274,D2273,"falso")</f>
        <v>PATIENT_0142</v>
      </c>
      <c r="D2259" s="4" t="s">
        <v>1613</v>
      </c>
      <c r="E2259" s="1" t="s">
        <v>3</v>
      </c>
      <c r="F2259" s="5" t="s">
        <v>203</v>
      </c>
      <c r="G2259" s="3">
        <f t="shared" si="2403"/>
        <v>17.600000000000001</v>
      </c>
      <c r="H2259" s="14" t="str">
        <f t="shared" ref="H2259" si="2420">IF(NOT(ISNUMBER(VALUE(G2259))), "NA",IF(VALUE(G2259)&gt;17,"HIGH",IF(VALUE(G2259)&lt;6,"LOW", "VALUE IN RANGE")))</f>
        <v>HIGH</v>
      </c>
    </row>
    <row r="2260" spans="3:8" x14ac:dyDescent="0.25">
      <c r="C2260" s="13"/>
      <c r="D2260" s="4" t="s">
        <v>1613</v>
      </c>
      <c r="E2260" s="4" t="s">
        <v>5</v>
      </c>
      <c r="F2260" s="3" t="s">
        <v>63</v>
      </c>
      <c r="G2260" s="3">
        <f t="shared" si="2403"/>
        <v>6.8</v>
      </c>
      <c r="H2260" s="14" t="str">
        <f t="shared" ref="H2260" si="2421">IF(NOT(ISNUMBER(VALUE(G2260))), "NA",IF(VALUE(G2260)&gt;30,"HIGH",IF(VALUE(G2260)&lt;12,"LOW", "VALUE IN RANGE")))</f>
        <v>LOW</v>
      </c>
    </row>
    <row r="2261" spans="3:8" x14ac:dyDescent="0.25">
      <c r="C2261" s="13"/>
      <c r="D2261" s="4" t="s">
        <v>1613</v>
      </c>
      <c r="E2261" s="1" t="s">
        <v>7</v>
      </c>
      <c r="F2261" s="5" t="s">
        <v>205</v>
      </c>
      <c r="G2261" s="3">
        <f t="shared" si="2403"/>
        <v>2.7</v>
      </c>
      <c r="H2261" s="14" t="str">
        <f t="shared" ref="H2261" si="2422">IF(NOT(ISNUMBER(VALUE(G2261))), "NA",IF(VALUE(G2261)&gt;9,"HIGH",IF(VALUE(G2261)&lt;2,"LOW", "VALUE IN RANGE")))</f>
        <v>VALUE IN RANGE</v>
      </c>
    </row>
    <row r="2262" spans="3:8" x14ac:dyDescent="0.25">
      <c r="C2262" s="13"/>
      <c r="D2262" s="4" t="s">
        <v>1613</v>
      </c>
      <c r="E2262" s="4" t="s">
        <v>9</v>
      </c>
      <c r="F2262" s="3" t="s">
        <v>221</v>
      </c>
      <c r="G2262" s="3">
        <f t="shared" si="2403"/>
        <v>90.5</v>
      </c>
      <c r="H2262" s="14" t="str">
        <f t="shared" ref="H2262" si="2423">IF(NOT(ISNUMBER(VALUE(G2262))), "NA",IF(VALUE(G2262)&gt;83,"HIGH",IF(VALUE(G2262)&lt;60,"LOW", "VALUE IN RANGE")))</f>
        <v>HIGH</v>
      </c>
    </row>
    <row r="2263" spans="3:8" x14ac:dyDescent="0.25">
      <c r="C2263" s="13"/>
      <c r="D2263" s="4" t="s">
        <v>1613</v>
      </c>
      <c r="E2263" s="1" t="s">
        <v>11</v>
      </c>
      <c r="F2263" s="5">
        <v>1100</v>
      </c>
      <c r="G2263" s="3">
        <f t="shared" si="2403"/>
        <v>1100</v>
      </c>
      <c r="H2263" s="14" t="str">
        <f t="shared" ref="H2263" si="2424">IF(NOT(ISNUMBER(VALUE(G2263))), "NA",IF(VALUE(G2263)&gt;5.1,"HIGH",IF(VALUE(G2263)&lt;0.8,"LOW", "VALUE IN RANGE")))</f>
        <v>HIGH</v>
      </c>
    </row>
    <row r="2264" spans="3:8" x14ac:dyDescent="0.25">
      <c r="C2264" s="13"/>
      <c r="D2264" s="4" t="s">
        <v>1613</v>
      </c>
      <c r="E2264" s="4" t="s">
        <v>13</v>
      </c>
      <c r="F2264" s="3" t="s">
        <v>167</v>
      </c>
      <c r="G2264" s="3">
        <f t="shared" si="2403"/>
        <v>0.4</v>
      </c>
      <c r="H2264" s="14" t="str">
        <f t="shared" ref="H2264" si="2425">IF(NOT(ISNUMBER(VALUE(G2264))), "NA",IF(VALUE(G2264)&gt;1.8,"HIGH",IF(VALUE(G2264)&lt;0,"LOW", "VALUE IN RANGE")))</f>
        <v>VALUE IN RANGE</v>
      </c>
    </row>
    <row r="2265" spans="3:8" x14ac:dyDescent="0.25">
      <c r="C2265" s="13"/>
      <c r="D2265" s="4" t="s">
        <v>1613</v>
      </c>
      <c r="E2265" s="1" t="s">
        <v>15</v>
      </c>
      <c r="F2265" s="5">
        <v>16100</v>
      </c>
      <c r="G2265" s="3">
        <f t="shared" si="2403"/>
        <v>16100</v>
      </c>
      <c r="H2265" s="14" t="str">
        <f t="shared" ref="H2265" si="2426">IF(NOT(ISNUMBER(VALUE(G2265))), "NA",IF(VALUE(G2265)&gt;12.6,"HIGH",IF(VALUE(G2265)&lt;4,"LOW", "VALUE IN RANGE")))</f>
        <v>HIGH</v>
      </c>
    </row>
    <row r="2266" spans="3:8" x14ac:dyDescent="0.25">
      <c r="C2266" s="13"/>
      <c r="D2266" s="4" t="s">
        <v>1613</v>
      </c>
      <c r="E2266" s="4" t="s">
        <v>17</v>
      </c>
      <c r="F2266" s="3" t="s">
        <v>1152</v>
      </c>
      <c r="G2266" s="3">
        <f t="shared" si="2403"/>
        <v>6.24</v>
      </c>
      <c r="H2266" s="14" t="str">
        <f t="shared" ref="H2266" si="2427">IF(NOT(ISNUMBER(VALUE(G2266))), "NA",IF(VALUE(G2266)&gt;8.5,"HIGH",IF(VALUE(G2266)&lt;5.5,"LOW", "VALUE IN RANGE")))</f>
        <v>VALUE IN RANGE</v>
      </c>
    </row>
    <row r="2267" spans="3:8" x14ac:dyDescent="0.25">
      <c r="C2267" s="13"/>
      <c r="D2267" s="4" t="s">
        <v>1613</v>
      </c>
      <c r="E2267" s="1" t="s">
        <v>19</v>
      </c>
      <c r="F2267" s="5">
        <v>139</v>
      </c>
      <c r="G2267" s="3">
        <f t="shared" si="2403"/>
        <v>139</v>
      </c>
      <c r="H2267" s="14" t="str">
        <f t="shared" ref="H2267" si="2428">IF(NOT(ISNUMBER(VALUE(G2267))), "NA",IF(VALUE(G2267)&gt;190,"HIGH",IF(VALUE(G2267)&lt;110,"LOW", "VALUE IN RANGE")))</f>
        <v>VALUE IN RANGE</v>
      </c>
    </row>
    <row r="2268" spans="3:8" x14ac:dyDescent="0.25">
      <c r="C2268" s="13"/>
      <c r="D2268" s="4" t="s">
        <v>1613</v>
      </c>
      <c r="E2268" s="4" t="s">
        <v>21</v>
      </c>
      <c r="F2268" s="3" t="s">
        <v>1153</v>
      </c>
      <c r="G2268" s="3">
        <f t="shared" si="2403"/>
        <v>43.5</v>
      </c>
      <c r="H2268" s="14" t="str">
        <f t="shared" ref="H2268" si="2429">IF(NOT(ISNUMBER(VALUE(G2268))), "NA",IF(VALUE(G2268)&gt;56,"HIGH",IF(VALUE(G2268)&lt;39,"LOW", "VALUE IN RANGE")))</f>
        <v>VALUE IN RANGE</v>
      </c>
    </row>
    <row r="2269" spans="3:8" x14ac:dyDescent="0.25">
      <c r="C2269" s="13"/>
      <c r="D2269" s="4" t="s">
        <v>1613</v>
      </c>
      <c r="E2269" s="1" t="s">
        <v>23</v>
      </c>
      <c r="F2269" s="5" t="s">
        <v>1154</v>
      </c>
      <c r="G2269" s="3">
        <f t="shared" si="2403"/>
        <v>69.8</v>
      </c>
      <c r="H2269" s="14" t="str">
        <f t="shared" ref="H2269" si="2430">IF(NOT(ISNUMBER(VALUE(G2269))), "NA",IF(VALUE(G2269)&gt;72,"HIGH",IF(VALUE(G2269)&lt;62,"LOW", "VALUE IN RANGE")))</f>
        <v>VALUE IN RANGE</v>
      </c>
    </row>
    <row r="2270" spans="3:8" x14ac:dyDescent="0.25">
      <c r="C2270" s="13"/>
      <c r="D2270" s="4" t="s">
        <v>1613</v>
      </c>
      <c r="E2270" s="4" t="s">
        <v>25</v>
      </c>
      <c r="F2270" s="3" t="s">
        <v>450</v>
      </c>
      <c r="G2270" s="3">
        <f t="shared" si="2403"/>
        <v>22.2</v>
      </c>
      <c r="H2270" s="14" t="str">
        <f t="shared" ref="H2270" si="2431">IF(NOT(ISNUMBER(VALUE(G2270))), "NA",IF(VALUE(G2270)&gt;25,"HIGH",IF(VALUE(G2270)&lt;20,"LOW", "VALUE IN RANGE")))</f>
        <v>VALUE IN RANGE</v>
      </c>
    </row>
    <row r="2271" spans="3:8" x14ac:dyDescent="0.25">
      <c r="C2271" s="13"/>
      <c r="D2271" s="4" t="s">
        <v>1613</v>
      </c>
      <c r="E2271" s="1" t="s">
        <v>27</v>
      </c>
      <c r="F2271" s="5">
        <v>319</v>
      </c>
      <c r="G2271" s="3">
        <f t="shared" si="2403"/>
        <v>319</v>
      </c>
      <c r="H2271" s="14" t="str">
        <f t="shared" ref="H2271" si="2432">IF(NOT(ISNUMBER(VALUE(G2271))), "NA",IF(VALUE(G2271)&gt;380,"HIGH",IF(VALUE(G2271)&lt;300,"LOW", "VALUE IN RANGE")))</f>
        <v>VALUE IN RANGE</v>
      </c>
    </row>
    <row r="2272" spans="3:8" x14ac:dyDescent="0.25">
      <c r="C2272" s="13"/>
      <c r="D2272" s="4" t="s">
        <v>1613</v>
      </c>
      <c r="E2272" s="4" t="s">
        <v>29</v>
      </c>
      <c r="F2272" s="3" t="s">
        <v>414</v>
      </c>
      <c r="G2272" s="3">
        <f t="shared" si="2403"/>
        <v>12.1</v>
      </c>
      <c r="H2272" s="14" t="str">
        <f t="shared" ref="H2272" si="2433">IF(NOT(ISNUMBER(VALUE(G2272))), "NA",IF(VALUE(G2272)&gt;15.5,"HIGH",IF(VALUE(G2272)&lt;11,"LOW", "VALUE IN RANGE")))</f>
        <v>VALUE IN RANGE</v>
      </c>
    </row>
    <row r="2273" spans="3:8" x14ac:dyDescent="0.25">
      <c r="C2273" s="13"/>
      <c r="D2273" s="4" t="s">
        <v>1613</v>
      </c>
      <c r="E2273" s="1" t="s">
        <v>31</v>
      </c>
      <c r="F2273" s="5">
        <v>168</v>
      </c>
      <c r="G2273" s="3">
        <f t="shared" si="2403"/>
        <v>168</v>
      </c>
      <c r="H2273" s="14" t="str">
        <f t="shared" ref="H2273" si="2434">IF(NOT(ISNUMBER(VALUE(G2273))), "NA",IF(VALUE(G2273)&gt;460,"HIGH",IF(VALUE(G2273)&lt;117,"LOW", "VALUE IN RANGE")))</f>
        <v>VALUE IN RANGE</v>
      </c>
    </row>
    <row r="2274" spans="3:8" x14ac:dyDescent="0.25">
      <c r="C2274" s="13"/>
      <c r="D2274" s="4" t="s">
        <v>1613</v>
      </c>
      <c r="E2274" s="4" t="s">
        <v>33</v>
      </c>
      <c r="F2274" s="3" t="s">
        <v>119</v>
      </c>
      <c r="G2274" s="3">
        <f t="shared" si="2403"/>
        <v>8.6999999999999993</v>
      </c>
      <c r="H2274" s="14" t="str">
        <f t="shared" ref="H2274" si="2435">IF(NOT(ISNUMBER(VALUE(G2274))), "NA",IF(VALUE(G2274)&gt;12,"HIGH",IF(VALUE(G2274)&lt;7,"LOW", "VALUE IN RANGE")))</f>
        <v>VALUE IN RANGE</v>
      </c>
    </row>
    <row r="2275" spans="3:8" ht="15" customHeight="1" x14ac:dyDescent="0.25">
      <c r="C2275" s="13" t="str">
        <f t="shared" ref="C2275" si="2436">IF(D2275=D2290,D2289,"falso")</f>
        <v>PATIENT_0143</v>
      </c>
      <c r="D2275" s="4" t="s">
        <v>1614</v>
      </c>
      <c r="E2275" s="1" t="s">
        <v>134</v>
      </c>
      <c r="F2275" s="5" t="s">
        <v>280</v>
      </c>
      <c r="G2275" s="3">
        <f t="shared" si="2403"/>
        <v>8.8000000000000007</v>
      </c>
      <c r="H2275" s="14" t="str">
        <f t="shared" ref="H2275" si="2437">IF(NOT(ISNUMBER(VALUE(G2275))), "NA",IF(VALUE(G2275)&gt;17,"HIGH",IF(VALUE(G2275)&lt;6,"LOW", "VALUE IN RANGE")))</f>
        <v>VALUE IN RANGE</v>
      </c>
    </row>
    <row r="2276" spans="3:8" x14ac:dyDescent="0.25">
      <c r="C2276" s="13"/>
      <c r="D2276" s="4" t="s">
        <v>1614</v>
      </c>
      <c r="E2276" s="4" t="s">
        <v>136</v>
      </c>
      <c r="F2276" s="3" t="s">
        <v>508</v>
      </c>
      <c r="G2276" s="3">
        <f t="shared" si="2403"/>
        <v>15.2</v>
      </c>
      <c r="H2276" s="14" t="str">
        <f t="shared" ref="H2276" si="2438">IF(NOT(ISNUMBER(VALUE(G2276))), "NA",IF(VALUE(G2276)&gt;30,"HIGH",IF(VALUE(G2276)&lt;12,"LOW", "VALUE IN RANGE")))</f>
        <v>VALUE IN RANGE</v>
      </c>
    </row>
    <row r="2277" spans="3:8" x14ac:dyDescent="0.25">
      <c r="C2277" s="13"/>
      <c r="D2277" s="4" t="s">
        <v>1614</v>
      </c>
      <c r="E2277" s="1" t="s">
        <v>7</v>
      </c>
      <c r="F2277" s="5" t="s">
        <v>576</v>
      </c>
      <c r="G2277" s="3">
        <f t="shared" si="2403"/>
        <v>6.6</v>
      </c>
      <c r="H2277" s="14" t="str">
        <f t="shared" ref="H2277" si="2439">IF(NOT(ISNUMBER(VALUE(G2277))), "NA",IF(VALUE(G2277)&gt;9,"HIGH",IF(VALUE(G2277)&lt;2,"LOW", "VALUE IN RANGE")))</f>
        <v>VALUE IN RANGE</v>
      </c>
    </row>
    <row r="2278" spans="3:8" x14ac:dyDescent="0.25">
      <c r="C2278" s="13"/>
      <c r="D2278" s="4" t="s">
        <v>1614</v>
      </c>
      <c r="E2278" s="4" t="s">
        <v>139</v>
      </c>
      <c r="F2278" s="3" t="s">
        <v>1156</v>
      </c>
      <c r="G2278" s="3">
        <f t="shared" si="2403"/>
        <v>78.2</v>
      </c>
      <c r="H2278" s="14" t="str">
        <f t="shared" ref="H2278" si="2440">IF(NOT(ISNUMBER(VALUE(G2278))), "NA",IF(VALUE(G2278)&gt;83,"HIGH",IF(VALUE(G2278)&lt;60,"LOW", "VALUE IN RANGE")))</f>
        <v>VALUE IN RANGE</v>
      </c>
    </row>
    <row r="2279" spans="3:8" x14ac:dyDescent="0.25">
      <c r="C2279" s="13"/>
      <c r="D2279" s="4" t="s">
        <v>1614</v>
      </c>
      <c r="E2279" s="1" t="s">
        <v>141</v>
      </c>
      <c r="F2279" s="5">
        <v>1300</v>
      </c>
      <c r="G2279" s="3">
        <f t="shared" si="2403"/>
        <v>1300</v>
      </c>
      <c r="H2279" s="14" t="str">
        <f t="shared" ref="H2279" si="2441">IF(NOT(ISNUMBER(VALUE(G2279))), "NA",IF(VALUE(G2279)&gt;5.1,"HIGH",IF(VALUE(G2279)&lt;0.8,"LOW", "VALUE IN RANGE")))</f>
        <v>HIGH</v>
      </c>
    </row>
    <row r="2280" spans="3:8" x14ac:dyDescent="0.25">
      <c r="C2280" s="13"/>
      <c r="D2280" s="4" t="s">
        <v>1614</v>
      </c>
      <c r="E2280" s="4" t="s">
        <v>143</v>
      </c>
      <c r="F2280" s="3" t="s">
        <v>109</v>
      </c>
      <c r="G2280" s="3">
        <f t="shared" si="2403"/>
        <v>0.5</v>
      </c>
      <c r="H2280" s="14" t="str">
        <f t="shared" ref="H2280" si="2442">IF(NOT(ISNUMBER(VALUE(G2280))), "NA",IF(VALUE(G2280)&gt;1.8,"HIGH",IF(VALUE(G2280)&lt;0,"LOW", "VALUE IN RANGE")))</f>
        <v>VALUE IN RANGE</v>
      </c>
    </row>
    <row r="2281" spans="3:8" x14ac:dyDescent="0.25">
      <c r="C2281" s="13"/>
      <c r="D2281" s="4" t="s">
        <v>1614</v>
      </c>
      <c r="E2281" s="1" t="s">
        <v>144</v>
      </c>
      <c r="F2281" s="5">
        <v>7000</v>
      </c>
      <c r="G2281" s="3">
        <f t="shared" si="2403"/>
        <v>7000</v>
      </c>
      <c r="H2281" s="14" t="str">
        <f t="shared" ref="H2281" si="2443">IF(NOT(ISNUMBER(VALUE(G2281))), "NA",IF(VALUE(G2281)&gt;12.6,"HIGH",IF(VALUE(G2281)&lt;4,"LOW", "VALUE IN RANGE")))</f>
        <v>HIGH</v>
      </c>
    </row>
    <row r="2282" spans="3:8" x14ac:dyDescent="0.25">
      <c r="C2282" s="13"/>
      <c r="D2282" s="4" t="s">
        <v>1614</v>
      </c>
      <c r="E2282" s="4" t="s">
        <v>146</v>
      </c>
      <c r="F2282" s="3" t="s">
        <v>545</v>
      </c>
      <c r="G2282" s="3">
        <f t="shared" si="2403"/>
        <v>9.1999999999999993</v>
      </c>
      <c r="H2282" s="14" t="str">
        <f t="shared" ref="H2282" si="2444">IF(NOT(ISNUMBER(VALUE(G2282))), "NA",IF(VALUE(G2282)&gt;8.5,"HIGH",IF(VALUE(G2282)&lt;5.5,"LOW", "VALUE IN RANGE")))</f>
        <v>HIGH</v>
      </c>
    </row>
    <row r="2283" spans="3:8" x14ac:dyDescent="0.25">
      <c r="C2283" s="13"/>
      <c r="D2283" s="4" t="s">
        <v>1614</v>
      </c>
      <c r="E2283" s="1" t="s">
        <v>148</v>
      </c>
      <c r="F2283" s="5">
        <v>121</v>
      </c>
      <c r="G2283" s="3">
        <f t="shared" si="2403"/>
        <v>121</v>
      </c>
      <c r="H2283" s="14" t="str">
        <f t="shared" ref="H2283" si="2445">IF(NOT(ISNUMBER(VALUE(G2283))), "NA",IF(VALUE(G2283)&gt;190,"HIGH",IF(VALUE(G2283)&lt;110,"LOW", "VALUE IN RANGE")))</f>
        <v>VALUE IN RANGE</v>
      </c>
    </row>
    <row r="2284" spans="3:8" x14ac:dyDescent="0.25">
      <c r="C2284" s="13"/>
      <c r="D2284" s="4" t="s">
        <v>1614</v>
      </c>
      <c r="E2284" s="4" t="s">
        <v>150</v>
      </c>
      <c r="F2284" s="3" t="s">
        <v>1158</v>
      </c>
      <c r="G2284" s="3">
        <f t="shared" si="2403"/>
        <v>44</v>
      </c>
      <c r="H2284" s="14" t="str">
        <f t="shared" ref="H2284" si="2446">IF(NOT(ISNUMBER(VALUE(G2284))), "NA",IF(VALUE(G2284)&gt;56,"HIGH",IF(VALUE(G2284)&lt;39,"LOW", "VALUE IN RANGE")))</f>
        <v>VALUE IN RANGE</v>
      </c>
    </row>
    <row r="2285" spans="3:8" x14ac:dyDescent="0.25">
      <c r="C2285" s="13"/>
      <c r="D2285" s="4" t="s">
        <v>1614</v>
      </c>
      <c r="E2285" s="1" t="s">
        <v>152</v>
      </c>
      <c r="F2285" s="5" t="s">
        <v>833</v>
      </c>
      <c r="G2285" s="3">
        <f t="shared" si="2403"/>
        <v>47.9</v>
      </c>
      <c r="H2285" s="14" t="str">
        <f t="shared" ref="H2285" si="2447">IF(NOT(ISNUMBER(VALUE(G2285))), "NA",IF(VALUE(G2285)&gt;72,"HIGH",IF(VALUE(G2285)&lt;62,"LOW", "VALUE IN RANGE")))</f>
        <v>LOW</v>
      </c>
    </row>
    <row r="2286" spans="3:8" x14ac:dyDescent="0.25">
      <c r="C2286" s="13"/>
      <c r="D2286" s="4" t="s">
        <v>1614</v>
      </c>
      <c r="E2286" s="4" t="s">
        <v>154</v>
      </c>
      <c r="F2286" s="3" t="s">
        <v>471</v>
      </c>
      <c r="G2286" s="3">
        <f t="shared" si="2403"/>
        <v>13.1</v>
      </c>
      <c r="H2286" s="14" t="str">
        <f t="shared" ref="H2286" si="2448">IF(NOT(ISNUMBER(VALUE(G2286))), "NA",IF(VALUE(G2286)&gt;25,"HIGH",IF(VALUE(G2286)&lt;20,"LOW", "VALUE IN RANGE")))</f>
        <v>LOW</v>
      </c>
    </row>
    <row r="2287" spans="3:8" x14ac:dyDescent="0.25">
      <c r="C2287" s="13"/>
      <c r="D2287" s="4" t="s">
        <v>1614</v>
      </c>
      <c r="E2287" s="1" t="s">
        <v>27</v>
      </c>
      <c r="F2287" s="5">
        <v>275</v>
      </c>
      <c r="G2287" s="3">
        <f t="shared" si="2403"/>
        <v>275</v>
      </c>
      <c r="H2287" s="14" t="str">
        <f t="shared" ref="H2287" si="2449">IF(NOT(ISNUMBER(VALUE(G2287))), "NA",IF(VALUE(G2287)&gt;380,"HIGH",IF(VALUE(G2287)&lt;300,"LOW", "VALUE IN RANGE")))</f>
        <v>LOW</v>
      </c>
    </row>
    <row r="2288" spans="3:8" x14ac:dyDescent="0.25">
      <c r="C2288" s="13"/>
      <c r="D2288" s="4" t="s">
        <v>1614</v>
      </c>
      <c r="E2288" s="4" t="s">
        <v>157</v>
      </c>
      <c r="F2288" s="3" t="s">
        <v>585</v>
      </c>
      <c r="G2288" s="3">
        <f t="shared" si="2403"/>
        <v>16.5</v>
      </c>
      <c r="H2288" s="14" t="str">
        <f t="shared" ref="H2288" si="2450">IF(NOT(ISNUMBER(VALUE(G2288))), "NA",IF(VALUE(G2288)&gt;15.5,"HIGH",IF(VALUE(G2288)&lt;11,"LOW", "VALUE IN RANGE")))</f>
        <v>HIGH</v>
      </c>
    </row>
    <row r="2289" spans="3:8" x14ac:dyDescent="0.25">
      <c r="C2289" s="13"/>
      <c r="D2289" s="4" t="s">
        <v>1614</v>
      </c>
      <c r="E2289" s="1" t="s">
        <v>159</v>
      </c>
      <c r="F2289" s="5">
        <v>316</v>
      </c>
      <c r="G2289" s="3">
        <f t="shared" si="2403"/>
        <v>316</v>
      </c>
      <c r="H2289" s="14" t="str">
        <f t="shared" ref="H2289" si="2451">IF(NOT(ISNUMBER(VALUE(G2289))), "NA",IF(VALUE(G2289)&gt;460,"HIGH",IF(VALUE(G2289)&lt;117,"LOW", "VALUE IN RANGE")))</f>
        <v>VALUE IN RANGE</v>
      </c>
    </row>
    <row r="2290" spans="3:8" x14ac:dyDescent="0.25">
      <c r="C2290" s="13"/>
      <c r="D2290" s="4" t="s">
        <v>1614</v>
      </c>
      <c r="E2290" s="4" t="s">
        <v>161</v>
      </c>
      <c r="F2290" s="3" t="s">
        <v>699</v>
      </c>
      <c r="G2290" s="3">
        <f t="shared" si="2403"/>
        <v>11.1</v>
      </c>
      <c r="H2290" s="14" t="str">
        <f t="shared" ref="H2290" si="2452">IF(NOT(ISNUMBER(VALUE(G2290))), "NA",IF(VALUE(G2290)&gt;12,"HIGH",IF(VALUE(G2290)&lt;7,"LOW", "VALUE IN RANGE")))</f>
        <v>VALUE IN RANGE</v>
      </c>
    </row>
    <row r="2291" spans="3:8" ht="15" customHeight="1" x14ac:dyDescent="0.25">
      <c r="C2291" s="13" t="str">
        <f t="shared" ref="C2291" si="2453">IF(D2291=D2306,D2305,"falso")</f>
        <v>PATIENT_0144</v>
      </c>
      <c r="D2291" s="4" t="s">
        <v>1615</v>
      </c>
      <c r="E2291" s="1" t="s">
        <v>3</v>
      </c>
      <c r="F2291" s="5" t="s">
        <v>903</v>
      </c>
      <c r="G2291" s="3">
        <f t="shared" si="2403"/>
        <v>4.7</v>
      </c>
      <c r="H2291" s="14" t="str">
        <f t="shared" ref="H2291" si="2454">IF(NOT(ISNUMBER(VALUE(G2291))), "NA",IF(VALUE(G2291)&gt;17,"HIGH",IF(VALUE(G2291)&lt;6,"LOW", "VALUE IN RANGE")))</f>
        <v>LOW</v>
      </c>
    </row>
    <row r="2292" spans="3:8" x14ac:dyDescent="0.25">
      <c r="C2292" s="13"/>
      <c r="D2292" s="4" t="s">
        <v>1615</v>
      </c>
      <c r="E2292" s="4" t="s">
        <v>5</v>
      </c>
      <c r="F2292" s="3" t="s">
        <v>1159</v>
      </c>
      <c r="G2292" s="3">
        <f t="shared" si="2403"/>
        <v>19.2</v>
      </c>
      <c r="H2292" s="14" t="str">
        <f t="shared" ref="H2292" si="2455">IF(NOT(ISNUMBER(VALUE(G2292))), "NA",IF(VALUE(G2292)&gt;30,"HIGH",IF(VALUE(G2292)&lt;12,"LOW", "VALUE IN RANGE")))</f>
        <v>VALUE IN RANGE</v>
      </c>
    </row>
    <row r="2293" spans="3:8" x14ac:dyDescent="0.25">
      <c r="C2293" s="13"/>
      <c r="D2293" s="4" t="s">
        <v>1615</v>
      </c>
      <c r="E2293" s="1" t="s">
        <v>7</v>
      </c>
      <c r="F2293" s="5" t="s">
        <v>135</v>
      </c>
      <c r="G2293" s="3">
        <f t="shared" si="2403"/>
        <v>3.8</v>
      </c>
      <c r="H2293" s="14" t="str">
        <f t="shared" ref="H2293" si="2456">IF(NOT(ISNUMBER(VALUE(G2293))), "NA",IF(VALUE(G2293)&gt;9,"HIGH",IF(VALUE(G2293)&lt;2,"LOW", "VALUE IN RANGE")))</f>
        <v>VALUE IN RANGE</v>
      </c>
    </row>
    <row r="2294" spans="3:8" x14ac:dyDescent="0.25">
      <c r="C2294" s="13"/>
      <c r="D2294" s="4" t="s">
        <v>1615</v>
      </c>
      <c r="E2294" s="4" t="s">
        <v>9</v>
      </c>
      <c r="F2294" s="3" t="s">
        <v>1160</v>
      </c>
      <c r="G2294" s="3">
        <f t="shared" si="2403"/>
        <v>77</v>
      </c>
      <c r="H2294" s="14" t="str">
        <f t="shared" ref="H2294" si="2457">IF(NOT(ISNUMBER(VALUE(G2294))), "NA",IF(VALUE(G2294)&gt;83,"HIGH",IF(VALUE(G2294)&lt;60,"LOW", "VALUE IN RANGE")))</f>
        <v>VALUE IN RANGE</v>
      </c>
    </row>
    <row r="2295" spans="3:8" x14ac:dyDescent="0.25">
      <c r="C2295" s="13"/>
      <c r="D2295" s="4" t="s">
        <v>1615</v>
      </c>
      <c r="E2295" s="1" t="s">
        <v>11</v>
      </c>
      <c r="F2295" s="5" t="s">
        <v>41</v>
      </c>
      <c r="G2295" s="3">
        <f t="shared" si="2403"/>
        <v>0.9</v>
      </c>
      <c r="H2295" s="14" t="str">
        <f t="shared" ref="H2295" si="2458">IF(NOT(ISNUMBER(VALUE(G2295))), "NA",IF(VALUE(G2295)&gt;5.1,"HIGH",IF(VALUE(G2295)&lt;0.8,"LOW", "VALUE IN RANGE")))</f>
        <v>VALUE IN RANGE</v>
      </c>
    </row>
    <row r="2296" spans="3:8" x14ac:dyDescent="0.25">
      <c r="C2296" s="13"/>
      <c r="D2296" s="4" t="s">
        <v>1615</v>
      </c>
      <c r="E2296" s="4" t="s">
        <v>13</v>
      </c>
      <c r="F2296" s="3" t="s">
        <v>40</v>
      </c>
      <c r="G2296" s="3">
        <f t="shared" si="2403"/>
        <v>0.1</v>
      </c>
      <c r="H2296" s="14" t="str">
        <f t="shared" ref="H2296" si="2459">IF(NOT(ISNUMBER(VALUE(G2296))), "NA",IF(VALUE(G2296)&gt;1.8,"HIGH",IF(VALUE(G2296)&lt;0,"LOW", "VALUE IN RANGE")))</f>
        <v>VALUE IN RANGE</v>
      </c>
    </row>
    <row r="2297" spans="3:8" x14ac:dyDescent="0.25">
      <c r="C2297" s="13"/>
      <c r="D2297" s="4" t="s">
        <v>1615</v>
      </c>
      <c r="E2297" s="1" t="s">
        <v>15</v>
      </c>
      <c r="F2297" s="5">
        <v>3700</v>
      </c>
      <c r="G2297" s="3">
        <f t="shared" si="2403"/>
        <v>3700</v>
      </c>
      <c r="H2297" s="14" t="str">
        <f t="shared" ref="H2297" si="2460">IF(NOT(ISNUMBER(VALUE(G2297))), "NA",IF(VALUE(G2297)&gt;12.6,"HIGH",IF(VALUE(G2297)&lt;4,"LOW", "VALUE IN RANGE")))</f>
        <v>HIGH</v>
      </c>
    </row>
    <row r="2298" spans="3:8" x14ac:dyDescent="0.25">
      <c r="C2298" s="13"/>
      <c r="D2298" s="4" t="s">
        <v>1615</v>
      </c>
      <c r="E2298" s="4" t="s">
        <v>17</v>
      </c>
      <c r="F2298" s="3" t="s">
        <v>1161</v>
      </c>
      <c r="G2298" s="3">
        <f t="shared" si="2403"/>
        <v>7.87</v>
      </c>
      <c r="H2298" s="14" t="str">
        <f t="shared" ref="H2298" si="2461">IF(NOT(ISNUMBER(VALUE(G2298))), "NA",IF(VALUE(G2298)&gt;8.5,"HIGH",IF(VALUE(G2298)&lt;5.5,"LOW", "VALUE IN RANGE")))</f>
        <v>VALUE IN RANGE</v>
      </c>
    </row>
    <row r="2299" spans="3:8" x14ac:dyDescent="0.25">
      <c r="C2299" s="13"/>
      <c r="D2299" s="4" t="s">
        <v>1615</v>
      </c>
      <c r="E2299" s="1" t="s">
        <v>19</v>
      </c>
      <c r="F2299" s="5">
        <v>182</v>
      </c>
      <c r="G2299" s="3">
        <f t="shared" si="2403"/>
        <v>182</v>
      </c>
      <c r="H2299" s="14" t="str">
        <f t="shared" ref="H2299" si="2462">IF(NOT(ISNUMBER(VALUE(G2299))), "NA",IF(VALUE(G2299)&gt;190,"HIGH",IF(VALUE(G2299)&lt;110,"LOW", "VALUE IN RANGE")))</f>
        <v>VALUE IN RANGE</v>
      </c>
    </row>
    <row r="2300" spans="3:8" x14ac:dyDescent="0.25">
      <c r="C2300" s="13"/>
      <c r="D2300" s="4" t="s">
        <v>1615</v>
      </c>
      <c r="E2300" s="4" t="s">
        <v>21</v>
      </c>
      <c r="F2300" s="3" t="s">
        <v>661</v>
      </c>
      <c r="G2300" s="3">
        <f t="shared" si="2403"/>
        <v>52.8</v>
      </c>
      <c r="H2300" s="14" t="str">
        <f t="shared" ref="H2300" si="2463">IF(NOT(ISNUMBER(VALUE(G2300))), "NA",IF(VALUE(G2300)&gt;56,"HIGH",IF(VALUE(G2300)&lt;39,"LOW", "VALUE IN RANGE")))</f>
        <v>VALUE IN RANGE</v>
      </c>
    </row>
    <row r="2301" spans="3:8" x14ac:dyDescent="0.25">
      <c r="C2301" s="13"/>
      <c r="D2301" s="4" t="s">
        <v>1615</v>
      </c>
      <c r="E2301" s="1" t="s">
        <v>23</v>
      </c>
      <c r="F2301" s="5" t="s">
        <v>1162</v>
      </c>
      <c r="G2301" s="3">
        <f t="shared" si="2403"/>
        <v>67.099999999999994</v>
      </c>
      <c r="H2301" s="14" t="str">
        <f t="shared" ref="H2301" si="2464">IF(NOT(ISNUMBER(VALUE(G2301))), "NA",IF(VALUE(G2301)&gt;72,"HIGH",IF(VALUE(G2301)&lt;62,"LOW", "VALUE IN RANGE")))</f>
        <v>VALUE IN RANGE</v>
      </c>
    </row>
    <row r="2302" spans="3:8" x14ac:dyDescent="0.25">
      <c r="C2302" s="13"/>
      <c r="D2302" s="4" t="s">
        <v>1615</v>
      </c>
      <c r="E2302" s="4" t="s">
        <v>25</v>
      </c>
      <c r="F2302" s="3" t="s">
        <v>115</v>
      </c>
      <c r="G2302" s="3">
        <f t="shared" si="2403"/>
        <v>23.1</v>
      </c>
      <c r="H2302" s="14" t="str">
        <f t="shared" ref="H2302" si="2465">IF(NOT(ISNUMBER(VALUE(G2302))), "NA",IF(VALUE(G2302)&gt;25,"HIGH",IF(VALUE(G2302)&lt;20,"LOW", "VALUE IN RANGE")))</f>
        <v>VALUE IN RANGE</v>
      </c>
    </row>
    <row r="2303" spans="3:8" x14ac:dyDescent="0.25">
      <c r="C2303" s="13"/>
      <c r="D2303" s="4" t="s">
        <v>1615</v>
      </c>
      <c r="E2303" s="1" t="s">
        <v>27</v>
      </c>
      <c r="F2303" s="5">
        <v>344</v>
      </c>
      <c r="G2303" s="3">
        <f t="shared" si="2403"/>
        <v>344</v>
      </c>
      <c r="H2303" s="14" t="str">
        <f t="shared" ref="H2303" si="2466">IF(NOT(ISNUMBER(VALUE(G2303))), "NA",IF(VALUE(G2303)&gt;380,"HIGH",IF(VALUE(G2303)&lt;300,"LOW", "VALUE IN RANGE")))</f>
        <v>VALUE IN RANGE</v>
      </c>
    </row>
    <row r="2304" spans="3:8" x14ac:dyDescent="0.25">
      <c r="C2304" s="13"/>
      <c r="D2304" s="4" t="s">
        <v>1615</v>
      </c>
      <c r="E2304" s="4" t="s">
        <v>29</v>
      </c>
      <c r="F2304" s="3" t="s">
        <v>200</v>
      </c>
      <c r="G2304" s="3">
        <f t="shared" si="2403"/>
        <v>15</v>
      </c>
      <c r="H2304" s="14" t="str">
        <f t="shared" ref="H2304" si="2467">IF(NOT(ISNUMBER(VALUE(G2304))), "NA",IF(VALUE(G2304)&gt;15.5,"HIGH",IF(VALUE(G2304)&lt;11,"LOW", "VALUE IN RANGE")))</f>
        <v>VALUE IN RANGE</v>
      </c>
    </row>
    <row r="2305" spans="3:8" x14ac:dyDescent="0.25">
      <c r="C2305" s="13"/>
      <c r="D2305" s="4" t="s">
        <v>1615</v>
      </c>
      <c r="E2305" s="1" t="s">
        <v>31</v>
      </c>
      <c r="F2305" s="5">
        <v>154</v>
      </c>
      <c r="G2305" s="3">
        <f t="shared" si="2403"/>
        <v>154</v>
      </c>
      <c r="H2305" s="14" t="str">
        <f t="shared" ref="H2305" si="2468">IF(NOT(ISNUMBER(VALUE(G2305))), "NA",IF(VALUE(G2305)&gt;460,"HIGH",IF(VALUE(G2305)&lt;117,"LOW", "VALUE IN RANGE")))</f>
        <v>VALUE IN RANGE</v>
      </c>
    </row>
    <row r="2306" spans="3:8" x14ac:dyDescent="0.25">
      <c r="C2306" s="13"/>
      <c r="D2306" s="4" t="s">
        <v>1615</v>
      </c>
      <c r="E2306" s="4" t="s">
        <v>33</v>
      </c>
      <c r="F2306" s="3" t="s">
        <v>255</v>
      </c>
      <c r="G2306" s="3">
        <f t="shared" si="2403"/>
        <v>10.3</v>
      </c>
      <c r="H2306" s="14" t="str">
        <f t="shared" ref="H2306" si="2469">IF(NOT(ISNUMBER(VALUE(G2306))), "NA",IF(VALUE(G2306)&gt;12,"HIGH",IF(VALUE(G2306)&lt;7,"LOW", "VALUE IN RANGE")))</f>
        <v>VALUE IN RANGE</v>
      </c>
    </row>
    <row r="2307" spans="3:8" ht="15" customHeight="1" x14ac:dyDescent="0.25">
      <c r="C2307" s="13" t="str">
        <f t="shared" ref="C2307" si="2470">IF(D2307=D2322,D2321,"falso")</f>
        <v>PATIENT_0145</v>
      </c>
      <c r="D2307" s="4" t="s">
        <v>1616</v>
      </c>
      <c r="E2307" s="1" t="s">
        <v>3</v>
      </c>
      <c r="F2307" s="5" t="s">
        <v>903</v>
      </c>
      <c r="G2307" s="3">
        <f t="shared" si="2403"/>
        <v>4.7</v>
      </c>
      <c r="H2307" s="14" t="str">
        <f t="shared" ref="H2307" si="2471">IF(NOT(ISNUMBER(VALUE(G2307))), "NA",IF(VALUE(G2307)&gt;17,"HIGH",IF(VALUE(G2307)&lt;6,"LOW", "VALUE IN RANGE")))</f>
        <v>LOW</v>
      </c>
    </row>
    <row r="2308" spans="3:8" x14ac:dyDescent="0.25">
      <c r="C2308" s="13"/>
      <c r="D2308" s="4" t="s">
        <v>1616</v>
      </c>
      <c r="E2308" s="4" t="s">
        <v>5</v>
      </c>
      <c r="F2308" s="3" t="s">
        <v>1164</v>
      </c>
      <c r="G2308" s="3">
        <f t="shared" ref="G2308:G2371" si="2472">IFERROR(
   VALUE(
      SUBSTITUTE(
         CLEAN(
            TRIM(F2308)
         ),
         ".",
         ","
      )
   ),
   ""
)</f>
        <v>18.3</v>
      </c>
      <c r="H2308" s="14" t="str">
        <f t="shared" ref="H2308" si="2473">IF(NOT(ISNUMBER(VALUE(G2308))), "NA",IF(VALUE(G2308)&gt;30,"HIGH",IF(VALUE(G2308)&lt;12,"LOW", "VALUE IN RANGE")))</f>
        <v>VALUE IN RANGE</v>
      </c>
    </row>
    <row r="2309" spans="3:8" x14ac:dyDescent="0.25">
      <c r="C2309" s="13"/>
      <c r="D2309" s="4" t="s">
        <v>1616</v>
      </c>
      <c r="E2309" s="1" t="s">
        <v>7</v>
      </c>
      <c r="F2309" s="5" t="s">
        <v>165</v>
      </c>
      <c r="G2309" s="3">
        <f t="shared" si="2472"/>
        <v>4.5999999999999996</v>
      </c>
      <c r="H2309" s="14" t="str">
        <f t="shared" ref="H2309" si="2474">IF(NOT(ISNUMBER(VALUE(G2309))), "NA",IF(VALUE(G2309)&gt;9,"HIGH",IF(VALUE(G2309)&lt;2,"LOW", "VALUE IN RANGE")))</f>
        <v>VALUE IN RANGE</v>
      </c>
    </row>
    <row r="2310" spans="3:8" x14ac:dyDescent="0.25">
      <c r="C2310" s="13"/>
      <c r="D2310" s="4" t="s">
        <v>1616</v>
      </c>
      <c r="E2310" s="4" t="s">
        <v>9</v>
      </c>
      <c r="F2310" s="3" t="s">
        <v>1165</v>
      </c>
      <c r="G2310" s="3">
        <f t="shared" si="2472"/>
        <v>77.099999999999994</v>
      </c>
      <c r="H2310" s="14" t="str">
        <f t="shared" ref="H2310" si="2475">IF(NOT(ISNUMBER(VALUE(G2310))), "NA",IF(VALUE(G2310)&gt;83,"HIGH",IF(VALUE(G2310)&lt;60,"LOW", "VALUE IN RANGE")))</f>
        <v>VALUE IN RANGE</v>
      </c>
    </row>
    <row r="2311" spans="3:8" x14ac:dyDescent="0.25">
      <c r="C2311" s="13"/>
      <c r="D2311" s="4" t="s">
        <v>1616</v>
      </c>
      <c r="E2311" s="1" t="s">
        <v>11</v>
      </c>
      <c r="F2311" s="5" t="s">
        <v>476</v>
      </c>
      <c r="G2311" s="3">
        <f t="shared" si="2472"/>
        <v>0.8</v>
      </c>
      <c r="H2311" s="14" t="str">
        <f t="shared" ref="H2311" si="2476">IF(NOT(ISNUMBER(VALUE(G2311))), "NA",IF(VALUE(G2311)&gt;5.1,"HIGH",IF(VALUE(G2311)&lt;0.8,"LOW", "VALUE IN RANGE")))</f>
        <v>VALUE IN RANGE</v>
      </c>
    </row>
    <row r="2312" spans="3:8" x14ac:dyDescent="0.25">
      <c r="C2312" s="13"/>
      <c r="D2312" s="4" t="s">
        <v>1616</v>
      </c>
      <c r="E2312" s="4" t="s">
        <v>13</v>
      </c>
      <c r="F2312" s="3" t="s">
        <v>51</v>
      </c>
      <c r="G2312" s="3">
        <f t="shared" si="2472"/>
        <v>0.2</v>
      </c>
      <c r="H2312" s="14" t="str">
        <f t="shared" ref="H2312" si="2477">IF(NOT(ISNUMBER(VALUE(G2312))), "NA",IF(VALUE(G2312)&gt;1.8,"HIGH",IF(VALUE(G2312)&lt;0,"LOW", "VALUE IN RANGE")))</f>
        <v>VALUE IN RANGE</v>
      </c>
    </row>
    <row r="2313" spans="3:8" x14ac:dyDescent="0.25">
      <c r="C2313" s="13"/>
      <c r="D2313" s="4" t="s">
        <v>1616</v>
      </c>
      <c r="E2313" s="1" t="s">
        <v>15</v>
      </c>
      <c r="F2313" s="5">
        <v>3700</v>
      </c>
      <c r="G2313" s="3">
        <f t="shared" si="2472"/>
        <v>3700</v>
      </c>
      <c r="H2313" s="14" t="str">
        <f t="shared" ref="H2313" si="2478">IF(NOT(ISNUMBER(VALUE(G2313))), "NA",IF(VALUE(G2313)&gt;12.6,"HIGH",IF(VALUE(G2313)&lt;4,"LOW", "VALUE IN RANGE")))</f>
        <v>HIGH</v>
      </c>
    </row>
    <row r="2314" spans="3:8" x14ac:dyDescent="0.25">
      <c r="C2314" s="13"/>
      <c r="D2314" s="4" t="s">
        <v>1616</v>
      </c>
      <c r="E2314" s="4" t="s">
        <v>17</v>
      </c>
      <c r="F2314" s="3" t="s">
        <v>1166</v>
      </c>
      <c r="G2314" s="3">
        <f t="shared" si="2472"/>
        <v>5.72</v>
      </c>
      <c r="H2314" s="14" t="str">
        <f t="shared" ref="H2314" si="2479">IF(NOT(ISNUMBER(VALUE(G2314))), "NA",IF(VALUE(G2314)&gt;8.5,"HIGH",IF(VALUE(G2314)&lt;5.5,"LOW", "VALUE IN RANGE")))</f>
        <v>VALUE IN RANGE</v>
      </c>
    </row>
    <row r="2315" spans="3:8" x14ac:dyDescent="0.25">
      <c r="C2315" s="13"/>
      <c r="D2315" s="4" t="s">
        <v>1616</v>
      </c>
      <c r="E2315" s="1" t="s">
        <v>19</v>
      </c>
      <c r="F2315" s="5">
        <v>121</v>
      </c>
      <c r="G2315" s="3">
        <f t="shared" si="2472"/>
        <v>121</v>
      </c>
      <c r="H2315" s="14" t="str">
        <f t="shared" ref="H2315" si="2480">IF(NOT(ISNUMBER(VALUE(G2315))), "NA",IF(VALUE(G2315)&gt;190,"HIGH",IF(VALUE(G2315)&lt;110,"LOW", "VALUE IN RANGE")))</f>
        <v>VALUE IN RANGE</v>
      </c>
    </row>
    <row r="2316" spans="3:8" x14ac:dyDescent="0.25">
      <c r="C2316" s="13"/>
      <c r="D2316" s="4" t="s">
        <v>1616</v>
      </c>
      <c r="E2316" s="4" t="s">
        <v>21</v>
      </c>
      <c r="F2316" s="3" t="s">
        <v>723</v>
      </c>
      <c r="G2316" s="3">
        <f t="shared" si="2472"/>
        <v>37.299999999999997</v>
      </c>
      <c r="H2316" s="14" t="str">
        <f t="shared" ref="H2316" si="2481">IF(NOT(ISNUMBER(VALUE(G2316))), "NA",IF(VALUE(G2316)&gt;56,"HIGH",IF(VALUE(G2316)&lt;39,"LOW", "VALUE IN RANGE")))</f>
        <v>LOW</v>
      </c>
    </row>
    <row r="2317" spans="3:8" x14ac:dyDescent="0.25">
      <c r="C2317" s="13"/>
      <c r="D2317" s="4" t="s">
        <v>1616</v>
      </c>
      <c r="E2317" s="1" t="s">
        <v>23</v>
      </c>
      <c r="F2317" s="5" t="s">
        <v>85</v>
      </c>
      <c r="G2317" s="3">
        <f t="shared" si="2472"/>
        <v>65.3</v>
      </c>
      <c r="H2317" s="14" t="str">
        <f t="shared" ref="H2317" si="2482">IF(NOT(ISNUMBER(VALUE(G2317))), "NA",IF(VALUE(G2317)&gt;72,"HIGH",IF(VALUE(G2317)&lt;62,"LOW", "VALUE IN RANGE")))</f>
        <v>VALUE IN RANGE</v>
      </c>
    </row>
    <row r="2318" spans="3:8" x14ac:dyDescent="0.25">
      <c r="C2318" s="13"/>
      <c r="D2318" s="4" t="s">
        <v>1616</v>
      </c>
      <c r="E2318" s="4" t="s">
        <v>25</v>
      </c>
      <c r="F2318" s="3" t="s">
        <v>562</v>
      </c>
      <c r="G2318" s="3">
        <f t="shared" si="2472"/>
        <v>21.1</v>
      </c>
      <c r="H2318" s="14" t="str">
        <f t="shared" ref="H2318" si="2483">IF(NOT(ISNUMBER(VALUE(G2318))), "NA",IF(VALUE(G2318)&gt;25,"HIGH",IF(VALUE(G2318)&lt;20,"LOW", "VALUE IN RANGE")))</f>
        <v>VALUE IN RANGE</v>
      </c>
    </row>
    <row r="2319" spans="3:8" x14ac:dyDescent="0.25">
      <c r="C2319" s="13"/>
      <c r="D2319" s="4" t="s">
        <v>1616</v>
      </c>
      <c r="E2319" s="1" t="s">
        <v>27</v>
      </c>
      <c r="F2319" s="5">
        <v>324</v>
      </c>
      <c r="G2319" s="3">
        <f t="shared" si="2472"/>
        <v>324</v>
      </c>
      <c r="H2319" s="14" t="str">
        <f t="shared" ref="H2319" si="2484">IF(NOT(ISNUMBER(VALUE(G2319))), "NA",IF(VALUE(G2319)&gt;380,"HIGH",IF(VALUE(G2319)&lt;300,"LOW", "VALUE IN RANGE")))</f>
        <v>VALUE IN RANGE</v>
      </c>
    </row>
    <row r="2320" spans="3:8" x14ac:dyDescent="0.25">
      <c r="C2320" s="13"/>
      <c r="D2320" s="4" t="s">
        <v>1616</v>
      </c>
      <c r="E2320" s="4" t="s">
        <v>29</v>
      </c>
      <c r="F2320" s="3" t="s">
        <v>1167</v>
      </c>
      <c r="G2320" s="3">
        <f t="shared" si="2472"/>
        <v>17.2</v>
      </c>
      <c r="H2320" s="14" t="str">
        <f t="shared" ref="H2320" si="2485">IF(NOT(ISNUMBER(VALUE(G2320))), "NA",IF(VALUE(G2320)&gt;15.5,"HIGH",IF(VALUE(G2320)&lt;11,"LOW", "VALUE IN RANGE")))</f>
        <v>HIGH</v>
      </c>
    </row>
    <row r="2321" spans="3:8" x14ac:dyDescent="0.25">
      <c r="C2321" s="13"/>
      <c r="D2321" s="4" t="s">
        <v>1616</v>
      </c>
      <c r="E2321" s="1" t="s">
        <v>31</v>
      </c>
      <c r="F2321" s="5">
        <v>881</v>
      </c>
      <c r="G2321" s="3">
        <f t="shared" si="2472"/>
        <v>881</v>
      </c>
      <c r="H2321" s="14" t="str">
        <f t="shared" ref="H2321" si="2486">IF(NOT(ISNUMBER(VALUE(G2321))), "NA",IF(VALUE(G2321)&gt;460,"HIGH",IF(VALUE(G2321)&lt;117,"LOW", "VALUE IN RANGE")))</f>
        <v>HIGH</v>
      </c>
    </row>
    <row r="2322" spans="3:8" x14ac:dyDescent="0.25">
      <c r="C2322" s="13"/>
      <c r="D2322" s="4" t="s">
        <v>1616</v>
      </c>
      <c r="E2322" s="4" t="s">
        <v>33</v>
      </c>
      <c r="F2322" s="3" t="s">
        <v>202</v>
      </c>
      <c r="G2322" s="3">
        <f t="shared" si="2472"/>
        <v>7.3</v>
      </c>
      <c r="H2322" s="14" t="str">
        <f t="shared" ref="H2322" si="2487">IF(NOT(ISNUMBER(VALUE(G2322))), "NA",IF(VALUE(G2322)&gt;12,"HIGH",IF(VALUE(G2322)&lt;7,"LOW", "VALUE IN RANGE")))</f>
        <v>VALUE IN RANGE</v>
      </c>
    </row>
    <row r="2323" spans="3:8" ht="15" customHeight="1" x14ac:dyDescent="0.25">
      <c r="C2323" s="13" t="str">
        <f t="shared" ref="C2323" si="2488">IF(D2323=D2338,D2337,"falso")</f>
        <v>PATIENT_0146</v>
      </c>
      <c r="D2323" s="4" t="s">
        <v>1617</v>
      </c>
      <c r="E2323" s="1" t="s">
        <v>3</v>
      </c>
      <c r="F2323" s="5" t="s">
        <v>42</v>
      </c>
      <c r="G2323" s="3">
        <f t="shared" si="2472"/>
        <v>0</v>
      </c>
      <c r="H2323" s="14" t="str">
        <f t="shared" ref="H2323" si="2489">IF(NOT(ISNUMBER(VALUE(G2323))), "NA",IF(VALUE(G2323)&gt;17,"HIGH",IF(VALUE(G2323)&lt;6,"LOW", "VALUE IN RANGE")))</f>
        <v>LOW</v>
      </c>
    </row>
    <row r="2324" spans="3:8" x14ac:dyDescent="0.25">
      <c r="C2324" s="13"/>
      <c r="D2324" s="4" t="s">
        <v>1617</v>
      </c>
      <c r="E2324" s="4" t="s">
        <v>5</v>
      </c>
      <c r="F2324" s="3" t="s">
        <v>42</v>
      </c>
      <c r="G2324" s="3">
        <f t="shared" si="2472"/>
        <v>0</v>
      </c>
      <c r="H2324" s="14" t="str">
        <f t="shared" ref="H2324" si="2490">IF(NOT(ISNUMBER(VALUE(G2324))), "NA",IF(VALUE(G2324)&gt;30,"HIGH",IF(VALUE(G2324)&lt;12,"LOW", "VALUE IN RANGE")))</f>
        <v>LOW</v>
      </c>
    </row>
    <row r="2325" spans="3:8" x14ac:dyDescent="0.25">
      <c r="C2325" s="13"/>
      <c r="D2325" s="4" t="s">
        <v>1617</v>
      </c>
      <c r="E2325" s="1" t="s">
        <v>7</v>
      </c>
      <c r="F2325" s="5" t="s">
        <v>42</v>
      </c>
      <c r="G2325" s="3">
        <f t="shared" si="2472"/>
        <v>0</v>
      </c>
      <c r="H2325" s="14" t="str">
        <f t="shared" ref="H2325" si="2491">IF(NOT(ISNUMBER(VALUE(G2325))), "NA",IF(VALUE(G2325)&gt;9,"HIGH",IF(VALUE(G2325)&lt;2,"LOW", "VALUE IN RANGE")))</f>
        <v>LOW</v>
      </c>
    </row>
    <row r="2326" spans="3:8" x14ac:dyDescent="0.25">
      <c r="C2326" s="13"/>
      <c r="D2326" s="4" t="s">
        <v>1617</v>
      </c>
      <c r="E2326" s="4" t="s">
        <v>9</v>
      </c>
      <c r="F2326" s="3" t="s">
        <v>42</v>
      </c>
      <c r="G2326" s="3">
        <f t="shared" si="2472"/>
        <v>0</v>
      </c>
      <c r="H2326" s="14" t="str">
        <f t="shared" ref="H2326" si="2492">IF(NOT(ISNUMBER(VALUE(G2326))), "NA",IF(VALUE(G2326)&gt;83,"HIGH",IF(VALUE(G2326)&lt;60,"LOW", "VALUE IN RANGE")))</f>
        <v>LOW</v>
      </c>
    </row>
    <row r="2327" spans="3:8" x14ac:dyDescent="0.25">
      <c r="C2327" s="13"/>
      <c r="D2327" s="4" t="s">
        <v>1617</v>
      </c>
      <c r="E2327" s="1" t="s">
        <v>11</v>
      </c>
      <c r="F2327" s="5" t="s">
        <v>39</v>
      </c>
      <c r="G2327" s="3">
        <f t="shared" si="2472"/>
        <v>0</v>
      </c>
      <c r="H2327" s="14" t="str">
        <f t="shared" ref="H2327" si="2493">IF(NOT(ISNUMBER(VALUE(G2327))), "NA",IF(VALUE(G2327)&gt;5.1,"HIGH",IF(VALUE(G2327)&lt;0.8,"LOW", "VALUE IN RANGE")))</f>
        <v>LOW</v>
      </c>
    </row>
    <row r="2328" spans="3:8" x14ac:dyDescent="0.25">
      <c r="C2328" s="13"/>
      <c r="D2328" s="4" t="s">
        <v>1617</v>
      </c>
      <c r="E2328" s="4" t="s">
        <v>13</v>
      </c>
      <c r="F2328" s="3" t="s">
        <v>39</v>
      </c>
      <c r="G2328" s="3">
        <f t="shared" si="2472"/>
        <v>0</v>
      </c>
      <c r="H2328" s="14" t="str">
        <f t="shared" ref="H2328" si="2494">IF(NOT(ISNUMBER(VALUE(G2328))), "NA",IF(VALUE(G2328)&gt;1.8,"HIGH",IF(VALUE(G2328)&lt;0,"LOW", "VALUE IN RANGE")))</f>
        <v>VALUE IN RANGE</v>
      </c>
    </row>
    <row r="2329" spans="3:8" x14ac:dyDescent="0.25">
      <c r="C2329" s="13"/>
      <c r="D2329" s="4" t="s">
        <v>1617</v>
      </c>
      <c r="E2329" s="1" t="s">
        <v>15</v>
      </c>
      <c r="F2329" s="5" t="s">
        <v>39</v>
      </c>
      <c r="G2329" s="3">
        <f t="shared" si="2472"/>
        <v>0</v>
      </c>
      <c r="H2329" s="14" t="str">
        <f t="shared" ref="H2329" si="2495">IF(NOT(ISNUMBER(VALUE(G2329))), "NA",IF(VALUE(G2329)&gt;12.6,"HIGH",IF(VALUE(G2329)&lt;4,"LOW", "VALUE IN RANGE")))</f>
        <v>LOW</v>
      </c>
    </row>
    <row r="2330" spans="3:8" x14ac:dyDescent="0.25">
      <c r="C2330" s="13"/>
      <c r="D2330" s="4" t="s">
        <v>1617</v>
      </c>
      <c r="E2330" s="4" t="s">
        <v>17</v>
      </c>
      <c r="F2330" s="3" t="s">
        <v>42</v>
      </c>
      <c r="G2330" s="3">
        <f t="shared" si="2472"/>
        <v>0</v>
      </c>
      <c r="H2330" s="14" t="str">
        <f t="shared" ref="H2330" si="2496">IF(NOT(ISNUMBER(VALUE(G2330))), "NA",IF(VALUE(G2330)&gt;8.5,"HIGH",IF(VALUE(G2330)&lt;5.5,"LOW", "VALUE IN RANGE")))</f>
        <v>LOW</v>
      </c>
    </row>
    <row r="2331" spans="3:8" x14ac:dyDescent="0.25">
      <c r="C2331" s="13"/>
      <c r="D2331" s="4" t="s">
        <v>1617</v>
      </c>
      <c r="E2331" s="1" t="s">
        <v>19</v>
      </c>
      <c r="F2331" s="5">
        <v>0</v>
      </c>
      <c r="G2331" s="3">
        <f t="shared" si="2472"/>
        <v>0</v>
      </c>
      <c r="H2331" s="14" t="str">
        <f t="shared" ref="H2331" si="2497">IF(NOT(ISNUMBER(VALUE(G2331))), "NA",IF(VALUE(G2331)&gt;190,"HIGH",IF(VALUE(G2331)&lt;110,"LOW", "VALUE IN RANGE")))</f>
        <v>LOW</v>
      </c>
    </row>
    <row r="2332" spans="3:8" x14ac:dyDescent="0.25">
      <c r="C2332" s="13"/>
      <c r="D2332" s="4" t="s">
        <v>1617</v>
      </c>
      <c r="E2332" s="4" t="s">
        <v>21</v>
      </c>
      <c r="F2332" s="3" t="s">
        <v>44</v>
      </c>
      <c r="G2332" s="3">
        <f t="shared" si="2472"/>
        <v>0</v>
      </c>
      <c r="H2332" s="14" t="str">
        <f t="shared" ref="H2332" si="2498">IF(NOT(ISNUMBER(VALUE(G2332))), "NA",IF(VALUE(G2332)&gt;56,"HIGH",IF(VALUE(G2332)&lt;39,"LOW", "VALUE IN RANGE")))</f>
        <v>LOW</v>
      </c>
    </row>
    <row r="2333" spans="3:8" x14ac:dyDescent="0.25">
      <c r="C2333" s="13"/>
      <c r="D2333" s="4" t="s">
        <v>1617</v>
      </c>
      <c r="E2333" s="1" t="s">
        <v>23</v>
      </c>
      <c r="F2333" s="5" t="s">
        <v>45</v>
      </c>
      <c r="G2333" s="3" t="str">
        <f t="shared" si="2472"/>
        <v/>
      </c>
      <c r="H2333" s="14" t="str">
        <f t="shared" ref="H2333" si="2499">IF(NOT(ISNUMBER(VALUE(G2333))), "NA",IF(VALUE(G2333)&gt;72,"HIGH",IF(VALUE(G2333)&lt;62,"LOW", "VALUE IN RANGE")))</f>
        <v>NA</v>
      </c>
    </row>
    <row r="2334" spans="3:8" x14ac:dyDescent="0.25">
      <c r="C2334" s="13"/>
      <c r="D2334" s="4" t="s">
        <v>1617</v>
      </c>
      <c r="E2334" s="4" t="s">
        <v>25</v>
      </c>
      <c r="F2334" s="3" t="s">
        <v>45</v>
      </c>
      <c r="G2334" s="3" t="str">
        <f t="shared" si="2472"/>
        <v/>
      </c>
      <c r="H2334" s="14" t="str">
        <f t="shared" ref="H2334" si="2500">IF(NOT(ISNUMBER(VALUE(G2334))), "NA",IF(VALUE(G2334)&gt;25,"HIGH",IF(VALUE(G2334)&lt;20,"LOW", "VALUE IN RANGE")))</f>
        <v>NA</v>
      </c>
    </row>
    <row r="2335" spans="3:8" x14ac:dyDescent="0.25">
      <c r="C2335" s="13"/>
      <c r="D2335" s="4" t="s">
        <v>1617</v>
      </c>
      <c r="E2335" s="1" t="s">
        <v>27</v>
      </c>
      <c r="F2335" s="5" t="s">
        <v>45</v>
      </c>
      <c r="G2335" s="3" t="str">
        <f t="shared" si="2472"/>
        <v/>
      </c>
      <c r="H2335" s="14" t="str">
        <f t="shared" ref="H2335" si="2501">IF(NOT(ISNUMBER(VALUE(G2335))), "NA",IF(VALUE(G2335)&gt;380,"HIGH",IF(VALUE(G2335)&lt;300,"LOW", "VALUE IN RANGE")))</f>
        <v>NA</v>
      </c>
    </row>
    <row r="2336" spans="3:8" x14ac:dyDescent="0.25">
      <c r="C2336" s="13"/>
      <c r="D2336" s="4" t="s">
        <v>1617</v>
      </c>
      <c r="E2336" s="4" t="s">
        <v>29</v>
      </c>
      <c r="F2336" s="3" t="s">
        <v>45</v>
      </c>
      <c r="G2336" s="3" t="str">
        <f t="shared" si="2472"/>
        <v/>
      </c>
      <c r="H2336" s="14" t="str">
        <f t="shared" ref="H2336" si="2502">IF(NOT(ISNUMBER(VALUE(G2336))), "NA",IF(VALUE(G2336)&gt;15.5,"HIGH",IF(VALUE(G2336)&lt;11,"LOW", "VALUE IN RANGE")))</f>
        <v>NA</v>
      </c>
    </row>
    <row r="2337" spans="3:8" x14ac:dyDescent="0.25">
      <c r="C2337" s="13"/>
      <c r="D2337" s="4" t="s">
        <v>1617</v>
      </c>
      <c r="E2337" s="1" t="s">
        <v>31</v>
      </c>
      <c r="F2337" s="5">
        <v>0</v>
      </c>
      <c r="G2337" s="3">
        <f t="shared" si="2472"/>
        <v>0</v>
      </c>
      <c r="H2337" s="14" t="str">
        <f t="shared" ref="H2337" si="2503">IF(NOT(ISNUMBER(VALUE(G2337))), "NA",IF(VALUE(G2337)&gt;460,"HIGH",IF(VALUE(G2337)&lt;117,"LOW", "VALUE IN RANGE")))</f>
        <v>LOW</v>
      </c>
    </row>
    <row r="2338" spans="3:8" x14ac:dyDescent="0.25">
      <c r="C2338" s="13"/>
      <c r="D2338" s="4" t="s">
        <v>1617</v>
      </c>
      <c r="E2338" s="4" t="s">
        <v>33</v>
      </c>
      <c r="F2338" s="3" t="s">
        <v>45</v>
      </c>
      <c r="G2338" s="3" t="str">
        <f t="shared" si="2472"/>
        <v/>
      </c>
      <c r="H2338" s="14" t="str">
        <f t="shared" ref="H2338" si="2504">IF(NOT(ISNUMBER(VALUE(G2338))), "NA",IF(VALUE(G2338)&gt;12,"HIGH",IF(VALUE(G2338)&lt;7,"LOW", "VALUE IN RANGE")))</f>
        <v>NA</v>
      </c>
    </row>
    <row r="2339" spans="3:8" ht="15" customHeight="1" x14ac:dyDescent="0.25">
      <c r="C2339" s="13" t="str">
        <f t="shared" ref="C2339" si="2505">IF(D2339=D2354,D2353,"falso")</f>
        <v>PATIENT_0147</v>
      </c>
      <c r="D2339" s="4" t="s">
        <v>1618</v>
      </c>
      <c r="E2339" s="1" t="s">
        <v>3</v>
      </c>
      <c r="F2339" s="5" t="s">
        <v>757</v>
      </c>
      <c r="G2339" s="3">
        <f t="shared" si="2472"/>
        <v>6.7</v>
      </c>
      <c r="H2339" s="14" t="str">
        <f t="shared" ref="H2339" si="2506">IF(NOT(ISNUMBER(VALUE(G2339))), "NA",IF(VALUE(G2339)&gt;17,"HIGH",IF(VALUE(G2339)&lt;6,"LOW", "VALUE IN RANGE")))</f>
        <v>VALUE IN RANGE</v>
      </c>
    </row>
    <row r="2340" spans="3:8" x14ac:dyDescent="0.25">
      <c r="C2340" s="13"/>
      <c r="D2340" s="4" t="s">
        <v>1618</v>
      </c>
      <c r="E2340" s="4" t="s">
        <v>5</v>
      </c>
      <c r="F2340" s="3" t="s">
        <v>396</v>
      </c>
      <c r="G2340" s="3">
        <f t="shared" si="2472"/>
        <v>4.4000000000000004</v>
      </c>
      <c r="H2340" s="14" t="str">
        <f t="shared" ref="H2340" si="2507">IF(NOT(ISNUMBER(VALUE(G2340))), "NA",IF(VALUE(G2340)&gt;30,"HIGH",IF(VALUE(G2340)&lt;12,"LOW", "VALUE IN RANGE")))</f>
        <v>LOW</v>
      </c>
    </row>
    <row r="2341" spans="3:8" x14ac:dyDescent="0.25">
      <c r="C2341" s="13"/>
      <c r="D2341" s="4" t="s">
        <v>1618</v>
      </c>
      <c r="E2341" s="1" t="s">
        <v>7</v>
      </c>
      <c r="F2341" s="5" t="s">
        <v>169</v>
      </c>
      <c r="G2341" s="3">
        <f t="shared" si="2472"/>
        <v>7.3</v>
      </c>
      <c r="H2341" s="14" t="str">
        <f t="shared" ref="H2341" si="2508">IF(NOT(ISNUMBER(VALUE(G2341))), "NA",IF(VALUE(G2341)&gt;9,"HIGH",IF(VALUE(G2341)&lt;2,"LOW", "VALUE IN RANGE")))</f>
        <v>VALUE IN RANGE</v>
      </c>
    </row>
    <row r="2342" spans="3:8" x14ac:dyDescent="0.25">
      <c r="C2342" s="13"/>
      <c r="D2342" s="4" t="s">
        <v>1618</v>
      </c>
      <c r="E2342" s="4" t="s">
        <v>9</v>
      </c>
      <c r="F2342" s="3" t="s">
        <v>921</v>
      </c>
      <c r="G2342" s="3">
        <f t="shared" si="2472"/>
        <v>88.3</v>
      </c>
      <c r="H2342" s="14" t="str">
        <f t="shared" ref="H2342" si="2509">IF(NOT(ISNUMBER(VALUE(G2342))), "NA",IF(VALUE(G2342)&gt;83,"HIGH",IF(VALUE(G2342)&lt;60,"LOW", "VALUE IN RANGE")))</f>
        <v>HIGH</v>
      </c>
    </row>
    <row r="2343" spans="3:8" x14ac:dyDescent="0.25">
      <c r="C2343" s="13"/>
      <c r="D2343" s="4" t="s">
        <v>1618</v>
      </c>
      <c r="E2343" s="1" t="s">
        <v>11</v>
      </c>
      <c r="F2343" s="5" t="s">
        <v>51</v>
      </c>
      <c r="G2343" s="3">
        <f t="shared" si="2472"/>
        <v>0.2</v>
      </c>
      <c r="H2343" s="14" t="str">
        <f t="shared" ref="H2343" si="2510">IF(NOT(ISNUMBER(VALUE(G2343))), "NA",IF(VALUE(G2343)&gt;5.1,"HIGH",IF(VALUE(G2343)&lt;0.8,"LOW", "VALUE IN RANGE")))</f>
        <v>LOW</v>
      </c>
    </row>
    <row r="2344" spans="3:8" x14ac:dyDescent="0.25">
      <c r="C2344" s="13"/>
      <c r="D2344" s="4" t="s">
        <v>1618</v>
      </c>
      <c r="E2344" s="4" t="s">
        <v>13</v>
      </c>
      <c r="F2344" s="3" t="s">
        <v>167</v>
      </c>
      <c r="G2344" s="3">
        <f t="shared" si="2472"/>
        <v>0.4</v>
      </c>
      <c r="H2344" s="14" t="str">
        <f t="shared" ref="H2344" si="2511">IF(NOT(ISNUMBER(VALUE(G2344))), "NA",IF(VALUE(G2344)&gt;1.8,"HIGH",IF(VALUE(G2344)&lt;0,"LOW", "VALUE IN RANGE")))</f>
        <v>VALUE IN RANGE</v>
      </c>
    </row>
    <row r="2345" spans="3:8" x14ac:dyDescent="0.25">
      <c r="C2345" s="13"/>
      <c r="D2345" s="4" t="s">
        <v>1618</v>
      </c>
      <c r="E2345" s="1" t="s">
        <v>15</v>
      </c>
      <c r="F2345" s="5">
        <v>6100</v>
      </c>
      <c r="G2345" s="3">
        <f t="shared" si="2472"/>
        <v>6100</v>
      </c>
      <c r="H2345" s="14" t="str">
        <f t="shared" ref="H2345" si="2512">IF(NOT(ISNUMBER(VALUE(G2345))), "NA",IF(VALUE(G2345)&gt;12.6,"HIGH",IF(VALUE(G2345)&lt;4,"LOW", "VALUE IN RANGE")))</f>
        <v>HIGH</v>
      </c>
    </row>
    <row r="2346" spans="3:8" x14ac:dyDescent="0.25">
      <c r="C2346" s="13"/>
      <c r="D2346" s="4" t="s">
        <v>1618</v>
      </c>
      <c r="E2346" s="4" t="s">
        <v>17</v>
      </c>
      <c r="F2346" s="3" t="s">
        <v>755</v>
      </c>
      <c r="G2346" s="3">
        <f t="shared" si="2472"/>
        <v>3.6</v>
      </c>
      <c r="H2346" s="14" t="str">
        <f t="shared" ref="H2346" si="2513">IF(NOT(ISNUMBER(VALUE(G2346))), "NA",IF(VALUE(G2346)&gt;8.5,"HIGH",IF(VALUE(G2346)&lt;5.5,"LOW", "VALUE IN RANGE")))</f>
        <v>LOW</v>
      </c>
    </row>
    <row r="2347" spans="3:8" x14ac:dyDescent="0.25">
      <c r="C2347" s="13"/>
      <c r="D2347" s="4" t="s">
        <v>1618</v>
      </c>
      <c r="E2347" s="1" t="s">
        <v>19</v>
      </c>
      <c r="F2347" s="5">
        <v>75</v>
      </c>
      <c r="G2347" s="3">
        <f t="shared" si="2472"/>
        <v>75</v>
      </c>
      <c r="H2347" s="14" t="str">
        <f t="shared" ref="H2347" si="2514">IF(NOT(ISNUMBER(VALUE(G2347))), "NA",IF(VALUE(G2347)&gt;190,"HIGH",IF(VALUE(G2347)&lt;110,"LOW", "VALUE IN RANGE")))</f>
        <v>LOW</v>
      </c>
    </row>
    <row r="2348" spans="3:8" x14ac:dyDescent="0.25">
      <c r="C2348" s="13"/>
      <c r="D2348" s="4" t="s">
        <v>1618</v>
      </c>
      <c r="E2348" s="4" t="s">
        <v>21</v>
      </c>
      <c r="F2348" s="3" t="s">
        <v>1169</v>
      </c>
      <c r="G2348" s="3">
        <f t="shared" si="2472"/>
        <v>24.2</v>
      </c>
      <c r="H2348" s="14" t="str">
        <f t="shared" ref="H2348" si="2515">IF(NOT(ISNUMBER(VALUE(G2348))), "NA",IF(VALUE(G2348)&gt;56,"HIGH",IF(VALUE(G2348)&lt;39,"LOW", "VALUE IN RANGE")))</f>
        <v>LOW</v>
      </c>
    </row>
    <row r="2349" spans="3:8" x14ac:dyDescent="0.25">
      <c r="C2349" s="13"/>
      <c r="D2349" s="4" t="s">
        <v>1618</v>
      </c>
      <c r="E2349" s="1" t="s">
        <v>23</v>
      </c>
      <c r="F2349" s="5" t="s">
        <v>766</v>
      </c>
      <c r="G2349" s="3">
        <f t="shared" si="2472"/>
        <v>67.3</v>
      </c>
      <c r="H2349" s="14" t="str">
        <f t="shared" ref="H2349" si="2516">IF(NOT(ISNUMBER(VALUE(G2349))), "NA",IF(VALUE(G2349)&gt;72,"HIGH",IF(VALUE(G2349)&lt;62,"LOW", "VALUE IN RANGE")))</f>
        <v>VALUE IN RANGE</v>
      </c>
    </row>
    <row r="2350" spans="3:8" x14ac:dyDescent="0.25">
      <c r="C2350" s="13"/>
      <c r="D2350" s="4" t="s">
        <v>1618</v>
      </c>
      <c r="E2350" s="4" t="s">
        <v>25</v>
      </c>
      <c r="F2350" s="3" t="s">
        <v>86</v>
      </c>
      <c r="G2350" s="3">
        <f t="shared" si="2472"/>
        <v>20.8</v>
      </c>
      <c r="H2350" s="14" t="str">
        <f t="shared" ref="H2350" si="2517">IF(NOT(ISNUMBER(VALUE(G2350))), "NA",IF(VALUE(G2350)&gt;25,"HIGH",IF(VALUE(G2350)&lt;20,"LOW", "VALUE IN RANGE")))</f>
        <v>VALUE IN RANGE</v>
      </c>
    </row>
    <row r="2351" spans="3:8" x14ac:dyDescent="0.25">
      <c r="C2351" s="13"/>
      <c r="D2351" s="4" t="s">
        <v>1618</v>
      </c>
      <c r="E2351" s="1" t="s">
        <v>27</v>
      </c>
      <c r="F2351" s="5">
        <v>309</v>
      </c>
      <c r="G2351" s="3">
        <f t="shared" si="2472"/>
        <v>309</v>
      </c>
      <c r="H2351" s="14" t="str">
        <f t="shared" ref="H2351" si="2518">IF(NOT(ISNUMBER(VALUE(G2351))), "NA",IF(VALUE(G2351)&gt;380,"HIGH",IF(VALUE(G2351)&lt;300,"LOW", "VALUE IN RANGE")))</f>
        <v>VALUE IN RANGE</v>
      </c>
    </row>
    <row r="2352" spans="3:8" x14ac:dyDescent="0.25">
      <c r="C2352" s="13"/>
      <c r="D2352" s="4" t="s">
        <v>1618</v>
      </c>
      <c r="E2352" s="4" t="s">
        <v>29</v>
      </c>
      <c r="F2352" s="3" t="s">
        <v>471</v>
      </c>
      <c r="G2352" s="3">
        <f t="shared" si="2472"/>
        <v>13.1</v>
      </c>
      <c r="H2352" s="14" t="str">
        <f t="shared" ref="H2352" si="2519">IF(NOT(ISNUMBER(VALUE(G2352))), "NA",IF(VALUE(G2352)&gt;15.5,"HIGH",IF(VALUE(G2352)&lt;11,"LOW", "VALUE IN RANGE")))</f>
        <v>VALUE IN RANGE</v>
      </c>
    </row>
    <row r="2353" spans="3:8" x14ac:dyDescent="0.25">
      <c r="C2353" s="13"/>
      <c r="D2353" s="4" t="s">
        <v>1618</v>
      </c>
      <c r="E2353" s="1" t="s">
        <v>31</v>
      </c>
      <c r="F2353" s="5">
        <v>11</v>
      </c>
      <c r="G2353" s="3">
        <f t="shared" si="2472"/>
        <v>11</v>
      </c>
      <c r="H2353" s="14" t="str">
        <f t="shared" ref="H2353" si="2520">IF(NOT(ISNUMBER(VALUE(G2353))), "NA",IF(VALUE(G2353)&gt;460,"HIGH",IF(VALUE(G2353)&lt;117,"LOW", "VALUE IN RANGE")))</f>
        <v>LOW</v>
      </c>
    </row>
    <row r="2354" spans="3:8" x14ac:dyDescent="0.25">
      <c r="C2354" s="13"/>
      <c r="D2354" s="4" t="s">
        <v>1618</v>
      </c>
      <c r="E2354" s="4" t="s">
        <v>33</v>
      </c>
      <c r="F2354" s="3" t="s">
        <v>1170</v>
      </c>
      <c r="G2354" s="3">
        <f t="shared" si="2472"/>
        <v>6.7</v>
      </c>
      <c r="H2354" s="14" t="str">
        <f t="shared" ref="H2354" si="2521">IF(NOT(ISNUMBER(VALUE(G2354))), "NA",IF(VALUE(G2354)&gt;12,"HIGH",IF(VALUE(G2354)&lt;7,"LOW", "VALUE IN RANGE")))</f>
        <v>LOW</v>
      </c>
    </row>
    <row r="2355" spans="3:8" ht="15" customHeight="1" x14ac:dyDescent="0.25">
      <c r="C2355" s="13" t="str">
        <f t="shared" ref="C2355" si="2522">IF(D2355=D2370,D2369,"falso")</f>
        <v>PATIENT_0148</v>
      </c>
      <c r="D2355" s="4" t="s">
        <v>1619</v>
      </c>
      <c r="E2355" s="1" t="s">
        <v>3</v>
      </c>
      <c r="F2355" s="5" t="s">
        <v>36</v>
      </c>
      <c r="G2355" s="3">
        <f t="shared" si="2472"/>
        <v>9.8000000000000007</v>
      </c>
      <c r="H2355" s="14" t="str">
        <f t="shared" ref="H2355" si="2523">IF(NOT(ISNUMBER(VALUE(G2355))), "NA",IF(VALUE(G2355)&gt;17,"HIGH",IF(VALUE(G2355)&lt;6,"LOW", "VALUE IN RANGE")))</f>
        <v>VALUE IN RANGE</v>
      </c>
    </row>
    <row r="2356" spans="3:8" x14ac:dyDescent="0.25">
      <c r="C2356" s="13"/>
      <c r="D2356" s="4" t="s">
        <v>1619</v>
      </c>
      <c r="E2356" s="4" t="s">
        <v>5</v>
      </c>
      <c r="F2356" s="3" t="s">
        <v>49</v>
      </c>
      <c r="G2356" s="3">
        <f t="shared" si="2472"/>
        <v>11.2</v>
      </c>
      <c r="H2356" s="14" t="str">
        <f t="shared" ref="H2356" si="2524">IF(NOT(ISNUMBER(VALUE(G2356))), "NA",IF(VALUE(G2356)&gt;30,"HIGH",IF(VALUE(G2356)&lt;12,"LOW", "VALUE IN RANGE")))</f>
        <v>LOW</v>
      </c>
    </row>
    <row r="2357" spans="3:8" x14ac:dyDescent="0.25">
      <c r="C2357" s="13"/>
      <c r="D2357" s="4" t="s">
        <v>1619</v>
      </c>
      <c r="E2357" s="1" t="s">
        <v>7</v>
      </c>
      <c r="F2357" s="5" t="s">
        <v>165</v>
      </c>
      <c r="G2357" s="3">
        <f t="shared" si="2472"/>
        <v>4.5999999999999996</v>
      </c>
      <c r="H2357" s="14" t="str">
        <f t="shared" ref="H2357" si="2525">IF(NOT(ISNUMBER(VALUE(G2357))), "NA",IF(VALUE(G2357)&gt;9,"HIGH",IF(VALUE(G2357)&lt;2,"LOW", "VALUE IN RANGE")))</f>
        <v>VALUE IN RANGE</v>
      </c>
    </row>
    <row r="2358" spans="3:8" x14ac:dyDescent="0.25">
      <c r="C2358" s="13"/>
      <c r="D2358" s="4" t="s">
        <v>1619</v>
      </c>
      <c r="E2358" s="4" t="s">
        <v>9</v>
      </c>
      <c r="F2358" s="3" t="s">
        <v>1171</v>
      </c>
      <c r="G2358" s="3">
        <f t="shared" si="2472"/>
        <v>84.2</v>
      </c>
      <c r="H2358" s="14" t="str">
        <f t="shared" ref="H2358" si="2526">IF(NOT(ISNUMBER(VALUE(G2358))), "NA",IF(VALUE(G2358)&gt;83,"HIGH",IF(VALUE(G2358)&lt;60,"LOW", "VALUE IN RANGE")))</f>
        <v>HIGH</v>
      </c>
    </row>
    <row r="2359" spans="3:8" x14ac:dyDescent="0.25">
      <c r="C2359" s="13"/>
      <c r="D2359" s="4" t="s">
        <v>1619</v>
      </c>
      <c r="E2359" s="1" t="s">
        <v>11</v>
      </c>
      <c r="F2359" s="5">
        <v>1000</v>
      </c>
      <c r="G2359" s="3">
        <f t="shared" si="2472"/>
        <v>1000</v>
      </c>
      <c r="H2359" s="14" t="str">
        <f t="shared" ref="H2359" si="2527">IF(NOT(ISNUMBER(VALUE(G2359))), "NA",IF(VALUE(G2359)&gt;5.1,"HIGH",IF(VALUE(G2359)&lt;0.8,"LOW", "VALUE IN RANGE")))</f>
        <v>HIGH</v>
      </c>
    </row>
    <row r="2360" spans="3:8" x14ac:dyDescent="0.25">
      <c r="C2360" s="13"/>
      <c r="D2360" s="4" t="s">
        <v>1619</v>
      </c>
      <c r="E2360" s="4" t="s">
        <v>13</v>
      </c>
      <c r="F2360" s="3" t="s">
        <v>167</v>
      </c>
      <c r="G2360" s="3">
        <f t="shared" si="2472"/>
        <v>0.4</v>
      </c>
      <c r="H2360" s="14" t="str">
        <f t="shared" ref="H2360" si="2528">IF(NOT(ISNUMBER(VALUE(G2360))), "NA",IF(VALUE(G2360)&gt;1.8,"HIGH",IF(VALUE(G2360)&lt;0,"LOW", "VALUE IN RANGE")))</f>
        <v>VALUE IN RANGE</v>
      </c>
    </row>
    <row r="2361" spans="3:8" x14ac:dyDescent="0.25">
      <c r="C2361" s="13"/>
      <c r="D2361" s="4" t="s">
        <v>1619</v>
      </c>
      <c r="E2361" s="1" t="s">
        <v>15</v>
      </c>
      <c r="F2361" s="5">
        <v>8400</v>
      </c>
      <c r="G2361" s="3">
        <f t="shared" si="2472"/>
        <v>8400</v>
      </c>
      <c r="H2361" s="14" t="str">
        <f t="shared" ref="H2361" si="2529">IF(NOT(ISNUMBER(VALUE(G2361))), "NA",IF(VALUE(G2361)&gt;12.6,"HIGH",IF(VALUE(G2361)&lt;4,"LOW", "VALUE IN RANGE")))</f>
        <v>HIGH</v>
      </c>
    </row>
    <row r="2362" spans="3:8" x14ac:dyDescent="0.25">
      <c r="C2362" s="13"/>
      <c r="D2362" s="4" t="s">
        <v>1619</v>
      </c>
      <c r="E2362" s="4" t="s">
        <v>17</v>
      </c>
      <c r="F2362" s="3" t="s">
        <v>695</v>
      </c>
      <c r="G2362" s="3">
        <f t="shared" si="2472"/>
        <v>5.49</v>
      </c>
      <c r="H2362" s="14" t="str">
        <f t="shared" ref="H2362" si="2530">IF(NOT(ISNUMBER(VALUE(G2362))), "NA",IF(VALUE(G2362)&gt;8.5,"HIGH",IF(VALUE(G2362)&lt;5.5,"LOW", "VALUE IN RANGE")))</f>
        <v>LOW</v>
      </c>
    </row>
    <row r="2363" spans="3:8" x14ac:dyDescent="0.25">
      <c r="C2363" s="13"/>
      <c r="D2363" s="4" t="s">
        <v>1619</v>
      </c>
      <c r="E2363" s="1" t="s">
        <v>19</v>
      </c>
      <c r="F2363" s="5">
        <v>129</v>
      </c>
      <c r="G2363" s="3">
        <f t="shared" si="2472"/>
        <v>129</v>
      </c>
      <c r="H2363" s="14" t="str">
        <f t="shared" ref="H2363" si="2531">IF(NOT(ISNUMBER(VALUE(G2363))), "NA",IF(VALUE(G2363)&gt;190,"HIGH",IF(VALUE(G2363)&lt;110,"LOW", "VALUE IN RANGE")))</f>
        <v>VALUE IN RANGE</v>
      </c>
    </row>
    <row r="2364" spans="3:8" x14ac:dyDescent="0.25">
      <c r="C2364" s="13"/>
      <c r="D2364" s="4" t="s">
        <v>1619</v>
      </c>
      <c r="E2364" s="4" t="s">
        <v>21</v>
      </c>
      <c r="F2364" s="3" t="s">
        <v>549</v>
      </c>
      <c r="G2364" s="3">
        <f t="shared" si="2472"/>
        <v>40.4</v>
      </c>
      <c r="H2364" s="14" t="str">
        <f t="shared" ref="H2364" si="2532">IF(NOT(ISNUMBER(VALUE(G2364))), "NA",IF(VALUE(G2364)&gt;56,"HIGH",IF(VALUE(G2364)&lt;39,"LOW", "VALUE IN RANGE")))</f>
        <v>VALUE IN RANGE</v>
      </c>
    </row>
    <row r="2365" spans="3:8" x14ac:dyDescent="0.25">
      <c r="C2365" s="13"/>
      <c r="D2365" s="4" t="s">
        <v>1619</v>
      </c>
      <c r="E2365" s="1" t="s">
        <v>23</v>
      </c>
      <c r="F2365" s="5" t="s">
        <v>1173</v>
      </c>
      <c r="G2365" s="3">
        <f t="shared" si="2472"/>
        <v>73.599999999999994</v>
      </c>
      <c r="H2365" s="14" t="str">
        <f t="shared" ref="H2365" si="2533">IF(NOT(ISNUMBER(VALUE(G2365))), "NA",IF(VALUE(G2365)&gt;72,"HIGH",IF(VALUE(G2365)&lt;62,"LOW", "VALUE IN RANGE")))</f>
        <v>HIGH</v>
      </c>
    </row>
    <row r="2366" spans="3:8" x14ac:dyDescent="0.25">
      <c r="C2366" s="13"/>
      <c r="D2366" s="4" t="s">
        <v>1619</v>
      </c>
      <c r="E2366" s="4" t="s">
        <v>25</v>
      </c>
      <c r="F2366" s="3" t="s">
        <v>682</v>
      </c>
      <c r="G2366" s="3">
        <f t="shared" si="2472"/>
        <v>23.4</v>
      </c>
      <c r="H2366" s="14" t="str">
        <f t="shared" ref="H2366" si="2534">IF(NOT(ISNUMBER(VALUE(G2366))), "NA",IF(VALUE(G2366)&gt;25,"HIGH",IF(VALUE(G2366)&lt;20,"LOW", "VALUE IN RANGE")))</f>
        <v>VALUE IN RANGE</v>
      </c>
    </row>
    <row r="2367" spans="3:8" x14ac:dyDescent="0.25">
      <c r="C2367" s="13"/>
      <c r="D2367" s="4" t="s">
        <v>1619</v>
      </c>
      <c r="E2367" s="1" t="s">
        <v>27</v>
      </c>
      <c r="F2367" s="5">
        <v>319</v>
      </c>
      <c r="G2367" s="3">
        <f t="shared" si="2472"/>
        <v>319</v>
      </c>
      <c r="H2367" s="14" t="str">
        <f t="shared" ref="H2367" si="2535">IF(NOT(ISNUMBER(VALUE(G2367))), "NA",IF(VALUE(G2367)&gt;380,"HIGH",IF(VALUE(G2367)&lt;300,"LOW", "VALUE IN RANGE")))</f>
        <v>VALUE IN RANGE</v>
      </c>
    </row>
    <row r="2368" spans="3:8" x14ac:dyDescent="0.25">
      <c r="C2368" s="13"/>
      <c r="D2368" s="4" t="s">
        <v>1619</v>
      </c>
      <c r="E2368" s="4" t="s">
        <v>29</v>
      </c>
      <c r="F2368" s="3" t="s">
        <v>383</v>
      </c>
      <c r="G2368" s="3">
        <f t="shared" si="2472"/>
        <v>12</v>
      </c>
      <c r="H2368" s="14" t="str">
        <f t="shared" ref="H2368" si="2536">IF(NOT(ISNUMBER(VALUE(G2368))), "NA",IF(VALUE(G2368)&gt;15.5,"HIGH",IF(VALUE(G2368)&lt;11,"LOW", "VALUE IN RANGE")))</f>
        <v>VALUE IN RANGE</v>
      </c>
    </row>
    <row r="2369" spans="3:8" x14ac:dyDescent="0.25">
      <c r="C2369" s="13"/>
      <c r="D2369" s="4" t="s">
        <v>1619</v>
      </c>
      <c r="E2369" s="1" t="s">
        <v>31</v>
      </c>
      <c r="F2369" s="5">
        <v>417</v>
      </c>
      <c r="G2369" s="3">
        <f t="shared" si="2472"/>
        <v>417</v>
      </c>
      <c r="H2369" s="14" t="str">
        <f t="shared" ref="H2369" si="2537">IF(NOT(ISNUMBER(VALUE(G2369))), "NA",IF(VALUE(G2369)&gt;460,"HIGH",IF(VALUE(G2369)&lt;117,"LOW", "VALUE IN RANGE")))</f>
        <v>VALUE IN RANGE</v>
      </c>
    </row>
    <row r="2370" spans="3:8" x14ac:dyDescent="0.25">
      <c r="C2370" s="13"/>
      <c r="D2370" s="4" t="s">
        <v>1619</v>
      </c>
      <c r="E2370" s="4" t="s">
        <v>33</v>
      </c>
      <c r="F2370" s="3" t="s">
        <v>176</v>
      </c>
      <c r="G2370" s="3">
        <f t="shared" si="2472"/>
        <v>8.5</v>
      </c>
      <c r="H2370" s="14" t="str">
        <f t="shared" ref="H2370" si="2538">IF(NOT(ISNUMBER(VALUE(G2370))), "NA",IF(VALUE(G2370)&gt;12,"HIGH",IF(VALUE(G2370)&lt;7,"LOW", "VALUE IN RANGE")))</f>
        <v>VALUE IN RANGE</v>
      </c>
    </row>
    <row r="2371" spans="3:8" ht="15" customHeight="1" x14ac:dyDescent="0.25">
      <c r="C2371" s="13" t="str">
        <f t="shared" ref="C2371" si="2539">IF(D2371=D2386,D2385,"falso")</f>
        <v>PATIENT_0149</v>
      </c>
      <c r="D2371" s="4" t="s">
        <v>1620</v>
      </c>
      <c r="E2371" s="1" t="s">
        <v>3</v>
      </c>
      <c r="F2371" s="5" t="s">
        <v>719</v>
      </c>
      <c r="G2371" s="3">
        <f t="shared" si="2472"/>
        <v>8.1999999999999993</v>
      </c>
      <c r="H2371" s="14" t="str">
        <f t="shared" ref="H2371" si="2540">IF(NOT(ISNUMBER(VALUE(G2371))), "NA",IF(VALUE(G2371)&gt;17,"HIGH",IF(VALUE(G2371)&lt;6,"LOW", "VALUE IN RANGE")))</f>
        <v>VALUE IN RANGE</v>
      </c>
    </row>
    <row r="2372" spans="3:8" x14ac:dyDescent="0.25">
      <c r="C2372" s="13"/>
      <c r="D2372" s="4" t="s">
        <v>1620</v>
      </c>
      <c r="E2372" s="4" t="s">
        <v>5</v>
      </c>
      <c r="F2372" s="3" t="s">
        <v>1174</v>
      </c>
      <c r="G2372" s="3">
        <f t="shared" ref="G2372:G2402" si="2541">IFERROR(
   VALUE(
      SUBSTITUTE(
         CLEAN(
            TRIM(F2372)
         ),
         ".",
         ","
      )
   ),
   ""
)</f>
        <v>15.1</v>
      </c>
      <c r="H2372" s="14" t="str">
        <f t="shared" ref="H2372" si="2542">IF(NOT(ISNUMBER(VALUE(G2372))), "NA",IF(VALUE(G2372)&gt;30,"HIGH",IF(VALUE(G2372)&lt;12,"LOW", "VALUE IN RANGE")))</f>
        <v>VALUE IN RANGE</v>
      </c>
    </row>
    <row r="2373" spans="3:8" x14ac:dyDescent="0.25">
      <c r="C2373" s="13"/>
      <c r="D2373" s="4" t="s">
        <v>1620</v>
      </c>
      <c r="E2373" s="1" t="s">
        <v>7</v>
      </c>
      <c r="F2373" s="5" t="s">
        <v>190</v>
      </c>
      <c r="G2373" s="3">
        <f t="shared" si="2541"/>
        <v>5.4</v>
      </c>
      <c r="H2373" s="14" t="str">
        <f t="shared" ref="H2373" si="2543">IF(NOT(ISNUMBER(VALUE(G2373))), "NA",IF(VALUE(G2373)&gt;9,"HIGH",IF(VALUE(G2373)&lt;2,"LOW", "VALUE IN RANGE")))</f>
        <v>VALUE IN RANGE</v>
      </c>
    </row>
    <row r="2374" spans="3:8" x14ac:dyDescent="0.25">
      <c r="C2374" s="13"/>
      <c r="D2374" s="4" t="s">
        <v>1620</v>
      </c>
      <c r="E2374" s="4" t="s">
        <v>9</v>
      </c>
      <c r="F2374" s="3" t="s">
        <v>365</v>
      </c>
      <c r="G2374" s="3">
        <f t="shared" si="2541"/>
        <v>79.5</v>
      </c>
      <c r="H2374" s="14" t="str">
        <f t="shared" ref="H2374" si="2544">IF(NOT(ISNUMBER(VALUE(G2374))), "NA",IF(VALUE(G2374)&gt;83,"HIGH",IF(VALUE(G2374)&lt;60,"LOW", "VALUE IN RANGE")))</f>
        <v>VALUE IN RANGE</v>
      </c>
    </row>
    <row r="2375" spans="3:8" x14ac:dyDescent="0.25">
      <c r="C2375" s="13"/>
      <c r="D2375" s="4" t="s">
        <v>1620</v>
      </c>
      <c r="E2375" s="1" t="s">
        <v>11</v>
      </c>
      <c r="F2375" s="5">
        <v>1200</v>
      </c>
      <c r="G2375" s="3">
        <f t="shared" si="2541"/>
        <v>1200</v>
      </c>
      <c r="H2375" s="14" t="str">
        <f t="shared" ref="H2375" si="2545">IF(NOT(ISNUMBER(VALUE(G2375))), "NA",IF(VALUE(G2375)&gt;5.1,"HIGH",IF(VALUE(G2375)&lt;0.8,"LOW", "VALUE IN RANGE")))</f>
        <v>HIGH</v>
      </c>
    </row>
    <row r="2376" spans="3:8" x14ac:dyDescent="0.25">
      <c r="C2376" s="13"/>
      <c r="D2376" s="4" t="s">
        <v>1620</v>
      </c>
      <c r="E2376" s="4" t="s">
        <v>13</v>
      </c>
      <c r="F2376" s="3" t="s">
        <v>167</v>
      </c>
      <c r="G2376" s="3">
        <f t="shared" si="2541"/>
        <v>0.4</v>
      </c>
      <c r="H2376" s="14" t="str">
        <f t="shared" ref="H2376" si="2546">IF(NOT(ISNUMBER(VALUE(G2376))), "NA",IF(VALUE(G2376)&gt;1.8,"HIGH",IF(VALUE(G2376)&lt;0,"LOW", "VALUE IN RANGE")))</f>
        <v>VALUE IN RANGE</v>
      </c>
    </row>
    <row r="2377" spans="3:8" x14ac:dyDescent="0.25">
      <c r="C2377" s="13"/>
      <c r="D2377" s="4" t="s">
        <v>1620</v>
      </c>
      <c r="E2377" s="1" t="s">
        <v>15</v>
      </c>
      <c r="F2377" s="5">
        <v>6600</v>
      </c>
      <c r="G2377" s="3">
        <f t="shared" si="2541"/>
        <v>6600</v>
      </c>
      <c r="H2377" s="14" t="str">
        <f t="shared" ref="H2377" si="2547">IF(NOT(ISNUMBER(VALUE(G2377))), "NA",IF(VALUE(G2377)&gt;12.6,"HIGH",IF(VALUE(G2377)&lt;4,"LOW", "VALUE IN RANGE")))</f>
        <v>HIGH</v>
      </c>
    </row>
    <row r="2378" spans="3:8" x14ac:dyDescent="0.25">
      <c r="C2378" s="13"/>
      <c r="D2378" s="4" t="s">
        <v>1620</v>
      </c>
      <c r="E2378" s="4" t="s">
        <v>17</v>
      </c>
      <c r="F2378" s="3" t="s">
        <v>364</v>
      </c>
      <c r="G2378" s="3">
        <f t="shared" si="2541"/>
        <v>6.9</v>
      </c>
      <c r="H2378" s="14" t="str">
        <f t="shared" ref="H2378" si="2548">IF(NOT(ISNUMBER(VALUE(G2378))), "NA",IF(VALUE(G2378)&gt;8.5,"HIGH",IF(VALUE(G2378)&lt;5.5,"LOW", "VALUE IN RANGE")))</f>
        <v>VALUE IN RANGE</v>
      </c>
    </row>
    <row r="2379" spans="3:8" x14ac:dyDescent="0.25">
      <c r="C2379" s="13"/>
      <c r="D2379" s="4" t="s">
        <v>1620</v>
      </c>
      <c r="E2379" s="1" t="s">
        <v>19</v>
      </c>
      <c r="F2379" s="5">
        <v>151</v>
      </c>
      <c r="G2379" s="3">
        <f t="shared" si="2541"/>
        <v>151</v>
      </c>
      <c r="H2379" s="14" t="str">
        <f t="shared" ref="H2379" si="2549">IF(NOT(ISNUMBER(VALUE(G2379))), "NA",IF(VALUE(G2379)&gt;190,"HIGH",IF(VALUE(G2379)&lt;110,"LOW", "VALUE IN RANGE")))</f>
        <v>VALUE IN RANGE</v>
      </c>
    </row>
    <row r="2380" spans="3:8" x14ac:dyDescent="0.25">
      <c r="C2380" s="13"/>
      <c r="D2380" s="4" t="s">
        <v>1620</v>
      </c>
      <c r="E2380" s="4" t="s">
        <v>21</v>
      </c>
      <c r="F2380" s="3" t="s">
        <v>1175</v>
      </c>
      <c r="G2380" s="3">
        <f t="shared" si="2541"/>
        <v>48.2</v>
      </c>
      <c r="H2380" s="14" t="str">
        <f t="shared" ref="H2380" si="2550">IF(NOT(ISNUMBER(VALUE(G2380))), "NA",IF(VALUE(G2380)&gt;56,"HIGH",IF(VALUE(G2380)&lt;39,"LOW", "VALUE IN RANGE")))</f>
        <v>VALUE IN RANGE</v>
      </c>
    </row>
    <row r="2381" spans="3:8" x14ac:dyDescent="0.25">
      <c r="C2381" s="13"/>
      <c r="D2381" s="4" t="s">
        <v>1620</v>
      </c>
      <c r="E2381" s="1" t="s">
        <v>23</v>
      </c>
      <c r="F2381" s="5" t="s">
        <v>1176</v>
      </c>
      <c r="G2381" s="3">
        <f t="shared" si="2541"/>
        <v>69.900000000000006</v>
      </c>
      <c r="H2381" s="14" t="str">
        <f t="shared" ref="H2381" si="2551">IF(NOT(ISNUMBER(VALUE(G2381))), "NA",IF(VALUE(G2381)&gt;72,"HIGH",IF(VALUE(G2381)&lt;62,"LOW", "VALUE IN RANGE")))</f>
        <v>VALUE IN RANGE</v>
      </c>
    </row>
    <row r="2382" spans="3:8" x14ac:dyDescent="0.25">
      <c r="C2382" s="13"/>
      <c r="D2382" s="4" t="s">
        <v>1620</v>
      </c>
      <c r="E2382" s="4" t="s">
        <v>25</v>
      </c>
      <c r="F2382" s="3" t="s">
        <v>777</v>
      </c>
      <c r="G2382" s="3">
        <f t="shared" si="2541"/>
        <v>21.8</v>
      </c>
      <c r="H2382" s="14" t="str">
        <f t="shared" ref="H2382" si="2552">IF(NOT(ISNUMBER(VALUE(G2382))), "NA",IF(VALUE(G2382)&gt;25,"HIGH",IF(VALUE(G2382)&lt;20,"LOW", "VALUE IN RANGE")))</f>
        <v>VALUE IN RANGE</v>
      </c>
    </row>
    <row r="2383" spans="3:8" x14ac:dyDescent="0.25">
      <c r="C2383" s="13"/>
      <c r="D2383" s="4" t="s">
        <v>1620</v>
      </c>
      <c r="E2383" s="1" t="s">
        <v>27</v>
      </c>
      <c r="F2383" s="5">
        <v>313</v>
      </c>
      <c r="G2383" s="3">
        <f t="shared" si="2541"/>
        <v>313</v>
      </c>
      <c r="H2383" s="14" t="str">
        <f t="shared" ref="H2383" si="2553">IF(NOT(ISNUMBER(VALUE(G2383))), "NA",IF(VALUE(G2383)&gt;380,"HIGH",IF(VALUE(G2383)&lt;300,"LOW", "VALUE IN RANGE")))</f>
        <v>VALUE IN RANGE</v>
      </c>
    </row>
    <row r="2384" spans="3:8" x14ac:dyDescent="0.25">
      <c r="C2384" s="13"/>
      <c r="D2384" s="4" t="s">
        <v>1620</v>
      </c>
      <c r="E2384" s="4" t="s">
        <v>29</v>
      </c>
      <c r="F2384" s="3" t="s">
        <v>383</v>
      </c>
      <c r="G2384" s="3">
        <f t="shared" si="2541"/>
        <v>12</v>
      </c>
      <c r="H2384" s="14" t="str">
        <f t="shared" ref="H2384" si="2554">IF(NOT(ISNUMBER(VALUE(G2384))), "NA",IF(VALUE(G2384)&gt;15.5,"HIGH",IF(VALUE(G2384)&lt;11,"LOW", "VALUE IN RANGE")))</f>
        <v>VALUE IN RANGE</v>
      </c>
    </row>
    <row r="2385" spans="3:8" x14ac:dyDescent="0.25">
      <c r="C2385" s="13"/>
      <c r="D2385" s="4" t="s">
        <v>1620</v>
      </c>
      <c r="E2385" s="1" t="s">
        <v>31</v>
      </c>
      <c r="F2385" s="5">
        <v>185</v>
      </c>
      <c r="G2385" s="3">
        <f t="shared" si="2541"/>
        <v>185</v>
      </c>
      <c r="H2385" s="14" t="str">
        <f t="shared" ref="H2385" si="2555">IF(NOT(ISNUMBER(VALUE(G2385))), "NA",IF(VALUE(G2385)&gt;460,"HIGH",IF(VALUE(G2385)&lt;117,"LOW", "VALUE IN RANGE")))</f>
        <v>VALUE IN RANGE</v>
      </c>
    </row>
    <row r="2386" spans="3:8" x14ac:dyDescent="0.25">
      <c r="C2386" s="13"/>
      <c r="D2386" s="4" t="s">
        <v>1620</v>
      </c>
      <c r="E2386" s="4" t="s">
        <v>33</v>
      </c>
      <c r="F2386" s="3" t="s">
        <v>515</v>
      </c>
      <c r="G2386" s="3">
        <f t="shared" si="2541"/>
        <v>7.1</v>
      </c>
      <c r="H2386" s="14" t="str">
        <f t="shared" ref="H2386" si="2556">IF(NOT(ISNUMBER(VALUE(G2386))), "NA",IF(VALUE(G2386)&gt;12,"HIGH",IF(VALUE(G2386)&lt;7,"LOW", "VALUE IN RANGE")))</f>
        <v>VALUE IN RANGE</v>
      </c>
    </row>
    <row r="2387" spans="3:8" ht="15" customHeight="1" x14ac:dyDescent="0.25">
      <c r="C2387" s="13" t="str">
        <f t="shared" ref="C2387" si="2557">IF(D2387=D2402,D2401,"falso")</f>
        <v>PATIENT_0150</v>
      </c>
      <c r="D2387" s="4" t="s">
        <v>1621</v>
      </c>
      <c r="E2387" s="1" t="s">
        <v>3</v>
      </c>
      <c r="F2387" s="5" t="s">
        <v>65</v>
      </c>
      <c r="G2387" s="3">
        <f t="shared" si="2541"/>
        <v>5.0999999999999996</v>
      </c>
      <c r="H2387" s="14" t="str">
        <f t="shared" ref="H2387" si="2558">IF(NOT(ISNUMBER(VALUE(G2387))), "NA",IF(VALUE(G2387)&gt;17,"HIGH",IF(VALUE(G2387)&lt;6,"LOW", "VALUE IN RANGE")))</f>
        <v>LOW</v>
      </c>
    </row>
    <row r="2388" spans="3:8" x14ac:dyDescent="0.25">
      <c r="C2388" s="13"/>
      <c r="D2388" s="4" t="s">
        <v>1621</v>
      </c>
      <c r="E2388" s="4" t="s">
        <v>5</v>
      </c>
      <c r="F2388" s="3" t="s">
        <v>1178</v>
      </c>
      <c r="G2388" s="3">
        <f t="shared" si="2541"/>
        <v>23</v>
      </c>
      <c r="H2388" s="14" t="str">
        <f t="shared" ref="H2388" si="2559">IF(NOT(ISNUMBER(VALUE(G2388))), "NA",IF(VALUE(G2388)&gt;30,"HIGH",IF(VALUE(G2388)&lt;12,"LOW", "VALUE IN RANGE")))</f>
        <v>VALUE IN RANGE</v>
      </c>
    </row>
    <row r="2389" spans="3:8" x14ac:dyDescent="0.25">
      <c r="C2389" s="13"/>
      <c r="D2389" s="4" t="s">
        <v>1621</v>
      </c>
      <c r="E2389" s="1" t="s">
        <v>7</v>
      </c>
      <c r="F2389" s="5" t="s">
        <v>77</v>
      </c>
      <c r="G2389" s="3">
        <f t="shared" si="2541"/>
        <v>7.6</v>
      </c>
      <c r="H2389" s="14" t="str">
        <f t="shared" ref="H2389" si="2560">IF(NOT(ISNUMBER(VALUE(G2389))), "NA",IF(VALUE(G2389)&gt;9,"HIGH",IF(VALUE(G2389)&lt;2,"LOW", "VALUE IN RANGE")))</f>
        <v>VALUE IN RANGE</v>
      </c>
    </row>
    <row r="2390" spans="3:8" x14ac:dyDescent="0.25">
      <c r="C2390" s="13"/>
      <c r="D2390" s="4" t="s">
        <v>1621</v>
      </c>
      <c r="E2390" s="4" t="s">
        <v>9</v>
      </c>
      <c r="F2390" s="3" t="s">
        <v>1179</v>
      </c>
      <c r="G2390" s="3">
        <f t="shared" si="2541"/>
        <v>69.400000000000006</v>
      </c>
      <c r="H2390" s="14" t="str">
        <f t="shared" ref="H2390" si="2561">IF(NOT(ISNUMBER(VALUE(G2390))), "NA",IF(VALUE(G2390)&gt;83,"HIGH",IF(VALUE(G2390)&lt;60,"LOW", "VALUE IN RANGE")))</f>
        <v>VALUE IN RANGE</v>
      </c>
    </row>
    <row r="2391" spans="3:8" x14ac:dyDescent="0.25">
      <c r="C2391" s="13"/>
      <c r="D2391" s="4" t="s">
        <v>1621</v>
      </c>
      <c r="E2391" s="1" t="s">
        <v>11</v>
      </c>
      <c r="F2391" s="5">
        <v>1100</v>
      </c>
      <c r="G2391" s="3">
        <f t="shared" si="2541"/>
        <v>1100</v>
      </c>
      <c r="H2391" s="14" t="str">
        <f t="shared" ref="H2391" si="2562">IF(NOT(ISNUMBER(VALUE(G2391))), "NA",IF(VALUE(G2391)&gt;5.1,"HIGH",IF(VALUE(G2391)&lt;0.8,"LOW", "VALUE IN RANGE")))</f>
        <v>HIGH</v>
      </c>
    </row>
    <row r="2392" spans="3:8" x14ac:dyDescent="0.25">
      <c r="C2392" s="13"/>
      <c r="D2392" s="4" t="s">
        <v>1621</v>
      </c>
      <c r="E2392" s="4" t="s">
        <v>13</v>
      </c>
      <c r="F2392" s="3" t="s">
        <v>14</v>
      </c>
      <c r="G2392" s="3">
        <f t="shared" si="2541"/>
        <v>0.3</v>
      </c>
      <c r="H2392" s="14" t="str">
        <f t="shared" ref="H2392" si="2563">IF(NOT(ISNUMBER(VALUE(G2392))), "NA",IF(VALUE(G2392)&gt;1.8,"HIGH",IF(VALUE(G2392)&lt;0,"LOW", "VALUE IN RANGE")))</f>
        <v>VALUE IN RANGE</v>
      </c>
    </row>
    <row r="2393" spans="3:8" x14ac:dyDescent="0.25">
      <c r="C2393" s="13"/>
      <c r="D2393" s="4" t="s">
        <v>1621</v>
      </c>
      <c r="E2393" s="1" t="s">
        <v>15</v>
      </c>
      <c r="F2393" s="5">
        <v>3700</v>
      </c>
      <c r="G2393" s="3">
        <f t="shared" si="2541"/>
        <v>3700</v>
      </c>
      <c r="H2393" s="14" t="str">
        <f t="shared" ref="H2393" si="2564">IF(NOT(ISNUMBER(VALUE(G2393))), "NA",IF(VALUE(G2393)&gt;12.6,"HIGH",IF(VALUE(G2393)&lt;4,"LOW", "VALUE IN RANGE")))</f>
        <v>HIGH</v>
      </c>
    </row>
    <row r="2394" spans="3:8" x14ac:dyDescent="0.25">
      <c r="C2394" s="13"/>
      <c r="D2394" s="4" t="s">
        <v>1621</v>
      </c>
      <c r="E2394" s="4" t="s">
        <v>17</v>
      </c>
      <c r="F2394" s="3" t="s">
        <v>1180</v>
      </c>
      <c r="G2394" s="3">
        <f t="shared" si="2541"/>
        <v>6.43</v>
      </c>
      <c r="H2394" s="14" t="str">
        <f t="shared" ref="H2394" si="2565">IF(NOT(ISNUMBER(VALUE(G2394))), "NA",IF(VALUE(G2394)&gt;8.5,"HIGH",IF(VALUE(G2394)&lt;5.5,"LOW", "VALUE IN RANGE")))</f>
        <v>VALUE IN RANGE</v>
      </c>
    </row>
    <row r="2395" spans="3:8" x14ac:dyDescent="0.25">
      <c r="C2395" s="13"/>
      <c r="D2395" s="4" t="s">
        <v>1621</v>
      </c>
      <c r="E2395" s="1" t="s">
        <v>19</v>
      </c>
      <c r="F2395" s="5">
        <v>138</v>
      </c>
      <c r="G2395" s="3">
        <f t="shared" si="2541"/>
        <v>138</v>
      </c>
      <c r="H2395" s="14" t="str">
        <f t="shared" ref="H2395" si="2566">IF(NOT(ISNUMBER(VALUE(G2395))), "NA",IF(VALUE(G2395)&gt;190,"HIGH",IF(VALUE(G2395)&lt;110,"LOW", "VALUE IN RANGE")))</f>
        <v>VALUE IN RANGE</v>
      </c>
    </row>
    <row r="2396" spans="3:8" x14ac:dyDescent="0.25">
      <c r="C2396" s="13"/>
      <c r="D2396" s="4" t="s">
        <v>1621</v>
      </c>
      <c r="E2396" s="4" t="s">
        <v>21</v>
      </c>
      <c r="F2396" s="3" t="s">
        <v>1153</v>
      </c>
      <c r="G2396" s="3">
        <f t="shared" si="2541"/>
        <v>43.5</v>
      </c>
      <c r="H2396" s="14" t="str">
        <f t="shared" ref="H2396" si="2567">IF(NOT(ISNUMBER(VALUE(G2396))), "NA",IF(VALUE(G2396)&gt;56,"HIGH",IF(VALUE(G2396)&lt;39,"LOW", "VALUE IN RANGE")))</f>
        <v>VALUE IN RANGE</v>
      </c>
    </row>
    <row r="2397" spans="3:8" x14ac:dyDescent="0.25">
      <c r="C2397" s="13"/>
      <c r="D2397" s="4" t="s">
        <v>1621</v>
      </c>
      <c r="E2397" s="1" t="s">
        <v>23</v>
      </c>
      <c r="F2397" s="5" t="s">
        <v>1021</v>
      </c>
      <c r="G2397" s="3">
        <f t="shared" si="2541"/>
        <v>67.7</v>
      </c>
      <c r="H2397" s="14" t="str">
        <f t="shared" ref="H2397" si="2568">IF(NOT(ISNUMBER(VALUE(G2397))), "NA",IF(VALUE(G2397)&gt;72,"HIGH",IF(VALUE(G2397)&lt;62,"LOW", "VALUE IN RANGE")))</f>
        <v>VALUE IN RANGE</v>
      </c>
    </row>
    <row r="2398" spans="3:8" x14ac:dyDescent="0.25">
      <c r="C2398" s="13"/>
      <c r="D2398" s="4" t="s">
        <v>1621</v>
      </c>
      <c r="E2398" s="4" t="s">
        <v>25</v>
      </c>
      <c r="F2398" s="3" t="s">
        <v>944</v>
      </c>
      <c r="G2398" s="3">
        <f t="shared" si="2541"/>
        <v>21.4</v>
      </c>
      <c r="H2398" s="14" t="str">
        <f t="shared" ref="H2398" si="2569">IF(NOT(ISNUMBER(VALUE(G2398))), "NA",IF(VALUE(G2398)&gt;25,"HIGH",IF(VALUE(G2398)&lt;20,"LOW", "VALUE IN RANGE")))</f>
        <v>VALUE IN RANGE</v>
      </c>
    </row>
    <row r="2399" spans="3:8" x14ac:dyDescent="0.25">
      <c r="C2399" s="13"/>
      <c r="D2399" s="4" t="s">
        <v>1621</v>
      </c>
      <c r="E2399" s="1" t="s">
        <v>27</v>
      </c>
      <c r="F2399" s="5">
        <v>317</v>
      </c>
      <c r="G2399" s="3">
        <f t="shared" si="2541"/>
        <v>317</v>
      </c>
      <c r="H2399" s="14" t="str">
        <f t="shared" ref="H2399" si="2570">IF(NOT(ISNUMBER(VALUE(G2399))), "NA",IF(VALUE(G2399)&gt;380,"HIGH",IF(VALUE(G2399)&lt;300,"LOW", "VALUE IN RANGE")))</f>
        <v>VALUE IN RANGE</v>
      </c>
    </row>
    <row r="2400" spans="3:8" x14ac:dyDescent="0.25">
      <c r="C2400" s="13"/>
      <c r="D2400" s="4" t="s">
        <v>1621</v>
      </c>
      <c r="E2400" s="4" t="s">
        <v>29</v>
      </c>
      <c r="F2400" s="3" t="s">
        <v>117</v>
      </c>
      <c r="G2400" s="3">
        <f t="shared" si="2541"/>
        <v>12.4</v>
      </c>
      <c r="H2400" s="14" t="str">
        <f t="shared" ref="H2400" si="2571">IF(NOT(ISNUMBER(VALUE(G2400))), "NA",IF(VALUE(G2400)&gt;15.5,"HIGH",IF(VALUE(G2400)&lt;11,"LOW", "VALUE IN RANGE")))</f>
        <v>VALUE IN RANGE</v>
      </c>
    </row>
    <row r="2401" spans="3:8" x14ac:dyDescent="0.25">
      <c r="C2401" s="13"/>
      <c r="D2401" s="4" t="s">
        <v>1621</v>
      </c>
      <c r="E2401" s="1" t="s">
        <v>31</v>
      </c>
      <c r="F2401" s="5">
        <v>215</v>
      </c>
      <c r="G2401" s="3">
        <f t="shared" si="2541"/>
        <v>215</v>
      </c>
      <c r="H2401" s="14" t="str">
        <f t="shared" ref="H2401" si="2572">IF(NOT(ISNUMBER(VALUE(G2401))), "NA",IF(VALUE(G2401)&gt;460,"HIGH",IF(VALUE(G2401)&lt;117,"LOW", "VALUE IN RANGE")))</f>
        <v>VALUE IN RANGE</v>
      </c>
    </row>
    <row r="2402" spans="3:8" ht="15.75" thickBot="1" x14ac:dyDescent="0.3">
      <c r="C2402" s="15"/>
      <c r="D2402" s="9" t="s">
        <v>1621</v>
      </c>
      <c r="E2402" s="9" t="s">
        <v>33</v>
      </c>
      <c r="F2402" s="10" t="s">
        <v>176</v>
      </c>
      <c r="G2402" s="10">
        <f t="shared" si="2541"/>
        <v>8.5</v>
      </c>
      <c r="H2402" s="16" t="str">
        <f t="shared" ref="H2402" si="2573">IF(NOT(ISNUMBER(VALUE(G2402))), "NA",IF(VALUE(G2402)&gt;12,"HIGH",IF(VALUE(G2402)&lt;7,"LOW", "VALUE IN RANGE")))</f>
        <v>VALUE IN RANGE</v>
      </c>
    </row>
    <row r="2403" spans="3:8" x14ac:dyDescent="0.25">
      <c r="G2403" t="s">
        <v>1315</v>
      </c>
    </row>
  </sheetData>
  <mergeCells count="150">
    <mergeCell ref="C2307:C2322"/>
    <mergeCell ref="C2323:C2338"/>
    <mergeCell ref="C2339:C2354"/>
    <mergeCell ref="C2355:C2370"/>
    <mergeCell ref="C2371:C2386"/>
    <mergeCell ref="C2387:C2402"/>
    <mergeCell ref="C2163:C2178"/>
    <mergeCell ref="C2179:C2194"/>
    <mergeCell ref="C2195:C2210"/>
    <mergeCell ref="C2211:C2226"/>
    <mergeCell ref="C2227:C2242"/>
    <mergeCell ref="C2243:C2258"/>
    <mergeCell ref="C2259:C2274"/>
    <mergeCell ref="C2275:C2290"/>
    <mergeCell ref="C2291:C2306"/>
    <mergeCell ref="C2019:C2034"/>
    <mergeCell ref="C2035:C2050"/>
    <mergeCell ref="C2051:C2066"/>
    <mergeCell ref="C2067:C2082"/>
    <mergeCell ref="C2083:C2098"/>
    <mergeCell ref="C2099:C2114"/>
    <mergeCell ref="C2115:C2130"/>
    <mergeCell ref="C2131:C2146"/>
    <mergeCell ref="C2147:C2162"/>
    <mergeCell ref="C1875:C1890"/>
    <mergeCell ref="C1891:C1906"/>
    <mergeCell ref="C1907:C1922"/>
    <mergeCell ref="C1923:C1938"/>
    <mergeCell ref="C1939:C1954"/>
    <mergeCell ref="C1955:C1970"/>
    <mergeCell ref="C1971:C1986"/>
    <mergeCell ref="C1987:C2002"/>
    <mergeCell ref="C2003:C2018"/>
    <mergeCell ref="C1731:C1746"/>
    <mergeCell ref="C1747:C1762"/>
    <mergeCell ref="C1763:C1778"/>
    <mergeCell ref="C1779:C1794"/>
    <mergeCell ref="C1795:C1810"/>
    <mergeCell ref="C1811:C1826"/>
    <mergeCell ref="C1827:C1842"/>
    <mergeCell ref="C1843:C1858"/>
    <mergeCell ref="C1859:C1874"/>
    <mergeCell ref="C1587:C1602"/>
    <mergeCell ref="C1603:C1618"/>
    <mergeCell ref="C1619:C1634"/>
    <mergeCell ref="C1635:C1650"/>
    <mergeCell ref="C1651:C1666"/>
    <mergeCell ref="C1667:C1682"/>
    <mergeCell ref="C1683:C1698"/>
    <mergeCell ref="C1699:C1714"/>
    <mergeCell ref="C1715:C1730"/>
    <mergeCell ref="C1443:C1458"/>
    <mergeCell ref="C1459:C1474"/>
    <mergeCell ref="C1475:C1490"/>
    <mergeCell ref="C1491:C1506"/>
    <mergeCell ref="C1507:C1522"/>
    <mergeCell ref="C1523:C1538"/>
    <mergeCell ref="C1539:C1554"/>
    <mergeCell ref="C1555:C1570"/>
    <mergeCell ref="C1571:C1586"/>
    <mergeCell ref="C1299:C1314"/>
    <mergeCell ref="C1315:C1330"/>
    <mergeCell ref="C1331:C1346"/>
    <mergeCell ref="C1347:C1362"/>
    <mergeCell ref="C1363:C1378"/>
    <mergeCell ref="C1379:C1394"/>
    <mergeCell ref="C1395:C1410"/>
    <mergeCell ref="C1411:C1426"/>
    <mergeCell ref="C1427:C1442"/>
    <mergeCell ref="C1155:C1170"/>
    <mergeCell ref="C1171:C1186"/>
    <mergeCell ref="C1187:C1202"/>
    <mergeCell ref="C1203:C1218"/>
    <mergeCell ref="C1219:C1234"/>
    <mergeCell ref="C1235:C1250"/>
    <mergeCell ref="C1251:C1266"/>
    <mergeCell ref="C1267:C1282"/>
    <mergeCell ref="C1283:C1298"/>
    <mergeCell ref="C1011:C1026"/>
    <mergeCell ref="C1027:C1042"/>
    <mergeCell ref="C1043:C1058"/>
    <mergeCell ref="C1059:C1074"/>
    <mergeCell ref="C1075:C1090"/>
    <mergeCell ref="C1091:C1106"/>
    <mergeCell ref="C1107:C1122"/>
    <mergeCell ref="C1123:C1138"/>
    <mergeCell ref="C1139:C1154"/>
    <mergeCell ref="C867:C882"/>
    <mergeCell ref="C883:C898"/>
    <mergeCell ref="C899:C914"/>
    <mergeCell ref="C915:C930"/>
    <mergeCell ref="C931:C946"/>
    <mergeCell ref="C947:C962"/>
    <mergeCell ref="C963:C978"/>
    <mergeCell ref="C979:C994"/>
    <mergeCell ref="C995:C1010"/>
    <mergeCell ref="C723:C738"/>
    <mergeCell ref="C739:C754"/>
    <mergeCell ref="C755:C770"/>
    <mergeCell ref="C771:C786"/>
    <mergeCell ref="C787:C802"/>
    <mergeCell ref="C803:C818"/>
    <mergeCell ref="C819:C834"/>
    <mergeCell ref="C835:C850"/>
    <mergeCell ref="C851:C866"/>
    <mergeCell ref="C579:C594"/>
    <mergeCell ref="C595:C610"/>
    <mergeCell ref="C611:C626"/>
    <mergeCell ref="C627:C642"/>
    <mergeCell ref="C643:C658"/>
    <mergeCell ref="C659:C674"/>
    <mergeCell ref="C675:C690"/>
    <mergeCell ref="C691:C706"/>
    <mergeCell ref="C707:C722"/>
    <mergeCell ref="C435:C450"/>
    <mergeCell ref="C451:C466"/>
    <mergeCell ref="C467:C482"/>
    <mergeCell ref="C483:C498"/>
    <mergeCell ref="C499:C514"/>
    <mergeCell ref="C515:C530"/>
    <mergeCell ref="C531:C546"/>
    <mergeCell ref="C547:C562"/>
    <mergeCell ref="C563:C578"/>
    <mergeCell ref="C291:C306"/>
    <mergeCell ref="C307:C322"/>
    <mergeCell ref="C323:C338"/>
    <mergeCell ref="C339:C354"/>
    <mergeCell ref="C355:C370"/>
    <mergeCell ref="C371:C386"/>
    <mergeCell ref="C387:C402"/>
    <mergeCell ref="C403:C418"/>
    <mergeCell ref="C419:C434"/>
    <mergeCell ref="C147:C162"/>
    <mergeCell ref="C163:C178"/>
    <mergeCell ref="C179:C194"/>
    <mergeCell ref="C195:C210"/>
    <mergeCell ref="C211:C226"/>
    <mergeCell ref="C227:C242"/>
    <mergeCell ref="C243:C258"/>
    <mergeCell ref="C259:C274"/>
    <mergeCell ref="C275:C290"/>
    <mergeCell ref="C3:C18"/>
    <mergeCell ref="C19:C34"/>
    <mergeCell ref="C35:C50"/>
    <mergeCell ref="C51:C66"/>
    <mergeCell ref="C67:C82"/>
    <mergeCell ref="C83:C98"/>
    <mergeCell ref="C99:C114"/>
    <mergeCell ref="C115:C130"/>
    <mergeCell ref="C131:C146"/>
  </mergeCells>
  <phoneticPr fontId="3" type="noConversion"/>
  <conditionalFormatting sqref="H3:H2402">
    <cfRule type="cellIs" dxfId="2" priority="1" operator="equal">
      <formula>"NA"</formula>
    </cfRule>
    <cfRule type="cellIs" dxfId="1" priority="2" operator="notEqual">
      <formula>"VALUE IN RANGE"</formula>
    </cfRule>
    <cfRule type="cellIs" dxfId="0" priority="3" operator="equal">
      <formula>"VALUE IN RANGE"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F886F8-B4DE-40E6-923D-C912F60B211C}">
  <dimension ref="B1:D124"/>
  <sheetViews>
    <sheetView workbookViewId="0">
      <selection activeCell="D12" sqref="D12"/>
    </sheetView>
  </sheetViews>
  <sheetFormatPr baseColWidth="10" defaultRowHeight="15" x14ac:dyDescent="0.25"/>
  <cols>
    <col min="2" max="2" width="19" customWidth="1"/>
    <col min="3" max="3" width="15.28515625" customWidth="1"/>
    <col min="4" max="4" width="15.5703125" customWidth="1"/>
  </cols>
  <sheetData>
    <row r="1" spans="2:4" x14ac:dyDescent="0.25">
      <c r="B1" t="e" cm="1">
        <f t="array" ref="B1">_xlfn.UNIQUE('Raw Data hematograma'!#REF!)</f>
        <v>#REF!</v>
      </c>
      <c r="C1" t="str">
        <f>"PATIENT_"&amp;TEXT(ROW(A1),"000")</f>
        <v>PATIENT_001</v>
      </c>
      <c r="D1" t="s">
        <v>1348</v>
      </c>
    </row>
    <row r="2" spans="2:4" x14ac:dyDescent="0.25">
      <c r="C2" t="str">
        <f t="shared" ref="C2:D65" si="0">"PATIENT_"&amp;TEXT(ROW(A2),"000")</f>
        <v>PATIENT_002</v>
      </c>
      <c r="D2" t="s">
        <v>1349</v>
      </c>
    </row>
    <row r="3" spans="2:4" x14ac:dyDescent="0.25">
      <c r="C3" t="str">
        <f t="shared" si="0"/>
        <v>PATIENT_003</v>
      </c>
      <c r="D3" t="s">
        <v>1350</v>
      </c>
    </row>
    <row r="4" spans="2:4" x14ac:dyDescent="0.25">
      <c r="C4" t="str">
        <f t="shared" si="0"/>
        <v>PATIENT_004</v>
      </c>
      <c r="D4" t="s">
        <v>1351</v>
      </c>
    </row>
    <row r="5" spans="2:4" x14ac:dyDescent="0.25">
      <c r="C5" t="str">
        <f t="shared" si="0"/>
        <v>PATIENT_005</v>
      </c>
      <c r="D5" t="s">
        <v>1352</v>
      </c>
    </row>
    <row r="6" spans="2:4" x14ac:dyDescent="0.25">
      <c r="C6" t="str">
        <f t="shared" si="0"/>
        <v>PATIENT_006</v>
      </c>
      <c r="D6" t="s">
        <v>1353</v>
      </c>
    </row>
    <row r="7" spans="2:4" x14ac:dyDescent="0.25">
      <c r="C7" t="str">
        <f t="shared" si="0"/>
        <v>PATIENT_007</v>
      </c>
      <c r="D7" t="s">
        <v>1354</v>
      </c>
    </row>
    <row r="8" spans="2:4" x14ac:dyDescent="0.25">
      <c r="C8" t="str">
        <f t="shared" si="0"/>
        <v>PATIENT_008</v>
      </c>
      <c r="D8" t="s">
        <v>1355</v>
      </c>
    </row>
    <row r="9" spans="2:4" x14ac:dyDescent="0.25">
      <c r="C9" t="str">
        <f t="shared" si="0"/>
        <v>PATIENT_009</v>
      </c>
      <c r="D9" t="s">
        <v>1356</v>
      </c>
    </row>
    <row r="10" spans="2:4" x14ac:dyDescent="0.25">
      <c r="C10" t="str">
        <f t="shared" si="0"/>
        <v>PATIENT_010</v>
      </c>
      <c r="D10" t="s">
        <v>1357</v>
      </c>
    </row>
    <row r="11" spans="2:4" x14ac:dyDescent="0.25">
      <c r="C11" t="str">
        <f t="shared" si="0"/>
        <v>PATIENT_011</v>
      </c>
      <c r="D11" t="s">
        <v>1358</v>
      </c>
    </row>
    <row r="12" spans="2:4" x14ac:dyDescent="0.25">
      <c r="C12" t="str">
        <f t="shared" si="0"/>
        <v>PATIENT_012</v>
      </c>
      <c r="D12" t="s">
        <v>1359</v>
      </c>
    </row>
    <row r="13" spans="2:4" x14ac:dyDescent="0.25">
      <c r="C13" t="str">
        <f t="shared" si="0"/>
        <v>PATIENT_013</v>
      </c>
      <c r="D13" t="s">
        <v>1360</v>
      </c>
    </row>
    <row r="14" spans="2:4" x14ac:dyDescent="0.25">
      <c r="C14" t="str">
        <f t="shared" si="0"/>
        <v>PATIENT_014</v>
      </c>
      <c r="D14" t="s">
        <v>1361</v>
      </c>
    </row>
    <row r="15" spans="2:4" x14ac:dyDescent="0.25">
      <c r="C15" t="str">
        <f t="shared" si="0"/>
        <v>PATIENT_015</v>
      </c>
      <c r="D15" t="s">
        <v>1362</v>
      </c>
    </row>
    <row r="16" spans="2:4" x14ac:dyDescent="0.25">
      <c r="C16" t="str">
        <f t="shared" si="0"/>
        <v>PATIENT_016</v>
      </c>
      <c r="D16" t="s">
        <v>1363</v>
      </c>
    </row>
    <row r="17" spans="3:4" x14ac:dyDescent="0.25">
      <c r="C17" t="str">
        <f t="shared" si="0"/>
        <v>PATIENT_017</v>
      </c>
      <c r="D17" t="s">
        <v>1364</v>
      </c>
    </row>
    <row r="18" spans="3:4" x14ac:dyDescent="0.25">
      <c r="C18" t="str">
        <f t="shared" si="0"/>
        <v>PATIENT_018</v>
      </c>
      <c r="D18" t="s">
        <v>1365</v>
      </c>
    </row>
    <row r="19" spans="3:4" x14ac:dyDescent="0.25">
      <c r="C19" t="str">
        <f t="shared" si="0"/>
        <v>PATIENT_019</v>
      </c>
      <c r="D19" t="s">
        <v>1366</v>
      </c>
    </row>
    <row r="20" spans="3:4" x14ac:dyDescent="0.25">
      <c r="C20" t="str">
        <f t="shared" si="0"/>
        <v>PATIENT_020</v>
      </c>
      <c r="D20" t="s">
        <v>1367</v>
      </c>
    </row>
    <row r="21" spans="3:4" x14ac:dyDescent="0.25">
      <c r="C21" t="str">
        <f t="shared" si="0"/>
        <v>PATIENT_021</v>
      </c>
      <c r="D21" t="s">
        <v>1368</v>
      </c>
    </row>
    <row r="22" spans="3:4" x14ac:dyDescent="0.25">
      <c r="C22" t="str">
        <f t="shared" si="0"/>
        <v>PATIENT_022</v>
      </c>
      <c r="D22" t="s">
        <v>1369</v>
      </c>
    </row>
    <row r="23" spans="3:4" x14ac:dyDescent="0.25">
      <c r="C23" t="str">
        <f t="shared" si="0"/>
        <v>PATIENT_023</v>
      </c>
      <c r="D23" t="s">
        <v>1370</v>
      </c>
    </row>
    <row r="24" spans="3:4" x14ac:dyDescent="0.25">
      <c r="C24" t="str">
        <f t="shared" si="0"/>
        <v>PATIENT_024</v>
      </c>
      <c r="D24" t="s">
        <v>1371</v>
      </c>
    </row>
    <row r="25" spans="3:4" x14ac:dyDescent="0.25">
      <c r="C25" t="str">
        <f t="shared" si="0"/>
        <v>PATIENT_025</v>
      </c>
      <c r="D25" t="s">
        <v>1372</v>
      </c>
    </row>
    <row r="26" spans="3:4" x14ac:dyDescent="0.25">
      <c r="C26" t="str">
        <f t="shared" si="0"/>
        <v>PATIENT_026</v>
      </c>
      <c r="D26" t="s">
        <v>1373</v>
      </c>
    </row>
    <row r="27" spans="3:4" x14ac:dyDescent="0.25">
      <c r="C27" t="str">
        <f t="shared" si="0"/>
        <v>PATIENT_027</v>
      </c>
      <c r="D27" t="s">
        <v>1374</v>
      </c>
    </row>
    <row r="28" spans="3:4" x14ac:dyDescent="0.25">
      <c r="C28" t="str">
        <f t="shared" si="0"/>
        <v>PATIENT_028</v>
      </c>
      <c r="D28" t="s">
        <v>1375</v>
      </c>
    </row>
    <row r="29" spans="3:4" x14ac:dyDescent="0.25">
      <c r="C29" t="str">
        <f t="shared" si="0"/>
        <v>PATIENT_029</v>
      </c>
      <c r="D29" t="s">
        <v>1376</v>
      </c>
    </row>
    <row r="30" spans="3:4" x14ac:dyDescent="0.25">
      <c r="C30" t="str">
        <f t="shared" si="0"/>
        <v>PATIENT_030</v>
      </c>
      <c r="D30" t="s">
        <v>1377</v>
      </c>
    </row>
    <row r="31" spans="3:4" x14ac:dyDescent="0.25">
      <c r="C31" t="str">
        <f t="shared" si="0"/>
        <v>PATIENT_031</v>
      </c>
      <c r="D31" t="s">
        <v>1378</v>
      </c>
    </row>
    <row r="32" spans="3:4" x14ac:dyDescent="0.25">
      <c r="C32" t="str">
        <f t="shared" si="0"/>
        <v>PATIENT_032</v>
      </c>
      <c r="D32" t="s">
        <v>1379</v>
      </c>
    </row>
    <row r="33" spans="3:4" x14ac:dyDescent="0.25">
      <c r="C33" t="str">
        <f t="shared" si="0"/>
        <v>PATIENT_033</v>
      </c>
      <c r="D33" t="s">
        <v>1380</v>
      </c>
    </row>
    <row r="34" spans="3:4" x14ac:dyDescent="0.25">
      <c r="C34" t="str">
        <f t="shared" si="0"/>
        <v>PATIENT_034</v>
      </c>
      <c r="D34" t="s">
        <v>1381</v>
      </c>
    </row>
    <row r="35" spans="3:4" x14ac:dyDescent="0.25">
      <c r="C35" t="str">
        <f t="shared" si="0"/>
        <v>PATIENT_035</v>
      </c>
      <c r="D35" t="s">
        <v>1382</v>
      </c>
    </row>
    <row r="36" spans="3:4" x14ac:dyDescent="0.25">
      <c r="C36" t="str">
        <f t="shared" si="0"/>
        <v>PATIENT_036</v>
      </c>
      <c r="D36" t="s">
        <v>1383</v>
      </c>
    </row>
    <row r="37" spans="3:4" x14ac:dyDescent="0.25">
      <c r="C37" t="str">
        <f t="shared" si="0"/>
        <v>PATIENT_037</v>
      </c>
      <c r="D37" t="s">
        <v>1384</v>
      </c>
    </row>
    <row r="38" spans="3:4" x14ac:dyDescent="0.25">
      <c r="C38" t="str">
        <f t="shared" si="0"/>
        <v>PATIENT_038</v>
      </c>
      <c r="D38" t="s">
        <v>1385</v>
      </c>
    </row>
    <row r="39" spans="3:4" x14ac:dyDescent="0.25">
      <c r="C39" t="str">
        <f t="shared" si="0"/>
        <v>PATIENT_039</v>
      </c>
      <c r="D39" t="s">
        <v>1386</v>
      </c>
    </row>
    <row r="40" spans="3:4" x14ac:dyDescent="0.25">
      <c r="C40" t="str">
        <f t="shared" si="0"/>
        <v>PATIENT_040</v>
      </c>
      <c r="D40" t="s">
        <v>1387</v>
      </c>
    </row>
    <row r="41" spans="3:4" x14ac:dyDescent="0.25">
      <c r="C41" t="str">
        <f t="shared" si="0"/>
        <v>PATIENT_041</v>
      </c>
      <c r="D41" t="s">
        <v>1388</v>
      </c>
    </row>
    <row r="42" spans="3:4" x14ac:dyDescent="0.25">
      <c r="C42" t="str">
        <f t="shared" si="0"/>
        <v>PATIENT_042</v>
      </c>
      <c r="D42" t="s">
        <v>1389</v>
      </c>
    </row>
    <row r="43" spans="3:4" x14ac:dyDescent="0.25">
      <c r="C43" t="str">
        <f t="shared" si="0"/>
        <v>PATIENT_043</v>
      </c>
      <c r="D43" t="s">
        <v>1390</v>
      </c>
    </row>
    <row r="44" spans="3:4" x14ac:dyDescent="0.25">
      <c r="C44" t="str">
        <f t="shared" si="0"/>
        <v>PATIENT_044</v>
      </c>
      <c r="D44" t="s">
        <v>1391</v>
      </c>
    </row>
    <row r="45" spans="3:4" x14ac:dyDescent="0.25">
      <c r="C45" t="str">
        <f t="shared" si="0"/>
        <v>PATIENT_045</v>
      </c>
      <c r="D45" t="s">
        <v>1392</v>
      </c>
    </row>
    <row r="46" spans="3:4" x14ac:dyDescent="0.25">
      <c r="C46" t="str">
        <f t="shared" si="0"/>
        <v>PATIENT_046</v>
      </c>
      <c r="D46" t="s">
        <v>1393</v>
      </c>
    </row>
    <row r="47" spans="3:4" x14ac:dyDescent="0.25">
      <c r="C47" t="str">
        <f t="shared" si="0"/>
        <v>PATIENT_047</v>
      </c>
      <c r="D47" t="s">
        <v>1394</v>
      </c>
    </row>
    <row r="48" spans="3:4" x14ac:dyDescent="0.25">
      <c r="C48" t="str">
        <f t="shared" si="0"/>
        <v>PATIENT_048</v>
      </c>
      <c r="D48" t="s">
        <v>1395</v>
      </c>
    </row>
    <row r="49" spans="3:4" x14ac:dyDescent="0.25">
      <c r="C49" t="str">
        <f t="shared" si="0"/>
        <v>PATIENT_049</v>
      </c>
      <c r="D49" t="s">
        <v>1396</v>
      </c>
    </row>
    <row r="50" spans="3:4" x14ac:dyDescent="0.25">
      <c r="C50" t="str">
        <f t="shared" si="0"/>
        <v>PATIENT_050</v>
      </c>
      <c r="D50" t="s">
        <v>1397</v>
      </c>
    </row>
    <row r="51" spans="3:4" x14ac:dyDescent="0.25">
      <c r="C51" t="str">
        <f t="shared" si="0"/>
        <v>PATIENT_051</v>
      </c>
      <c r="D51" t="s">
        <v>1398</v>
      </c>
    </row>
    <row r="52" spans="3:4" x14ac:dyDescent="0.25">
      <c r="C52" t="str">
        <f t="shared" si="0"/>
        <v>PATIENT_052</v>
      </c>
      <c r="D52" t="s">
        <v>1399</v>
      </c>
    </row>
    <row r="53" spans="3:4" x14ac:dyDescent="0.25">
      <c r="C53" t="str">
        <f t="shared" si="0"/>
        <v>PATIENT_053</v>
      </c>
      <c r="D53" t="s">
        <v>1400</v>
      </c>
    </row>
    <row r="54" spans="3:4" x14ac:dyDescent="0.25">
      <c r="C54" t="str">
        <f t="shared" si="0"/>
        <v>PATIENT_054</v>
      </c>
      <c r="D54" t="s">
        <v>1401</v>
      </c>
    </row>
    <row r="55" spans="3:4" x14ac:dyDescent="0.25">
      <c r="C55" t="str">
        <f t="shared" si="0"/>
        <v>PATIENT_055</v>
      </c>
      <c r="D55" t="s">
        <v>1402</v>
      </c>
    </row>
    <row r="56" spans="3:4" x14ac:dyDescent="0.25">
      <c r="C56" t="str">
        <f t="shared" si="0"/>
        <v>PATIENT_056</v>
      </c>
      <c r="D56" t="s">
        <v>1403</v>
      </c>
    </row>
    <row r="57" spans="3:4" x14ac:dyDescent="0.25">
      <c r="C57" t="str">
        <f t="shared" si="0"/>
        <v>PATIENT_057</v>
      </c>
      <c r="D57" t="s">
        <v>1404</v>
      </c>
    </row>
    <row r="58" spans="3:4" x14ac:dyDescent="0.25">
      <c r="C58" t="str">
        <f t="shared" si="0"/>
        <v>PATIENT_058</v>
      </c>
      <c r="D58" t="s">
        <v>1405</v>
      </c>
    </row>
    <row r="59" spans="3:4" x14ac:dyDescent="0.25">
      <c r="C59" t="str">
        <f t="shared" si="0"/>
        <v>PATIENT_059</v>
      </c>
      <c r="D59" t="s">
        <v>1406</v>
      </c>
    </row>
    <row r="60" spans="3:4" x14ac:dyDescent="0.25">
      <c r="C60" t="str">
        <f t="shared" si="0"/>
        <v>PATIENT_060</v>
      </c>
      <c r="D60" t="s">
        <v>1407</v>
      </c>
    </row>
    <row r="61" spans="3:4" x14ac:dyDescent="0.25">
      <c r="C61" t="str">
        <f t="shared" si="0"/>
        <v>PATIENT_061</v>
      </c>
      <c r="D61" t="s">
        <v>1408</v>
      </c>
    </row>
    <row r="62" spans="3:4" x14ac:dyDescent="0.25">
      <c r="C62" t="str">
        <f t="shared" si="0"/>
        <v>PATIENT_062</v>
      </c>
      <c r="D62" t="s">
        <v>1409</v>
      </c>
    </row>
    <row r="63" spans="3:4" x14ac:dyDescent="0.25">
      <c r="C63" t="str">
        <f t="shared" si="0"/>
        <v>PATIENT_063</v>
      </c>
      <c r="D63" t="s">
        <v>1410</v>
      </c>
    </row>
    <row r="64" spans="3:4" x14ac:dyDescent="0.25">
      <c r="C64" t="str">
        <f t="shared" si="0"/>
        <v>PATIENT_064</v>
      </c>
      <c r="D64" t="s">
        <v>1411</v>
      </c>
    </row>
    <row r="65" spans="3:4" x14ac:dyDescent="0.25">
      <c r="C65" t="str">
        <f t="shared" si="0"/>
        <v>PATIENT_065</v>
      </c>
      <c r="D65" t="s">
        <v>1412</v>
      </c>
    </row>
    <row r="66" spans="3:4" x14ac:dyDescent="0.25">
      <c r="C66" t="str">
        <f t="shared" ref="C66:D124" si="1">"PATIENT_"&amp;TEXT(ROW(A66),"000")</f>
        <v>PATIENT_066</v>
      </c>
      <c r="D66" t="s">
        <v>1413</v>
      </c>
    </row>
    <row r="67" spans="3:4" x14ac:dyDescent="0.25">
      <c r="C67" t="str">
        <f t="shared" si="1"/>
        <v>PATIENT_067</v>
      </c>
      <c r="D67" t="s">
        <v>1414</v>
      </c>
    </row>
    <row r="68" spans="3:4" x14ac:dyDescent="0.25">
      <c r="C68" t="str">
        <f t="shared" si="1"/>
        <v>PATIENT_068</v>
      </c>
      <c r="D68" t="s">
        <v>1415</v>
      </c>
    </row>
    <row r="69" spans="3:4" x14ac:dyDescent="0.25">
      <c r="C69" t="str">
        <f t="shared" si="1"/>
        <v>PATIENT_069</v>
      </c>
      <c r="D69" t="s">
        <v>1416</v>
      </c>
    </row>
    <row r="70" spans="3:4" x14ac:dyDescent="0.25">
      <c r="C70" t="str">
        <f t="shared" si="1"/>
        <v>PATIENT_070</v>
      </c>
      <c r="D70" t="s">
        <v>1417</v>
      </c>
    </row>
    <row r="71" spans="3:4" x14ac:dyDescent="0.25">
      <c r="C71" t="str">
        <f t="shared" si="1"/>
        <v>PATIENT_071</v>
      </c>
      <c r="D71" t="s">
        <v>1418</v>
      </c>
    </row>
    <row r="72" spans="3:4" x14ac:dyDescent="0.25">
      <c r="C72" t="str">
        <f t="shared" si="1"/>
        <v>PATIENT_072</v>
      </c>
      <c r="D72" t="s">
        <v>1419</v>
      </c>
    </row>
    <row r="73" spans="3:4" x14ac:dyDescent="0.25">
      <c r="C73" t="str">
        <f t="shared" si="1"/>
        <v>PATIENT_073</v>
      </c>
      <c r="D73" t="s">
        <v>1420</v>
      </c>
    </row>
    <row r="74" spans="3:4" x14ac:dyDescent="0.25">
      <c r="C74" t="str">
        <f t="shared" si="1"/>
        <v>PATIENT_074</v>
      </c>
      <c r="D74" t="s">
        <v>1421</v>
      </c>
    </row>
    <row r="75" spans="3:4" x14ac:dyDescent="0.25">
      <c r="C75" t="str">
        <f t="shared" si="1"/>
        <v>PATIENT_075</v>
      </c>
      <c r="D75" t="s">
        <v>1422</v>
      </c>
    </row>
    <row r="76" spans="3:4" x14ac:dyDescent="0.25">
      <c r="C76" t="str">
        <f t="shared" si="1"/>
        <v>PATIENT_076</v>
      </c>
      <c r="D76" t="s">
        <v>1423</v>
      </c>
    </row>
    <row r="77" spans="3:4" x14ac:dyDescent="0.25">
      <c r="C77" t="str">
        <f t="shared" si="1"/>
        <v>PATIENT_077</v>
      </c>
      <c r="D77" t="s">
        <v>1424</v>
      </c>
    </row>
    <row r="78" spans="3:4" x14ac:dyDescent="0.25">
      <c r="C78" t="str">
        <f t="shared" si="1"/>
        <v>PATIENT_078</v>
      </c>
      <c r="D78" t="s">
        <v>1425</v>
      </c>
    </row>
    <row r="79" spans="3:4" x14ac:dyDescent="0.25">
      <c r="C79" t="str">
        <f t="shared" si="1"/>
        <v>PATIENT_079</v>
      </c>
      <c r="D79" t="s">
        <v>1426</v>
      </c>
    </row>
    <row r="80" spans="3:4" x14ac:dyDescent="0.25">
      <c r="C80" t="str">
        <f t="shared" si="1"/>
        <v>PATIENT_080</v>
      </c>
      <c r="D80" t="s">
        <v>1427</v>
      </c>
    </row>
    <row r="81" spans="3:4" x14ac:dyDescent="0.25">
      <c r="C81" t="str">
        <f t="shared" si="1"/>
        <v>PATIENT_081</v>
      </c>
      <c r="D81" t="s">
        <v>1428</v>
      </c>
    </row>
    <row r="82" spans="3:4" x14ac:dyDescent="0.25">
      <c r="C82" t="str">
        <f t="shared" si="1"/>
        <v>PATIENT_082</v>
      </c>
      <c r="D82" t="s">
        <v>1429</v>
      </c>
    </row>
    <row r="83" spans="3:4" x14ac:dyDescent="0.25">
      <c r="C83" t="str">
        <f t="shared" si="1"/>
        <v>PATIENT_083</v>
      </c>
      <c r="D83" t="s">
        <v>1430</v>
      </c>
    </row>
    <row r="84" spans="3:4" x14ac:dyDescent="0.25">
      <c r="C84" t="str">
        <f t="shared" si="1"/>
        <v>PATIENT_084</v>
      </c>
      <c r="D84" t="s">
        <v>1431</v>
      </c>
    </row>
    <row r="85" spans="3:4" x14ac:dyDescent="0.25">
      <c r="C85" t="str">
        <f t="shared" si="1"/>
        <v>PATIENT_085</v>
      </c>
      <c r="D85" t="s">
        <v>1432</v>
      </c>
    </row>
    <row r="86" spans="3:4" x14ac:dyDescent="0.25">
      <c r="C86" t="str">
        <f t="shared" si="1"/>
        <v>PATIENT_086</v>
      </c>
      <c r="D86" t="s">
        <v>1433</v>
      </c>
    </row>
    <row r="87" spans="3:4" x14ac:dyDescent="0.25">
      <c r="C87" t="str">
        <f t="shared" si="1"/>
        <v>PATIENT_087</v>
      </c>
      <c r="D87" t="s">
        <v>1434</v>
      </c>
    </row>
    <row r="88" spans="3:4" x14ac:dyDescent="0.25">
      <c r="C88" t="str">
        <f t="shared" si="1"/>
        <v>PATIENT_088</v>
      </c>
      <c r="D88" t="s">
        <v>1435</v>
      </c>
    </row>
    <row r="89" spans="3:4" x14ac:dyDescent="0.25">
      <c r="C89" t="str">
        <f t="shared" si="1"/>
        <v>PATIENT_089</v>
      </c>
      <c r="D89" t="s">
        <v>1436</v>
      </c>
    </row>
    <row r="90" spans="3:4" x14ac:dyDescent="0.25">
      <c r="C90" t="str">
        <f t="shared" si="1"/>
        <v>PATIENT_090</v>
      </c>
      <c r="D90" t="s">
        <v>1437</v>
      </c>
    </row>
    <row r="91" spans="3:4" x14ac:dyDescent="0.25">
      <c r="C91" t="str">
        <f t="shared" si="1"/>
        <v>PATIENT_091</v>
      </c>
      <c r="D91" t="s">
        <v>1438</v>
      </c>
    </row>
    <row r="92" spans="3:4" x14ac:dyDescent="0.25">
      <c r="C92" t="str">
        <f t="shared" si="1"/>
        <v>PATIENT_092</v>
      </c>
      <c r="D92" t="s">
        <v>1439</v>
      </c>
    </row>
    <row r="93" spans="3:4" x14ac:dyDescent="0.25">
      <c r="C93" t="str">
        <f t="shared" si="1"/>
        <v>PATIENT_093</v>
      </c>
      <c r="D93" t="s">
        <v>1440</v>
      </c>
    </row>
    <row r="94" spans="3:4" x14ac:dyDescent="0.25">
      <c r="C94" t="str">
        <f t="shared" si="1"/>
        <v>PATIENT_094</v>
      </c>
      <c r="D94" t="s">
        <v>1441</v>
      </c>
    </row>
    <row r="95" spans="3:4" x14ac:dyDescent="0.25">
      <c r="C95" t="str">
        <f t="shared" si="1"/>
        <v>PATIENT_095</v>
      </c>
      <c r="D95" t="s">
        <v>1442</v>
      </c>
    </row>
    <row r="96" spans="3:4" x14ac:dyDescent="0.25">
      <c r="C96" t="str">
        <f t="shared" si="1"/>
        <v>PATIENT_096</v>
      </c>
      <c r="D96" t="s">
        <v>1443</v>
      </c>
    </row>
    <row r="97" spans="3:4" x14ac:dyDescent="0.25">
      <c r="C97" t="str">
        <f t="shared" si="1"/>
        <v>PATIENT_097</v>
      </c>
      <c r="D97" t="s">
        <v>1444</v>
      </c>
    </row>
    <row r="98" spans="3:4" x14ac:dyDescent="0.25">
      <c r="C98" t="str">
        <f t="shared" si="1"/>
        <v>PATIENT_098</v>
      </c>
      <c r="D98" t="s">
        <v>1445</v>
      </c>
    </row>
    <row r="99" spans="3:4" x14ac:dyDescent="0.25">
      <c r="C99" t="str">
        <f t="shared" si="1"/>
        <v>PATIENT_099</v>
      </c>
      <c r="D99" t="s">
        <v>1446</v>
      </c>
    </row>
    <row r="100" spans="3:4" x14ac:dyDescent="0.25">
      <c r="C100" t="str">
        <f t="shared" si="1"/>
        <v>PATIENT_100</v>
      </c>
      <c r="D100" t="s">
        <v>1447</v>
      </c>
    </row>
    <row r="101" spans="3:4" x14ac:dyDescent="0.25">
      <c r="C101" t="str">
        <f t="shared" si="1"/>
        <v>PATIENT_101</v>
      </c>
      <c r="D101" t="s">
        <v>1448</v>
      </c>
    </row>
    <row r="102" spans="3:4" x14ac:dyDescent="0.25">
      <c r="C102" t="str">
        <f t="shared" si="1"/>
        <v>PATIENT_102</v>
      </c>
      <c r="D102" t="s">
        <v>1449</v>
      </c>
    </row>
    <row r="103" spans="3:4" x14ac:dyDescent="0.25">
      <c r="C103" t="str">
        <f t="shared" si="1"/>
        <v>PATIENT_103</v>
      </c>
      <c r="D103" t="s">
        <v>1450</v>
      </c>
    </row>
    <row r="104" spans="3:4" x14ac:dyDescent="0.25">
      <c r="C104" t="str">
        <f t="shared" si="1"/>
        <v>PATIENT_104</v>
      </c>
      <c r="D104" t="s">
        <v>1451</v>
      </c>
    </row>
    <row r="105" spans="3:4" x14ac:dyDescent="0.25">
      <c r="C105" t="str">
        <f t="shared" si="1"/>
        <v>PATIENT_105</v>
      </c>
      <c r="D105" t="s">
        <v>1452</v>
      </c>
    </row>
    <row r="106" spans="3:4" x14ac:dyDescent="0.25">
      <c r="C106" t="str">
        <f t="shared" si="1"/>
        <v>PATIENT_106</v>
      </c>
      <c r="D106" t="s">
        <v>1453</v>
      </c>
    </row>
    <row r="107" spans="3:4" x14ac:dyDescent="0.25">
      <c r="C107" t="str">
        <f t="shared" si="1"/>
        <v>PATIENT_107</v>
      </c>
      <c r="D107" t="s">
        <v>1454</v>
      </c>
    </row>
    <row r="108" spans="3:4" x14ac:dyDescent="0.25">
      <c r="C108" t="str">
        <f t="shared" si="1"/>
        <v>PATIENT_108</v>
      </c>
      <c r="D108" t="s">
        <v>1455</v>
      </c>
    </row>
    <row r="109" spans="3:4" x14ac:dyDescent="0.25">
      <c r="C109" t="str">
        <f t="shared" si="1"/>
        <v>PATIENT_109</v>
      </c>
      <c r="D109" t="s">
        <v>1456</v>
      </c>
    </row>
    <row r="110" spans="3:4" x14ac:dyDescent="0.25">
      <c r="C110" t="str">
        <f t="shared" si="1"/>
        <v>PATIENT_110</v>
      </c>
      <c r="D110" t="s">
        <v>1457</v>
      </c>
    </row>
    <row r="111" spans="3:4" x14ac:dyDescent="0.25">
      <c r="C111" t="str">
        <f t="shared" si="1"/>
        <v>PATIENT_111</v>
      </c>
      <c r="D111" t="s">
        <v>1458</v>
      </c>
    </row>
    <row r="112" spans="3:4" x14ac:dyDescent="0.25">
      <c r="C112" t="str">
        <f t="shared" si="1"/>
        <v>PATIENT_112</v>
      </c>
      <c r="D112" t="s">
        <v>1459</v>
      </c>
    </row>
    <row r="113" spans="3:4" x14ac:dyDescent="0.25">
      <c r="C113" t="str">
        <f t="shared" si="1"/>
        <v>PATIENT_113</v>
      </c>
      <c r="D113" t="s">
        <v>1460</v>
      </c>
    </row>
    <row r="114" spans="3:4" x14ac:dyDescent="0.25">
      <c r="C114" t="str">
        <f t="shared" si="1"/>
        <v>PATIENT_114</v>
      </c>
      <c r="D114" t="s">
        <v>1461</v>
      </c>
    </row>
    <row r="115" spans="3:4" x14ac:dyDescent="0.25">
      <c r="C115" t="str">
        <f t="shared" si="1"/>
        <v>PATIENT_115</v>
      </c>
      <c r="D115" t="s">
        <v>1462</v>
      </c>
    </row>
    <row r="116" spans="3:4" x14ac:dyDescent="0.25">
      <c r="C116" t="str">
        <f t="shared" si="1"/>
        <v>PATIENT_116</v>
      </c>
      <c r="D116" t="s">
        <v>1463</v>
      </c>
    </row>
    <row r="117" spans="3:4" x14ac:dyDescent="0.25">
      <c r="C117" t="str">
        <f t="shared" si="1"/>
        <v>PATIENT_117</v>
      </c>
      <c r="D117" t="s">
        <v>1464</v>
      </c>
    </row>
    <row r="118" spans="3:4" x14ac:dyDescent="0.25">
      <c r="C118" t="str">
        <f t="shared" si="1"/>
        <v>PATIENT_118</v>
      </c>
      <c r="D118" t="s">
        <v>1465</v>
      </c>
    </row>
    <row r="119" spans="3:4" x14ac:dyDescent="0.25">
      <c r="C119" t="str">
        <f t="shared" si="1"/>
        <v>PATIENT_119</v>
      </c>
      <c r="D119" t="s">
        <v>1466</v>
      </c>
    </row>
    <row r="120" spans="3:4" x14ac:dyDescent="0.25">
      <c r="C120" t="str">
        <f t="shared" si="1"/>
        <v>PATIENT_120</v>
      </c>
      <c r="D120" t="s">
        <v>1467</v>
      </c>
    </row>
    <row r="121" spans="3:4" x14ac:dyDescent="0.25">
      <c r="C121" t="str">
        <f t="shared" si="1"/>
        <v>PATIENT_121</v>
      </c>
      <c r="D121" t="s">
        <v>1468</v>
      </c>
    </row>
    <row r="122" spans="3:4" x14ac:dyDescent="0.25">
      <c r="C122" t="str">
        <f t="shared" si="1"/>
        <v>PATIENT_122</v>
      </c>
      <c r="D122" t="s">
        <v>1469</v>
      </c>
    </row>
    <row r="123" spans="3:4" x14ac:dyDescent="0.25">
      <c r="C123" t="str">
        <f t="shared" si="1"/>
        <v>PATIENT_123</v>
      </c>
      <c r="D123" t="s">
        <v>1470</v>
      </c>
    </row>
    <row r="124" spans="3:4" x14ac:dyDescent="0.25">
      <c r="C124" t="str">
        <f t="shared" si="1"/>
        <v>PATIENT_124</v>
      </c>
      <c r="D124" t="s">
        <v>1471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1D022F5E-7ADA-477A-91EF-60B9C23A326A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Raw_Data_hematograma</vt:lpstr>
      <vt:lpstr>Raw Data hematograma</vt:lpstr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FELIPE OSORIO MERA</dc:creator>
  <cp:lastModifiedBy>DAVID FELIPE OSORIO MERA</cp:lastModifiedBy>
  <dcterms:created xsi:type="dcterms:W3CDTF">2026-02-10T15:42:36Z</dcterms:created>
  <dcterms:modified xsi:type="dcterms:W3CDTF">2026-02-11T20:38:42Z</dcterms:modified>
</cp:coreProperties>
</file>